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0_审核入口" sheetId="1" state="visible" r:id="rId1"/>
    <sheet xmlns:r="http://schemas.openxmlformats.org/officeDocument/2006/relationships" name="03_逐品成本" sheetId="2" state="visible" r:id="rId2"/>
    <sheet xmlns:r="http://schemas.openxmlformats.org/officeDocument/2006/relationships" name="04_费用明细" sheetId="3" state="visible" r:id="rId3"/>
  </sheets>
  <definedNames>
    <definedName name="_xlnm._FilterDatabase" localSheetId="0" hidden="1">'00_审核入口'!$A$4:$D$13</definedName>
    <definedName name="_xlnm.Print_Titles" localSheetId="0">'00_审核入口'!$1:$4</definedName>
    <definedName name="_xlnm._FilterDatabase" localSheetId="1" hidden="1">'03_逐品成本'!$A$4:$Z$5</definedName>
    <definedName name="_xlnm.Print_Titles" localSheetId="1">'03_逐品成本'!$1:$4</definedName>
    <definedName name="_xlnm._FilterDatabase" localSheetId="2" hidden="1">'04_费用明细'!$A$4:$N$22</definedName>
    <definedName name="_xlnm.Print_Titles" localSheetId="2">'04_费用明细'!$1:$4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"/>
    <numFmt numFmtId="165" formatCode="0.0%"/>
    <numFmt numFmtId="166" formatCode="0.00########"/>
    <numFmt numFmtId="167" formatCode="#,##0.00;[Red]-#,##0.00"/>
  </numFmts>
  <fonts count="8">
    <font>
      <name val="Calibri"/>
      <family val="2"/>
      <color theme="1"/>
      <sz val="11"/>
      <scheme val="minor"/>
    </font>
    <font>
      <name val="Microsoft YaHei"/>
      <family val="2"/>
      <b val="1"/>
      <color rgb="FFFFFFFF"/>
      <sz val="20"/>
    </font>
    <font>
      <name val="Microsoft YaHei"/>
      <family val="2"/>
      <color rgb="FF47586A"/>
      <sz val="10"/>
    </font>
    <font>
      <name val="Microsoft YaHei"/>
      <family val="2"/>
      <color rgb="FF195ABD"/>
      <sz val="10"/>
    </font>
    <font>
      <name val="Microsoft YaHei"/>
      <family val="2"/>
      <b val="1"/>
      <color rgb="FFFFFFFF"/>
      <sz val="10"/>
    </font>
    <font>
      <name val="Microsoft YaHei"/>
      <family val="2"/>
      <color theme="1"/>
      <sz val="10"/>
    </font>
    <font>
      <name val="Microsoft YaHei"/>
      <family val="2"/>
      <color rgb="FF87540E"/>
      <sz val="10"/>
    </font>
    <font>
      <name val="Microsoft YaHei"/>
      <family val="2"/>
      <color rgb="FF1763B5"/>
      <sz val="10"/>
      <u val="single"/>
    </font>
  </fonts>
  <fills count="8">
    <fill>
      <patternFill/>
    </fill>
    <fill>
      <patternFill patternType="gray125"/>
    </fill>
    <fill>
      <patternFill patternType="solid">
        <fgColor rgb="FF12354A"/>
        <bgColor indexed="64"/>
      </patternFill>
    </fill>
    <fill>
      <patternFill patternType="solid">
        <fgColor rgb="FFF0F5F8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24566D"/>
        <bgColor indexed="64"/>
      </patternFill>
    </fill>
    <fill>
      <patternFill patternType="solid">
        <fgColor rgb="FFFFF1D5"/>
        <bgColor indexed="64"/>
      </patternFill>
    </fill>
    <fill>
      <patternFill patternType="solid">
        <fgColor rgb="FFF1F5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4E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5" fillId="7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7" fontId="5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6.7109375" customWidth="1" min="1" max="1"/>
    <col width="24.7109375" customWidth="1" min="2" max="2"/>
    <col width="75.7109375" customWidth="1" min="3" max="3"/>
    <col width="58.7109375" customWidth="1" min="4" max="4"/>
    <col width="24.7109375" customWidth="1" min="6" max="6"/>
  </cols>
  <sheetData>
    <row r="1" ht="38" customHeight="1">
      <c r="A1" s="1" t="inlineStr">
        <is>
          <t>00 · 审核入口</t>
        </is>
      </c>
    </row>
    <row r="2" ht="26" customHeight="1">
      <c r="A2" s="2" t="inlineStr">
        <is>
          <t>先读这一页，再看01逐品结论。蓝色为可录入区；空白=未知。冻结结论必须由更新后的证据重新生成，改单元格不等于重新批准。</t>
        </is>
      </c>
      <c r="F2" s="3" t="n">
        <v>46280.66666666666</v>
      </c>
    </row>
    <row r="3" ht="22" customHeight="1"/>
    <row r="4" ht="34" customHeight="1">
      <c r="A4" s="4" t="inlineStr">
        <is>
          <t>项目</t>
        </is>
      </c>
      <c r="B4" s="4" t="inlineStr">
        <is>
          <t>本轮结果</t>
        </is>
      </c>
      <c r="C4" s="4" t="inlineStr">
        <is>
          <t>含义及限制</t>
        </is>
      </c>
      <c r="D4" s="4" t="inlineStr">
        <is>
          <t>建议行动</t>
        </is>
      </c>
    </row>
    <row r="5" ht="58" customHeight="1">
      <c r="A5" s="5" t="inlineStr">
        <is>
          <t>运行时间</t>
        </is>
      </c>
      <c r="B5" s="5" t="inlineStr">
        <is>
          <t>2026-09-15T16:00:00+08:00</t>
        </is>
      </c>
      <c r="C5" s="5" t="inlineStr">
        <is>
          <t>以来源自身观测日期判断新鲜度</t>
        </is>
      </c>
      <c r="D5" s="5" t="inlineStr">
        <is>
          <t>不可用运行时间替换历史数据日期</t>
        </is>
      </c>
    </row>
    <row r="6" ht="58" customHeight="1">
      <c r="A6" s="5" t="inlineStr">
        <is>
          <t>历史候选记录</t>
        </is>
      </c>
      <c r="B6" s="5" t="n">
        <v>1</v>
      </c>
      <c r="C6" s="5" t="inlineStr">
        <is>
          <t>尚待准确规格/SPU复核；不能全部视为独立已验证商品</t>
        </is>
      </c>
      <c r="D6" s="5" t="inlineStr">
        <is>
          <t>见01与02</t>
        </is>
      </c>
    </row>
    <row r="7" ht="58" customHeight="1">
      <c r="A7" s="5" t="inlineStr">
        <is>
          <t>证据充分可测品</t>
        </is>
      </c>
      <c r="B7" s="5" t="n">
        <v>1</v>
      </c>
      <c r="C7" s="5" t="inlineStr">
        <is>
          <t>当前所有正式成本缺失；真实成功盈利数也为0</t>
        </is>
      </c>
      <c r="D7" s="5" t="inlineStr">
        <is>
          <t>不采购、不投放、不上架</t>
        </is>
      </c>
    </row>
    <row r="8" ht="58" customHeight="1">
      <c r="A8" s="5" t="inlineStr">
        <is>
          <t>原始市场记录</t>
        </is>
      </c>
      <c r="B8" s="5" t="n">
        <v>0</v>
      </c>
      <c r="C8" s="5" t="inlineStr">
        <is>
          <t>原始采集并非本轮新增，币种与窗口异常</t>
        </is>
      </c>
      <c r="D8" s="5" t="inlineStr">
        <is>
          <t>见07与08</t>
        </is>
      </c>
    </row>
    <row r="9" ht="58" customHeight="1">
      <c r="A9" s="5" t="inlineStr">
        <is>
          <t>1688历史货源记录</t>
        </is>
      </c>
      <c r="B9" s="5" t="n">
        <v>0</v>
      </c>
      <c r="C9" s="5" t="inlineStr">
        <is>
          <t>起价及整条offer，不是当前同SKU报价</t>
        </is>
      </c>
      <c r="D9" s="5" t="inlineStr">
        <is>
          <t>见06；0价不能当免费</t>
        </is>
      </c>
    </row>
    <row r="10" ht="58" customHeight="1">
      <c r="A10" s="5" t="inlineStr">
        <is>
          <t>利润门槛</t>
        </is>
      </c>
      <c r="B10" s="5" t="inlineStr">
        <is>
          <t>20% 且 15元</t>
        </is>
      </c>
      <c r="C10" s="5" t="inlineStr">
        <is>
          <t>完全成本预计利润/商品收入；条件，不是保证</t>
        </is>
      </c>
      <c r="D10" s="5" t="inlineStr">
        <is>
          <t>基准、采购上限、压力三项一起审</t>
        </is>
      </c>
    </row>
    <row r="11" ht="58" customHeight="1">
      <c r="A11" s="5" t="inlineStr">
        <is>
          <t>单品测试总成本</t>
        </is>
      </c>
      <c r="B11" s="5" t="inlineStr">
        <is>
          <t>≤500 CNY</t>
        </is>
      </c>
      <c r="C11" s="5" t="inlineStr">
        <is>
          <t>含采购、物流、平台费、推广、样品、售后等</t>
        </is>
      </c>
      <c r="D11" s="5" t="inlineStr">
        <is>
          <t>不能仅限制采购额</t>
        </is>
      </c>
    </row>
    <row r="12" ht="58" customHeight="1">
      <c r="A12" s="5" t="inlineStr">
        <is>
          <t>一分钟审一款的前提</t>
        </is>
      </c>
      <c r="B12" s="5" t="inlineStr">
        <is>
          <t>标准化证据已完整</t>
        </is>
      </c>
      <c r="C12" s="5" t="inlineStr">
        <is>
          <t>目标每日人工60分钟；首次建库与等待报价另计</t>
        </is>
      </c>
      <c r="D12" s="5" t="inlineStr">
        <is>
          <t>先做3天计时试跑</t>
        </is>
      </c>
    </row>
    <row r="13" ht="58" customHeight="1">
      <c r="A13" s="5" t="inlineStr">
        <is>
          <t>验收缺口</t>
        </is>
      </c>
      <c r="B13" s="5" t="inlineStr">
        <is>
          <t>未达到≥10个成功选品</t>
        </is>
      </c>
      <c r="C13" s="5" t="inlineStr">
        <is>
          <t>市场有效窗口、同SKU报价、运费费用及现金资料不全</t>
        </is>
      </c>
      <c r="D13" s="5" t="inlineStr">
        <is>
          <t>补齐数据后重跑；不以历史候选充数</t>
        </is>
      </c>
    </row>
  </sheetData>
  <autoFilter ref="A4:D13"/>
  <mergeCells count="2">
    <mergeCell ref="A1:D1"/>
    <mergeCell ref="A2:D3"/>
  </mergeCell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10"/>
    <col width="48.7109375" customWidth="1" min="11" max="11"/>
    <col width="23.7109375" customWidth="1" min="12" max="12"/>
    <col width="20.7109375" customWidth="1" min="13" max="13"/>
    <col width="22.7109375" customWidth="1" min="14" max="26"/>
  </cols>
  <sheetData>
    <row r="1" ht="38" customHeight="1">
      <c r="A1" s="1" t="inlineStr">
        <is>
          <t>03 · 逐品成本</t>
        </is>
      </c>
    </row>
    <row r="2" ht="26" customHeight="1">
      <c r="A2" s="2" t="inlineStr">
        <is>
          <t>一个销售单元=确定SKU一单（可以是套装）。成本预测不是已实现利润；仅填写准确报价和04全部费用，缺项不计算。报价观测≤24h另由Skill检查。修改后需重新生成审核结论。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券后商品PHP</t>
        </is>
      </c>
      <c r="D4" s="4" t="inlineStr">
        <is>
          <t>额外补贴PHP</t>
        </is>
      </c>
      <c r="E4" s="4" t="inlineStr">
        <is>
          <t>CNY每PHP</t>
        </is>
      </c>
      <c r="F4" s="4" t="inlineStr">
        <is>
          <t>SKU采购价CNY</t>
        </is>
      </c>
      <c r="G4" s="4" t="inlineStr">
        <is>
          <t>采购数量/套</t>
        </is>
      </c>
      <c r="H4" s="4" t="inlineStr">
        <is>
          <t>采购联动附加率</t>
        </is>
      </c>
      <c r="I4" s="4" t="inlineStr">
        <is>
          <t>样品拍摄等固定测试费</t>
        </is>
      </c>
      <c r="J4" s="4" t="inlineStr">
        <is>
          <t>测试计划单量</t>
        </is>
      </c>
      <c r="K4" s="4" t="inlineStr">
        <is>
          <t>SKU报价证据</t>
        </is>
      </c>
      <c r="L4" s="4" t="inlineStr">
        <is>
          <t>报价截止</t>
        </is>
      </c>
      <c r="M4" s="4" t="inlineStr">
        <is>
          <t>费用口径审核</t>
        </is>
      </c>
      <c r="N4" s="4" t="inlineStr">
        <is>
          <t>费用完整</t>
        </is>
      </c>
      <c r="O4" s="4" t="inlineStr">
        <is>
          <t>其他成本CNY</t>
        </is>
      </c>
      <c r="P4" s="4" t="inlineStr">
        <is>
          <t>压力其他成本</t>
        </is>
      </c>
      <c r="Q4" s="4" t="inlineStr">
        <is>
          <t>商品收入CNY</t>
        </is>
      </c>
      <c r="R4" s="4" t="inlineStr">
        <is>
          <t>采购成本CNY</t>
        </is>
      </c>
      <c r="S4" s="4" t="inlineStr">
        <is>
          <t>单件完全成本</t>
        </is>
      </c>
      <c r="T4" s="4" t="inlineStr">
        <is>
          <t>预计利润CNY</t>
        </is>
      </c>
      <c r="U4" s="4" t="inlineStr">
        <is>
          <t>预计利润率</t>
        </is>
      </c>
      <c r="V4" s="4" t="inlineStr">
        <is>
          <t>采购上限CNY</t>
        </is>
      </c>
      <c r="W4" s="4" t="inlineStr">
        <is>
          <t>组合压力利润</t>
        </is>
      </c>
      <c r="X4" s="4" t="inlineStr">
        <is>
          <t>测试总成本</t>
        </is>
      </c>
      <c r="Y4" s="4" t="inlineStr">
        <is>
          <t>500元最多测试单量</t>
        </is>
      </c>
      <c r="Z4" s="4" t="inlineStr">
        <is>
          <t>成本判定</t>
        </is>
      </c>
    </row>
    <row r="5" ht="60" customHeight="1">
      <c r="A5" s="5" t="inlineStr">
        <is>
          <t>TEST</t>
        </is>
      </c>
      <c r="B5" s="5" t="inlineStr">
        <is>
          <t>隔离合成算例，非市场产品</t>
        </is>
      </c>
      <c r="C5" s="9" t="n">
        <v>1000</v>
      </c>
      <c r="D5" s="9" t="n">
        <v>0</v>
      </c>
      <c r="E5" s="9" t="inlineStr">
        <is>
          <t>.12</t>
        </is>
      </c>
      <c r="F5" s="9" t="n">
        <v>10</v>
      </c>
      <c r="G5" s="9" t="n">
        <v>1</v>
      </c>
      <c r="H5" s="9" t="n">
        <v>0</v>
      </c>
      <c r="I5" s="9" t="n">
        <v>50</v>
      </c>
      <c r="J5" s="9" t="n">
        <v>5</v>
      </c>
      <c r="K5" s="9" t="inlineStr">
        <is>
          <t>隔离测试SKU</t>
        </is>
      </c>
      <c r="L5" s="3" t="n">
        <v>46281.66666666666</v>
      </c>
      <c r="M5" s="9" t="inlineStr">
        <is>
          <t>已核实</t>
        </is>
      </c>
      <c r="N5" s="6">
        <f>IF(COUNTIF('04_费用明细'!N5:N22,"完整")=18,"完整","待补证")</f>
        <v/>
      </c>
      <c r="O5" s="10">
        <f>IF(N5="完整",SUM('04_费用明细'!L5:L22),"")</f>
        <v/>
      </c>
      <c r="P5" s="10">
        <f>IF(N5="完整",SUM('04_费用明细'!M5:M22),"")</f>
        <v/>
      </c>
      <c r="Q5" s="10">
        <f>IF(AND(COUNT(C5:J5)=8,C5&gt;0,D5&gt;=0,E5&gt;0,F5&gt;=0,G5&gt;0,G5=INT(G5),H5&gt;=0,I5&gt;=0,J5&gt;0,J5=INT(J5),K5&lt;&gt;"",ISNUMBER(L5),L5&gt;='00_审核入口'!$F$2,M5="已核实",N5="完整"),ROUND(ROUND((C5+D5)*E5,10),2),"")</f>
        <v/>
      </c>
      <c r="R5" s="10">
        <f>IF(AND(COUNT(C5:J5)=8,C5&gt;0,D5&gt;=0,E5&gt;0,F5&gt;=0,G5&gt;0,G5=INT(G5),H5&gt;=0,I5&gt;=0,J5&gt;0,J5=INT(J5),K5&lt;&gt;"",ISNUMBER(L5),L5&gt;='00_审核入口'!$F$2,M5="已核实",N5="完整"),ROUND(ROUND(F5*G5*(1+H5),10),2),"")</f>
        <v/>
      </c>
      <c r="S5" s="10">
        <f>IF(AND(COUNT(C5:J5)=8,C5&gt;0,D5&gt;=0,E5&gt;0,F5&gt;=0,G5&gt;0,G5=INT(G5),H5&gt;=0,I5&gt;=0,J5&gt;0,J5=INT(J5),K5&lt;&gt;"",ISNUMBER(L5),L5&gt;='00_审核入口'!$F$2,M5="已核实",N5="完整"),R5+O5,"")</f>
        <v/>
      </c>
      <c r="T5" s="10">
        <f>IF(AND(COUNT(C5:J5)=8,C5&gt;0,D5&gt;=0,E5&gt;0,F5&gt;=0,G5&gt;0,G5=INT(G5),H5&gt;=0,I5&gt;=0,J5&gt;0,J5=INT(J5),K5&lt;&gt;"",ISNUMBER(L5),L5&gt;='00_审核入口'!$F$2,M5="已核实",N5="完整"),Q5-S5,"")</f>
        <v/>
      </c>
      <c r="U5" s="8">
        <f>IF(AND(COUNT(C5:J5)=8,C5&gt;0,D5&gt;=0,E5&gt;0,F5&gt;=0,G5&gt;0,G5=INT(G5),H5&gt;=0,I5&gt;=0,J5&gt;0,J5=INT(J5),K5&lt;&gt;"",ISNUMBER(L5),L5&gt;='00_审核入口'!$F$2,M5="已核实",N5="完整"),IF(Q5&gt;0,T5/Q5,""),"")</f>
        <v/>
      </c>
      <c r="V5" s="10">
        <f>IF(AND(COUNT(C5:J5)=8,C5&gt;0,D5&gt;=0,E5&gt;0,F5&gt;=0,G5&gt;0,G5=INT(G5),H5&gt;=0,I5&gt;=0,J5&gt;0,J5=INT(J5),K5&lt;&gt;"",ISNUMBER(L5),L5&gt;='00_审核入口'!$F$2,M5="已核实",N5="完整"),IF(Q5-O5-ROUNDUP(MAX(15,0.2*Q5),2)&lt;0,"无非负可行采购价",ROUNDDOWN((Q5-O5-ROUNDUP(MAX(15,0.2*Q5),2)+0.005-0.0000000001)/(G5*(1+H5)),2)),"")</f>
        <v/>
      </c>
      <c r="W5" s="10">
        <f>IF(AND(COUNT(C5:J5)=8,C5&gt;0,D5&gt;=0,E5&gt;0,F5&gt;=0,G5&gt;0,G5=INT(G5),H5&gt;=0,I5&gt;=0,J5&gt;0,J5=INT(J5),K5&lt;&gt;"",ISNUMBER(L5),L5&gt;='00_审核入口'!$F$2,M5="已核实",N5="完整"),ROUND(ROUND((C5+D5)*E5*0.95,10),2)-ROUND(ROUND(F5*1.1*G5*(1+H5),10),2)-P5,"")</f>
        <v/>
      </c>
      <c r="X5" s="10">
        <f>IF(AND(COUNT(C5:J5)=8,C5&gt;0,D5&gt;=0,E5&gt;0,F5&gt;=0,G5&gt;0,G5=INT(G5),H5&gt;=0,I5&gt;=0,J5&gt;0,J5=INT(J5),K5&lt;&gt;"",ISNUMBER(L5),L5&gt;='00_审核入口'!$F$2,M5="已核实",N5="完整"),ROUND(I5+J5*S5,2),"")</f>
        <v/>
      </c>
      <c r="Y5" s="10">
        <f>IF(AND(COUNT(C5:J5)=8,C5&gt;0,D5&gt;=0,E5&gt;0,F5&gt;=0,G5&gt;0,G5=INT(G5),H5&gt;=0,I5&gt;=0,J5&gt;0,J5=INT(J5),K5&lt;&gt;"",ISNUMBER(L5),L5&gt;='00_审核入口'!$F$2,M5="已核实",N5="完整"),IF(S5&gt;0,MAX(0,INT((500-I5)/S5)),""),"")</f>
        <v/>
      </c>
      <c r="Z5" s="6">
        <f>IF(AND(COUNT(C5:J5)=8,C5&gt;0,D5&gt;=0,E5&gt;0,F5&gt;=0,G5&gt;0,G5=INT(G5),H5&gt;=0,I5&gt;=0,J5&gt;0,J5=INT(J5),K5&lt;&gt;"",ISNUMBER(L5),L5&gt;='00_审核入口'!$F$2,M5="已核实",N5="完整"),IF(AND(T5&gt;=15,U5&gt;=0.2,W5&gt;=0,X5&lt;=500),"成本条件通过","成本条件不通过"),"待补证")</f>
        <v/>
      </c>
    </row>
  </sheetData>
  <autoFilter ref="A4:Z5"/>
  <mergeCells count="2">
    <mergeCell ref="A1:Z1"/>
    <mergeCell ref="A2:Z3"/>
  </mergeCells>
  <dataValidations count="2">
    <dataValidation sqref="M5" showDropDown="0" showInputMessage="1" showErrorMessage="1" allowBlank="1" type="list">
      <formula1>"已核实,待核实"</formula1>
    </dataValidation>
    <dataValidation sqref="C5:J5" showDropDown="0" showInputMessage="1" showErrorMessage="1" allowBlank="1" type="decimal" operator="greaterThanOrEqual">
      <formula1>0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3"/>
    <col width="37.7109375" customWidth="1" min="4" max="4"/>
    <col width="22.7109375" customWidth="1" min="5" max="8"/>
    <col width="65.7109375" customWidth="1" min="9" max="9"/>
    <col width="60.7109375" customWidth="1" min="10" max="10"/>
    <col width="24.7109375" customWidth="1" min="11" max="11"/>
    <col width="22.7109375" customWidth="1" min="12" max="14"/>
  </cols>
  <sheetData>
    <row r="1" ht="38" customHeight="1">
      <c r="A1" s="1" t="inlineStr">
        <is>
          <t>04 · 费用明细</t>
        </is>
      </c>
    </row>
    <row r="2" ht="26" customHeight="1">
      <c r="A2" s="2" t="inlineStr">
        <is>
          <t>每款18项逐项核实；0要有免费或不适用依据。交易费压力金额必须填；国内运费/仓包/SLS在压力情景再×1.15，PHP费用用汇率×0.95。广告和售后可用有依据的预算，公共费率参考不自动填成本。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费项键</t>
        </is>
      </c>
      <c r="D4" s="4" t="inlineStr">
        <is>
          <t>费项名称</t>
        </is>
      </c>
      <c r="E4" s="4" t="inlineStr">
        <is>
          <t>币种</t>
        </is>
      </c>
      <c r="F4" s="4" t="inlineStr">
        <is>
          <t>基准金额</t>
        </is>
      </c>
      <c r="G4" s="4" t="inlineStr">
        <is>
          <t>压力金额覆盖</t>
        </is>
      </c>
      <c r="H4" s="4" t="inlineStr">
        <is>
          <t>状态</t>
        </is>
      </c>
      <c r="I4" s="4" t="inlineStr">
        <is>
          <t>规则/基数/舍入/封顶/分摊</t>
        </is>
      </c>
      <c r="J4" s="4" t="inlineStr">
        <is>
          <t>依据</t>
        </is>
      </c>
      <c r="K4" s="4" t="inlineStr">
        <is>
          <t>有效期截止</t>
        </is>
      </c>
      <c r="L4" s="4" t="inlineStr">
        <is>
          <t>基准CNY</t>
        </is>
      </c>
      <c r="M4" s="4" t="inlineStr">
        <is>
          <t>压力CNY</t>
        </is>
      </c>
      <c r="N4" s="4" t="inlineStr">
        <is>
          <t>本行完整</t>
        </is>
      </c>
    </row>
    <row r="5" ht="58" customHeight="1">
      <c r="A5" s="9" t="inlineStr">
        <is>
          <t>TEST</t>
        </is>
      </c>
      <c r="B5" s="9" t="inlineStr">
        <is>
          <t>隔离合成算例，非市场产品</t>
        </is>
      </c>
      <c r="C5" s="9" t="inlineStr">
        <is>
          <t>commission</t>
        </is>
      </c>
      <c r="D5" s="9" t="inlineStr">
        <is>
          <t>适用跨境佣金</t>
        </is>
      </c>
      <c r="E5" s="9" t="inlineStr">
        <is>
          <t>PHP</t>
        </is>
      </c>
      <c r="F5" s="9" t="n">
        <v>100</v>
      </c>
      <c r="G5" s="9" t="n"/>
      <c r="H5" s="9" t="inlineStr">
        <is>
          <t>已核实</t>
        </is>
      </c>
      <c r="I5" s="9" t="inlineStr">
        <is>
          <t>仅为算法测试，不是事实费率</t>
        </is>
      </c>
      <c r="J5" s="9" t="inlineStr">
        <is>
          <t>隔离合成测试</t>
        </is>
      </c>
      <c r="K5" s="3" t="n">
        <v>46281.66666666666</v>
      </c>
      <c r="L5" s="10">
        <f>IF(AND(N5="完整",ISNUMBER('03_逐品成本'!E5),'03_逐品成本'!E5&gt;0),ROUND(ROUND(F5*IF(E5="PHP",'03_逐品成本'!E5,1),10),2),"")</f>
        <v/>
      </c>
      <c r="M5" s="10">
        <f>IF(AND(N5="完整",ISNUMBER('03_逐品成本'!E5),'03_逐品成本'!E5&gt;0),ROUND(ROUND(IF(ISNUMBER(G5),G5,F5)*1*IF(E5="PHP",'03_逐品成本'!E5*0.95,1),10),2),"")</f>
        <v/>
      </c>
      <c r="N5" s="6">
        <f>IF(AND(ISNUMBER(F5),F5&gt;=0,OR(E5="PHP",E5="CNY"),OR(H5="已核实",H5="不适用"),I5&lt;&gt;"",J5&lt;&gt;"",ISNUMBER(K5),K5&gt;='00_审核入口'!$F$2,OR(H5&lt;&gt;"不适用",F5=0),OR(G5="",AND(ISNUMBER(G5),G5&gt;=0))),"完整","待补证")</f>
        <v/>
      </c>
    </row>
    <row r="6" ht="58" customHeight="1">
      <c r="A6" s="9" t="inlineStr">
        <is>
          <t>TEST</t>
        </is>
      </c>
      <c r="B6" s="9" t="inlineStr">
        <is>
          <t>隔离合成算例，非市场产品</t>
        </is>
      </c>
      <c r="C6" s="9" t="inlineStr">
        <is>
          <t>transaction</t>
        </is>
      </c>
      <c r="D6" s="9" t="inlineStr">
        <is>
          <t>交易费（含实际支付方式）</t>
        </is>
      </c>
      <c r="E6" s="9" t="inlineStr">
        <is>
          <t>PHP</t>
        </is>
      </c>
      <c r="F6" s="9" t="n">
        <v>50</v>
      </c>
      <c r="G6" s="9" t="n">
        <v>100</v>
      </c>
      <c r="H6" s="9" t="inlineStr">
        <is>
          <t>已核实</t>
        </is>
      </c>
      <c r="I6" s="9" t="inlineStr">
        <is>
          <t>仅为算法测试，不是事实费率</t>
        </is>
      </c>
      <c r="J6" s="9" t="inlineStr">
        <is>
          <t>隔离合成测试</t>
        </is>
      </c>
      <c r="K6" s="3" t="n">
        <v>46281.66666666666</v>
      </c>
      <c r="L6" s="10">
        <f>IF(AND(N6="完整",ISNUMBER('03_逐品成本'!E5),'03_逐品成本'!E5&gt;0),ROUND(ROUND(F6*IF(E6="PHP",'03_逐品成本'!E5,1),10),2),"")</f>
        <v/>
      </c>
      <c r="M6" s="10">
        <f>IF(AND(N6="完整",ISNUMBER('03_逐品成本'!E5),'03_逐品成本'!E5&gt;0),ROUND(ROUND(IF(ISNUMBER(G6),G6,F6)*1*IF(E6="PHP",'03_逐品成本'!E5*0.95,1),10),2),"")</f>
        <v/>
      </c>
      <c r="N6" s="6">
        <f>IF(AND(ISNUMBER(F6),F6&gt;=0,OR(E6="PHP",E6="CNY"),OR(H6="已核实",H6="不适用"),I6&lt;&gt;"",J6&lt;&gt;"",ISNUMBER(K6),K6&gt;='00_审核入口'!$F$2,OR(H6&lt;&gt;"不适用",F6=0),OR(G6="",AND(ISNUMBER(G6),G6&gt;=0)),ISNUMBER(G6),G6&gt;=0),"完整","待补证")</f>
        <v/>
      </c>
    </row>
    <row r="7" ht="58" customHeight="1">
      <c r="A7" s="9" t="inlineStr">
        <is>
          <t>TEST</t>
        </is>
      </c>
      <c r="B7" s="9" t="inlineStr">
        <is>
          <t>隔离合成算例，非市场产品</t>
        </is>
      </c>
      <c r="C7" s="9" t="inlineStr">
        <is>
          <t>installment_extra</t>
        </is>
      </c>
      <c r="D7" s="9" t="inlineStr">
        <is>
          <t>额外分期项目费</t>
        </is>
      </c>
      <c r="E7" s="9" t="inlineStr">
        <is>
          <t>CNY</t>
        </is>
      </c>
      <c r="F7" s="9" t="n">
        <v>0</v>
      </c>
      <c r="G7" s="9" t="n"/>
      <c r="H7" s="9" t="inlineStr">
        <is>
          <t>已核实</t>
        </is>
      </c>
      <c r="I7" s="9" t="inlineStr">
        <is>
          <t>仅为算法测试，不是事实费率</t>
        </is>
      </c>
      <c r="J7" s="9" t="inlineStr">
        <is>
          <t>隔离合成测试</t>
        </is>
      </c>
      <c r="K7" s="3" t="n">
        <v>46281.66666666666</v>
      </c>
      <c r="L7" s="10">
        <f>IF(AND(N7="完整",ISNUMBER('03_逐品成本'!E5),'03_逐品成本'!E5&gt;0),ROUND(ROUND(F7*IF(E7="PHP",'03_逐品成本'!E5,1),10),2),"")</f>
        <v/>
      </c>
      <c r="M7" s="10">
        <f>IF(AND(N7="完整",ISNUMBER('03_逐品成本'!E5),'03_逐品成本'!E5&gt;0),ROUND(ROUND(IF(ISNUMBER(G7),G7,F7)*1*IF(E7="PHP",'03_逐品成本'!E5*0.95,1),10),2),"")</f>
        <v/>
      </c>
      <c r="N7" s="6">
        <f>IF(AND(ISNUMBER(F7),F7&gt;=0,OR(E7="PHP",E7="CNY"),OR(H7="已核实",H7="不适用"),I7&lt;&gt;"",J7&lt;&gt;"",ISNUMBER(K7),K7&gt;='00_审核入口'!$F$2,OR(H7&lt;&gt;"不适用",F7=0),OR(G7="",AND(ISNUMBER(G7),G7&gt;=0))),"完整","待补证")</f>
        <v/>
      </c>
    </row>
    <row r="8" ht="58" customHeight="1">
      <c r="A8" s="9" t="inlineStr">
        <is>
          <t>TEST</t>
        </is>
      </c>
      <c r="B8" s="9" t="inlineStr">
        <is>
          <t>隔离合成算例，非市场产品</t>
        </is>
      </c>
      <c r="C8" s="9" t="inlineStr">
        <is>
          <t>growth</t>
        </is>
      </c>
      <c r="D8" s="9" t="inlineStr">
        <is>
          <t>卖家增长费</t>
        </is>
      </c>
      <c r="E8" s="9" t="inlineStr">
        <is>
          <t>CNY</t>
        </is>
      </c>
      <c r="F8" s="9" t="n">
        <v>0</v>
      </c>
      <c r="G8" s="9" t="n"/>
      <c r="H8" s="9" t="inlineStr">
        <is>
          <t>已核实</t>
        </is>
      </c>
      <c r="I8" s="9" t="inlineStr">
        <is>
          <t>仅为算法测试，不是事实费率</t>
        </is>
      </c>
      <c r="J8" s="9" t="inlineStr">
        <is>
          <t>隔离合成测试</t>
        </is>
      </c>
      <c r="K8" s="3" t="n">
        <v>46281.66666666666</v>
      </c>
      <c r="L8" s="10">
        <f>IF(AND(N8="完整",ISNUMBER('03_逐品成本'!E5),'03_逐品成本'!E5&gt;0),ROUND(ROUND(F8*IF(E8="PHP",'03_逐品成本'!E5,1),10),2),"")</f>
        <v/>
      </c>
      <c r="M8" s="10">
        <f>IF(AND(N8="完整",ISNUMBER('03_逐品成本'!E5),'03_逐品成本'!E5&gt;0),ROUND(ROUND(IF(ISNUMBER(G8),G8,F8)*1*IF(E8="PHP",'03_逐品成本'!E5*0.95,1),10),2),"")</f>
        <v/>
      </c>
      <c r="N8" s="6">
        <f>IF(AND(ISNUMBER(F8),F8&gt;=0,OR(E8="PHP",E8="CNY"),OR(H8="已核实",H8="不适用"),I8&lt;&gt;"",J8&lt;&gt;"",ISNUMBER(K8),K8&gt;='00_审核入口'!$F$2,OR(H8&lt;&gt;"不适用",F8=0),OR(G8="",AND(ISNUMBER(G8),G8&gt;=0))),"完整","待补证")</f>
        <v/>
      </c>
    </row>
    <row r="9" ht="58" customHeight="1">
      <c r="A9" s="9" t="inlineStr">
        <is>
          <t>TEST</t>
        </is>
      </c>
      <c r="B9" s="9" t="inlineStr">
        <is>
          <t>隔离合成算例，非市场产品</t>
        </is>
      </c>
      <c r="C9" s="9" t="inlineStr">
        <is>
          <t>platform_shipping</t>
        </is>
      </c>
      <c r="D9" s="9" t="inlineStr">
        <is>
          <t>平台运费计划费</t>
        </is>
      </c>
      <c r="E9" s="9" t="inlineStr">
        <is>
          <t>CNY</t>
        </is>
      </c>
      <c r="F9" s="9" t="n">
        <v>0</v>
      </c>
      <c r="G9" s="9" t="n"/>
      <c r="H9" s="9" t="inlineStr">
        <is>
          <t>已核实</t>
        </is>
      </c>
      <c r="I9" s="9" t="inlineStr">
        <is>
          <t>仅为算法测试，不是事实费率</t>
        </is>
      </c>
      <c r="J9" s="9" t="inlineStr">
        <is>
          <t>隔离合成测试</t>
        </is>
      </c>
      <c r="K9" s="3" t="n">
        <v>46281.66666666666</v>
      </c>
      <c r="L9" s="10">
        <f>IF(AND(N9="完整",ISNUMBER('03_逐品成本'!E5),'03_逐品成本'!E5&gt;0),ROUND(ROUND(F9*IF(E9="PHP",'03_逐品成本'!E5,1),10),2),"")</f>
        <v/>
      </c>
      <c r="M9" s="10">
        <f>IF(AND(N9="完整",ISNUMBER('03_逐品成本'!E5),'03_逐品成本'!E5&gt;0),ROUND(ROUND(IF(ISNUMBER(G9),G9,F9)*1*IF(E9="PHP",'03_逐品成本'!E5*0.95,1),10),2),"")</f>
        <v/>
      </c>
      <c r="N9" s="6">
        <f>IF(AND(ISNUMBER(F9),F9&gt;=0,OR(E9="PHP",E9="CNY"),OR(H9="已核实",H9="不适用"),I9&lt;&gt;"",J9&lt;&gt;"",ISNUMBER(K9),K9&gt;='00_审核入口'!$F$2,OR(H9&lt;&gt;"不适用",F9=0),OR(G9="",AND(ISNUMBER(G9),G9&gt;=0))),"完整","待补证")</f>
        <v/>
      </c>
    </row>
    <row r="10" ht="58" customHeight="1">
      <c r="A10" s="9" t="inlineStr">
        <is>
          <t>TEST</t>
        </is>
      </c>
      <c r="B10" s="9" t="inlineStr">
        <is>
          <t>隔离合成算例，非市场产品</t>
        </is>
      </c>
      <c r="C10" s="9" t="inlineStr">
        <is>
          <t>order_processing</t>
        </is>
      </c>
      <c r="D10" s="9" t="inlineStr">
        <is>
          <t>订单处理费</t>
        </is>
      </c>
      <c r="E10" s="9" t="inlineStr">
        <is>
          <t>CNY</t>
        </is>
      </c>
      <c r="F10" s="9" t="n">
        <v>0</v>
      </c>
      <c r="G10" s="9" t="n"/>
      <c r="H10" s="9" t="inlineStr">
        <is>
          <t>已核实</t>
        </is>
      </c>
      <c r="I10" s="9" t="inlineStr">
        <is>
          <t>仅为算法测试，不是事实费率</t>
        </is>
      </c>
      <c r="J10" s="9" t="inlineStr">
        <is>
          <t>隔离合成测试</t>
        </is>
      </c>
      <c r="K10" s="3" t="n">
        <v>46281.66666666666</v>
      </c>
      <c r="L10" s="10">
        <f>IF(AND(N10="完整",ISNUMBER('03_逐品成本'!E5),'03_逐品成本'!E5&gt;0),ROUND(ROUND(F10*IF(E10="PHP",'03_逐品成本'!E5,1),10),2),"")</f>
        <v/>
      </c>
      <c r="M10" s="10">
        <f>IF(AND(N10="完整",ISNUMBER('03_逐品成本'!E5),'03_逐品成本'!E5&gt;0),ROUND(ROUND(IF(ISNUMBER(G10),G10,F10)*1*IF(E10="PHP",'03_逐品成本'!E5*0.95,1),10),2),"")</f>
        <v/>
      </c>
      <c r="N10" s="6">
        <f>IF(AND(ISNUMBER(F10),F10&gt;=0,OR(E10="PHP",E10="CNY"),OR(H10="已核实",H10="不适用"),I10&lt;&gt;"",J10&lt;&gt;"",ISNUMBER(K10),K10&gt;='00_审核入口'!$F$2,OR(H10&lt;&gt;"不适用",F10=0),OR(G10="",AND(ISNUMBER(G10),G10&gt;=0))),"完整","待补证")</f>
        <v/>
      </c>
    </row>
    <row r="11" ht="58" customHeight="1">
      <c r="A11" s="9" t="inlineStr">
        <is>
          <t>TEST</t>
        </is>
      </c>
      <c r="B11" s="9" t="inlineStr">
        <is>
          <t>隔离合成算例，非市场产品</t>
        </is>
      </c>
      <c r="C11" s="9" t="inlineStr">
        <is>
          <t>preorder</t>
        </is>
      </c>
      <c r="D11" s="9" t="inlineStr">
        <is>
          <t>预售及其他平台服务费</t>
        </is>
      </c>
      <c r="E11" s="9" t="inlineStr">
        <is>
          <t>CNY</t>
        </is>
      </c>
      <c r="F11" s="9" t="n">
        <v>0</v>
      </c>
      <c r="G11" s="9" t="n"/>
      <c r="H11" s="9" t="inlineStr">
        <is>
          <t>已核实</t>
        </is>
      </c>
      <c r="I11" s="9" t="inlineStr">
        <is>
          <t>仅为算法测试，不是事实费率</t>
        </is>
      </c>
      <c r="J11" s="9" t="inlineStr">
        <is>
          <t>隔离合成测试</t>
        </is>
      </c>
      <c r="K11" s="3" t="n">
        <v>46281.66666666666</v>
      </c>
      <c r="L11" s="10">
        <f>IF(AND(N11="完整",ISNUMBER('03_逐品成本'!E5),'03_逐品成本'!E5&gt;0),ROUND(ROUND(F11*IF(E11="PHP",'03_逐品成本'!E5,1),10),2),"")</f>
        <v/>
      </c>
      <c r="M11" s="10">
        <f>IF(AND(N11="完整",ISNUMBER('03_逐品成本'!E5),'03_逐品成本'!E5&gt;0),ROUND(ROUND(IF(ISNUMBER(G11),G11,F11)*1*IF(E11="PHP",'03_逐品成本'!E5*0.95,1),10),2),"")</f>
        <v/>
      </c>
      <c r="N11" s="6">
        <f>IF(AND(ISNUMBER(F11),F11&gt;=0,OR(E11="PHP",E11="CNY"),OR(H11="已核实",H11="不适用"),I11&lt;&gt;"",J11&lt;&gt;"",ISNUMBER(K11),K11&gt;='00_审核入口'!$F$2,OR(H11&lt;&gt;"不适用",F11=0),OR(G11="",AND(ISNUMBER(G11),G11&gt;=0))),"完整","待补证")</f>
        <v/>
      </c>
    </row>
    <row r="12" ht="58" customHeight="1">
      <c r="A12" s="9" t="inlineStr">
        <is>
          <t>TEST</t>
        </is>
      </c>
      <c r="B12" s="9" t="inlineStr">
        <is>
          <t>隔离合成算例，非市场产品</t>
        </is>
      </c>
      <c r="C12" s="9" t="inlineStr">
        <is>
          <t>activities</t>
        </is>
      </c>
      <c r="D12" s="9" t="inlineStr">
        <is>
          <t>MDV/返币/直播等活动费</t>
        </is>
      </c>
      <c r="E12" s="9" t="inlineStr">
        <is>
          <t>CNY</t>
        </is>
      </c>
      <c r="F12" s="9" t="n">
        <v>0</v>
      </c>
      <c r="G12" s="9" t="n"/>
      <c r="H12" s="9" t="inlineStr">
        <is>
          <t>已核实</t>
        </is>
      </c>
      <c r="I12" s="9" t="inlineStr">
        <is>
          <t>仅为算法测试，不是事实费率</t>
        </is>
      </c>
      <c r="J12" s="9" t="inlineStr">
        <is>
          <t>隔离合成测试</t>
        </is>
      </c>
      <c r="K12" s="3" t="n">
        <v>46281.66666666666</v>
      </c>
      <c r="L12" s="10">
        <f>IF(AND(N12="完整",ISNUMBER('03_逐品成本'!E5),'03_逐品成本'!E5&gt;0),ROUND(ROUND(F12*IF(E12="PHP",'03_逐品成本'!E5,1),10),2),"")</f>
        <v/>
      </c>
      <c r="M12" s="10">
        <f>IF(AND(N12="完整",ISNUMBER('03_逐品成本'!E5),'03_逐品成本'!E5&gt;0),ROUND(ROUND(IF(ISNUMBER(G12),G12,F12)*1*IF(E12="PHP",'03_逐品成本'!E5*0.95,1),10),2),"")</f>
        <v/>
      </c>
      <c r="N12" s="6">
        <f>IF(AND(ISNUMBER(F12),F12&gt;=0,OR(E12="PHP",E12="CNY"),OR(H12="已核实",H12="不适用"),I12&lt;&gt;"",J12&lt;&gt;"",ISNUMBER(K12),K12&gt;='00_审核入口'!$F$2,OR(H12&lt;&gt;"不适用",F12=0),OR(G12="",AND(ISNUMBER(G12),G12&gt;=0))),"完整","待补证")</f>
        <v/>
      </c>
    </row>
    <row r="13" ht="58" customHeight="1">
      <c r="A13" s="9" t="inlineStr">
        <is>
          <t>TEST</t>
        </is>
      </c>
      <c r="B13" s="9" t="inlineStr">
        <is>
          <t>隔离合成算例，非市场产品</t>
        </is>
      </c>
      <c r="C13" s="9" t="inlineStr">
        <is>
          <t>domestic</t>
        </is>
      </c>
      <c r="D13" s="9" t="inlineStr">
        <is>
          <t>中国境内运费</t>
        </is>
      </c>
      <c r="E13" s="9" t="inlineStr">
        <is>
          <t>CNY</t>
        </is>
      </c>
      <c r="F13" s="9" t="n">
        <v>10</v>
      </c>
      <c r="G13" s="9" t="n"/>
      <c r="H13" s="9" t="inlineStr">
        <is>
          <t>已核实</t>
        </is>
      </c>
      <c r="I13" s="9" t="inlineStr">
        <is>
          <t>仅为算法测试，不是事实费率</t>
        </is>
      </c>
      <c r="J13" s="9" t="inlineStr">
        <is>
          <t>隔离合成测试</t>
        </is>
      </c>
      <c r="K13" s="3" t="n">
        <v>46281.66666666666</v>
      </c>
      <c r="L13" s="10">
        <f>IF(AND(N13="完整",ISNUMBER('03_逐品成本'!E5),'03_逐品成本'!E5&gt;0),ROUND(ROUND(F13*IF(E13="PHP",'03_逐品成本'!E5,1),10),2),"")</f>
        <v/>
      </c>
      <c r="M13" s="10">
        <f>IF(AND(N13="完整",ISNUMBER('03_逐品成本'!E5),'03_逐品成本'!E5&gt;0),ROUND(ROUND(IF(ISNUMBER(G13),G13,F13)*1.15*IF(E13="PHP",'03_逐品成本'!E5*0.95,1),10),2),"")</f>
        <v/>
      </c>
      <c r="N13" s="6">
        <f>IF(AND(ISNUMBER(F13),F13&gt;=0,OR(E13="PHP",E13="CNY"),OR(H13="已核实",H13="不适用"),I13&lt;&gt;"",J13&lt;&gt;"",ISNUMBER(K13),K13&gt;='00_审核入口'!$F$2,OR(H13&lt;&gt;"不适用",F13=0),OR(G13="",AND(ISNUMBER(G13),G13&gt;=0))),"完整","待补证")</f>
        <v/>
      </c>
    </row>
    <row r="14" ht="58" customHeight="1">
      <c r="A14" s="9" t="inlineStr">
        <is>
          <t>TEST</t>
        </is>
      </c>
      <c r="B14" s="9" t="inlineStr">
        <is>
          <t>隔离合成算例，非市场产品</t>
        </is>
      </c>
      <c r="C14" s="9" t="inlineStr">
        <is>
          <t>warehouse_pack</t>
        </is>
      </c>
      <c r="D14" s="9" t="inlineStr">
        <is>
          <t>云仓/验货/贴标/仓储/包材</t>
        </is>
      </c>
      <c r="E14" s="9" t="inlineStr">
        <is>
          <t>CNY</t>
        </is>
      </c>
      <c r="F14" s="9" t="n">
        <v>5</v>
      </c>
      <c r="G14" s="9" t="n"/>
      <c r="H14" s="9" t="inlineStr">
        <is>
          <t>已核实</t>
        </is>
      </c>
      <c r="I14" s="9" t="inlineStr">
        <is>
          <t>仅为算法测试，不是事实费率</t>
        </is>
      </c>
      <c r="J14" s="9" t="inlineStr">
        <is>
          <t>隔离合成测试</t>
        </is>
      </c>
      <c r="K14" s="3" t="n">
        <v>46281.66666666666</v>
      </c>
      <c r="L14" s="10">
        <f>IF(AND(N14="完整",ISNUMBER('03_逐品成本'!E5),'03_逐品成本'!E5&gt;0),ROUND(ROUND(F14*IF(E14="PHP",'03_逐品成本'!E5,1),10),2),"")</f>
        <v/>
      </c>
      <c r="M14" s="10">
        <f>IF(AND(N14="完整",ISNUMBER('03_逐品成本'!E5),'03_逐品成本'!E5&gt;0),ROUND(ROUND(IF(ISNUMBER(G14),G14,F14)*1.15*IF(E14="PHP",'03_逐品成本'!E5*0.95,1),10),2),"")</f>
        <v/>
      </c>
      <c r="N14" s="6">
        <f>IF(AND(ISNUMBER(F14),F14&gt;=0,OR(E14="PHP",E14="CNY"),OR(H14="已核实",H14="不适用"),I14&lt;&gt;"",J14&lt;&gt;"",ISNUMBER(K14),K14&gt;='00_审核入口'!$F$2,OR(H14&lt;&gt;"不适用",F14=0),OR(G14="",AND(ISNUMBER(G14),G14&gt;=0))),"完整","待补证")</f>
        <v/>
      </c>
    </row>
    <row r="15" ht="58" customHeight="1">
      <c r="A15" s="9" t="inlineStr">
        <is>
          <t>TEST</t>
        </is>
      </c>
      <c r="B15" s="9" t="inlineStr">
        <is>
          <t>隔离合成算例，非市场产品</t>
        </is>
      </c>
      <c r="C15" s="9" t="inlineStr">
        <is>
          <t>sls</t>
        </is>
      </c>
      <c r="D15" s="9" t="inlineStr">
        <is>
          <t>SLS卖家净国际物流</t>
        </is>
      </c>
      <c r="E15" s="9" t="inlineStr">
        <is>
          <t>CNY</t>
        </is>
      </c>
      <c r="F15" s="9" t="n">
        <v>20</v>
      </c>
      <c r="G15" s="9" t="n"/>
      <c r="H15" s="9" t="inlineStr">
        <is>
          <t>已核实</t>
        </is>
      </c>
      <c r="I15" s="9" t="inlineStr">
        <is>
          <t>仅为算法测试，不是事实费率</t>
        </is>
      </c>
      <c r="J15" s="9" t="inlineStr">
        <is>
          <t>隔离合成测试</t>
        </is>
      </c>
      <c r="K15" s="3" t="n">
        <v>46281.66666666666</v>
      </c>
      <c r="L15" s="10">
        <f>IF(AND(N15="完整",ISNUMBER('03_逐品成本'!E5),'03_逐品成本'!E5&gt;0),ROUND(ROUND(F15*IF(E15="PHP",'03_逐品成本'!E5,1),10),2),"")</f>
        <v/>
      </c>
      <c r="M15" s="10">
        <f>IF(AND(N15="完整",ISNUMBER('03_逐品成本'!E5),'03_逐品成本'!E5&gt;0),ROUND(ROUND(IF(ISNUMBER(G15),G15,F15)*1.15*IF(E15="PHP",'03_逐品成本'!E5*0.95,1),10),2),"")</f>
        <v/>
      </c>
      <c r="N15" s="6">
        <f>IF(AND(ISNUMBER(F15),F15&gt;=0,OR(E15="PHP",E15="CNY"),OR(H15="已核实",H15="不适用"),I15&lt;&gt;"",J15&lt;&gt;"",ISNUMBER(K15),K15&gt;='00_审核入口'!$F$2,OR(H15&lt;&gt;"不适用",F15=0),OR(G15="",AND(ISNUMBER(G15),G15&gt;=0))),"完整","待补证")</f>
        <v/>
      </c>
    </row>
    <row r="16" ht="58" customHeight="1">
      <c r="A16" s="9" t="inlineStr">
        <is>
          <t>TEST</t>
        </is>
      </c>
      <c r="B16" s="9" t="inlineStr">
        <is>
          <t>隔离合成算例，非市场产品</t>
        </is>
      </c>
      <c r="C16" s="9" t="inlineStr">
        <is>
          <t>ads</t>
        </is>
      </c>
      <c r="D16" s="9" t="inlineStr">
        <is>
          <t>广告预算分摊</t>
        </is>
      </c>
      <c r="E16" s="9" t="inlineStr">
        <is>
          <t>CNY</t>
        </is>
      </c>
      <c r="F16" s="9" t="n">
        <v>7</v>
      </c>
      <c r="G16" s="9" t="n"/>
      <c r="H16" s="9" t="inlineStr">
        <is>
          <t>已核实</t>
        </is>
      </c>
      <c r="I16" s="9" t="inlineStr">
        <is>
          <t>仅为算法测试，不是事实费率</t>
        </is>
      </c>
      <c r="J16" s="9" t="inlineStr">
        <is>
          <t>隔离合成测试</t>
        </is>
      </c>
      <c r="K16" s="3" t="n">
        <v>46281.66666666666</v>
      </c>
      <c r="L16" s="10">
        <f>IF(AND(N16="完整",ISNUMBER('03_逐品成本'!E5),'03_逐品成本'!E5&gt;0),ROUND(ROUND(F16*IF(E16="PHP",'03_逐品成本'!E5,1),10),2),"")</f>
        <v/>
      </c>
      <c r="M16" s="10">
        <f>IF(AND(N16="完整",ISNUMBER('03_逐品成本'!E5),'03_逐品成本'!E5&gt;0),ROUND(ROUND(IF(ISNUMBER(G16),G16,F16)*1*IF(E16="PHP",'03_逐品成本'!E5*0.95,1),10),2),"")</f>
        <v/>
      </c>
      <c r="N16" s="6">
        <f>IF(AND(ISNUMBER(F16),F16&gt;=0,OR(E16="PHP",E16="CNY"),OR(H16="已核实",H16="不适用",H16="预算"),I16&lt;&gt;"",J16&lt;&gt;"",ISNUMBER(K16),K16&gt;='00_审核入口'!$F$2,OR(H16&lt;&gt;"不适用",F16=0),OR(G16="",AND(ISNUMBER(G16),G16&gt;=0))),"完整","待补证")</f>
        <v/>
      </c>
    </row>
    <row r="17" ht="58" customHeight="1">
      <c r="A17" s="9" t="inlineStr">
        <is>
          <t>TEST</t>
        </is>
      </c>
      <c r="B17" s="9" t="inlineStr">
        <is>
          <t>隔离合成算例，非市场产品</t>
        </is>
      </c>
      <c r="C17" s="9" t="inlineStr">
        <is>
          <t>affiliate</t>
        </is>
      </c>
      <c r="D17" s="9" t="inlineStr">
        <is>
          <t>联盟/达人分摊</t>
        </is>
      </c>
      <c r="E17" s="9" t="inlineStr">
        <is>
          <t>CNY</t>
        </is>
      </c>
      <c r="F17" s="9" t="n">
        <v>0</v>
      </c>
      <c r="G17" s="9" t="n"/>
      <c r="H17" s="9" t="inlineStr">
        <is>
          <t>已核实</t>
        </is>
      </c>
      <c r="I17" s="9" t="inlineStr">
        <is>
          <t>仅为算法测试，不是事实费率</t>
        </is>
      </c>
      <c r="J17" s="9" t="inlineStr">
        <is>
          <t>隔离合成测试</t>
        </is>
      </c>
      <c r="K17" s="3" t="n">
        <v>46281.66666666666</v>
      </c>
      <c r="L17" s="10">
        <f>IF(AND(N17="完整",ISNUMBER('03_逐品成本'!E5),'03_逐品成本'!E5&gt;0),ROUND(ROUND(F17*IF(E17="PHP",'03_逐品成本'!E5,1),10),2),"")</f>
        <v/>
      </c>
      <c r="M17" s="10">
        <f>IF(AND(N17="完整",ISNUMBER('03_逐品成本'!E5),'03_逐品成本'!E5&gt;0),ROUND(ROUND(IF(ISNUMBER(G17),G17,F17)*1*IF(E17="PHP",'03_逐品成本'!E5*0.95,1),10),2),"")</f>
        <v/>
      </c>
      <c r="N17" s="6">
        <f>IF(AND(ISNUMBER(F17),F17&gt;=0,OR(E17="PHP",E17="CNY"),OR(H17="已核实",H17="不适用",H17="预算"),I17&lt;&gt;"",J17&lt;&gt;"",ISNUMBER(K17),K17&gt;='00_审核入口'!$F$2,OR(H17&lt;&gt;"不适用",F17=0),OR(G17="",AND(ISNUMBER(G17),G17&gt;=0))),"完整","待补证")</f>
        <v/>
      </c>
    </row>
    <row r="18" ht="58" customHeight="1">
      <c r="A18" s="9" t="inlineStr">
        <is>
          <t>TEST</t>
        </is>
      </c>
      <c r="B18" s="9" t="inlineStr">
        <is>
          <t>隔离合成算例，非市场产品</t>
        </is>
      </c>
      <c r="C18" s="9" t="inlineStr">
        <is>
          <t>returns</t>
        </is>
      </c>
      <c r="D18" s="9" t="inlineStr">
        <is>
          <t>售后退款/拒收/破损净损失准备</t>
        </is>
      </c>
      <c r="E18" s="9" t="inlineStr">
        <is>
          <t>CNY</t>
        </is>
      </c>
      <c r="F18" s="9" t="n">
        <v>0</v>
      </c>
      <c r="G18" s="9" t="n"/>
      <c r="H18" s="9" t="inlineStr">
        <is>
          <t>已核实</t>
        </is>
      </c>
      <c r="I18" s="9" t="inlineStr">
        <is>
          <t>仅为算法测试，不是事实费率</t>
        </is>
      </c>
      <c r="J18" s="9" t="inlineStr">
        <is>
          <t>隔离合成测试</t>
        </is>
      </c>
      <c r="K18" s="3" t="n">
        <v>46281.66666666666</v>
      </c>
      <c r="L18" s="10">
        <f>IF(AND(N18="完整",ISNUMBER('03_逐品成本'!E5),'03_逐品成本'!E5&gt;0),ROUND(ROUND(F18*IF(E18="PHP",'03_逐品成本'!E5,1),10),2),"")</f>
        <v/>
      </c>
      <c r="M18" s="10">
        <f>IF(AND(N18="完整",ISNUMBER('03_逐品成本'!E5),'03_逐品成本'!E5&gt;0),ROUND(ROUND(IF(ISNUMBER(G18),G18,F18)*1*IF(E18="PHP",'03_逐品成本'!E5*0.95,1),10),2),"")</f>
        <v/>
      </c>
      <c r="N18" s="6">
        <f>IF(AND(ISNUMBER(F18),F18&gt;=0,OR(E18="PHP",E18="CNY"),OR(H18="已核实",H18="不适用",H18="预算"),I18&lt;&gt;"",J18&lt;&gt;"",ISNUMBER(K18),K18&gt;='00_审核入口'!$F$2,OR(H18&lt;&gt;"不适用",F18=0),OR(G18="",AND(ISNUMBER(G18),G18&gt;=0))),"完整","待补证")</f>
        <v/>
      </c>
    </row>
    <row r="19" ht="58" customHeight="1">
      <c r="A19" s="9" t="inlineStr">
        <is>
          <t>TEST</t>
        </is>
      </c>
      <c r="B19" s="9" t="inlineStr">
        <is>
          <t>隔离合成算例，非市场产品</t>
        </is>
      </c>
      <c r="C19" s="9" t="inlineStr">
        <is>
          <t>collection</t>
        </is>
      </c>
      <c r="D19" s="9" t="inlineStr">
        <is>
          <t>收款/换汇/提现</t>
        </is>
      </c>
      <c r="E19" s="9" t="inlineStr">
        <is>
          <t>CNY</t>
        </is>
      </c>
      <c r="F19" s="9" t="n">
        <v>0</v>
      </c>
      <c r="G19" s="9" t="n"/>
      <c r="H19" s="9" t="inlineStr">
        <is>
          <t>已核实</t>
        </is>
      </c>
      <c r="I19" s="9" t="inlineStr">
        <is>
          <t>仅为算法测试，不是事实费率</t>
        </is>
      </c>
      <c r="J19" s="9" t="inlineStr">
        <is>
          <t>隔离合成测试</t>
        </is>
      </c>
      <c r="K19" s="3" t="n">
        <v>46281.66666666666</v>
      </c>
      <c r="L19" s="10">
        <f>IF(AND(N19="完整",ISNUMBER('03_逐品成本'!E5),'03_逐品成本'!E5&gt;0),ROUND(ROUND(F19*IF(E19="PHP",'03_逐品成本'!E5,1),10),2),"")</f>
        <v/>
      </c>
      <c r="M19" s="10">
        <f>IF(AND(N19="完整",ISNUMBER('03_逐品成本'!E5),'03_逐品成本'!E5&gt;0),ROUND(ROUND(IF(ISNUMBER(G19),G19,F19)*1*IF(E19="PHP",'03_逐品成本'!E5*0.95,1),10),2),"")</f>
        <v/>
      </c>
      <c r="N19" s="6">
        <f>IF(AND(ISNUMBER(F19),F19&gt;=0,OR(E19="PHP",E19="CNY"),OR(H19="已核实",H19="不适用"),I19&lt;&gt;"",J19&lt;&gt;"",ISNUMBER(K19),K19&gt;='00_审核入口'!$F$2,OR(H19&lt;&gt;"不适用",F19=0),OR(G19="",AND(ISNUMBER(G19),G19&gt;=0))),"完整","待补证")</f>
        <v/>
      </c>
    </row>
    <row r="20" ht="58" customHeight="1">
      <c r="A20" s="9" t="inlineStr">
        <is>
          <t>TEST</t>
        </is>
      </c>
      <c r="B20" s="9" t="inlineStr">
        <is>
          <t>隔离合成算例，非市场产品</t>
        </is>
      </c>
      <c r="C20" s="9" t="inlineStr">
        <is>
          <t>tax</t>
        </is>
      </c>
      <c r="D20" s="9" t="inlineStr">
        <is>
          <t>其他不可抵扣税费</t>
        </is>
      </c>
      <c r="E20" s="9" t="inlineStr">
        <is>
          <t>CNY</t>
        </is>
      </c>
      <c r="F20" s="9" t="n">
        <v>0</v>
      </c>
      <c r="G20" s="9" t="n"/>
      <c r="H20" s="9" t="inlineStr">
        <is>
          <t>已核实</t>
        </is>
      </c>
      <c r="I20" s="9" t="inlineStr">
        <is>
          <t>仅为算法测试，不是事实费率</t>
        </is>
      </c>
      <c r="J20" s="9" t="inlineStr">
        <is>
          <t>隔离合成测试</t>
        </is>
      </c>
      <c r="K20" s="3" t="n">
        <v>46281.66666666666</v>
      </c>
      <c r="L20" s="10">
        <f>IF(AND(N20="完整",ISNUMBER('03_逐品成本'!E5),'03_逐品成本'!E5&gt;0),ROUND(ROUND(F20*IF(E20="PHP",'03_逐品成本'!E5,1),10),2),"")</f>
        <v/>
      </c>
      <c r="M20" s="10">
        <f>IF(AND(N20="完整",ISNUMBER('03_逐品成本'!E5),'03_逐品成本'!E5&gt;0),ROUND(ROUND(IF(ISNUMBER(G20),G20,F20)*1*IF(E20="PHP",'03_逐品成本'!E5*0.95,1),10),2),"")</f>
        <v/>
      </c>
      <c r="N20" s="6">
        <f>IF(AND(ISNUMBER(F20),F20&gt;=0,OR(E20="PHP",E20="CNY"),OR(H20="已核实",H20="不适用"),I20&lt;&gt;"",J20&lt;&gt;"",ISNUMBER(K20),K20&gt;='00_审核入口'!$F$2,OR(H20&lt;&gt;"不适用",F20=0),OR(G20="",AND(ISNUMBER(G20),G20&gt;=0))),"完整","待补证")</f>
        <v/>
      </c>
    </row>
    <row r="21" ht="58" customHeight="1">
      <c r="A21" s="9" t="inlineStr">
        <is>
          <t>TEST</t>
        </is>
      </c>
      <c r="B21" s="9" t="inlineStr">
        <is>
          <t>隔离合成算例，非市场产品</t>
        </is>
      </c>
      <c r="C21" s="9" t="inlineStr">
        <is>
          <t>overhead</t>
        </is>
      </c>
      <c r="D21" s="9" t="inlineStr">
        <is>
          <t>固定运营成本分摊</t>
        </is>
      </c>
      <c r="E21" s="9" t="inlineStr">
        <is>
          <t>CNY</t>
        </is>
      </c>
      <c r="F21" s="9" t="n">
        <v>0</v>
      </c>
      <c r="G21" s="9" t="n"/>
      <c r="H21" s="9" t="inlineStr">
        <is>
          <t>已核实</t>
        </is>
      </c>
      <c r="I21" s="9" t="inlineStr">
        <is>
          <t>仅为算法测试，不是事实费率</t>
        </is>
      </c>
      <c r="J21" s="9" t="inlineStr">
        <is>
          <t>隔离合成测试</t>
        </is>
      </c>
      <c r="K21" s="3" t="n">
        <v>46281.66666666666</v>
      </c>
      <c r="L21" s="10">
        <f>IF(AND(N21="完整",ISNUMBER('03_逐品成本'!E5),'03_逐品成本'!E5&gt;0),ROUND(ROUND(F21*IF(E21="PHP",'03_逐品成本'!E5,1),10),2),"")</f>
        <v/>
      </c>
      <c r="M21" s="10">
        <f>IF(AND(N21="完整",ISNUMBER('03_逐品成本'!E5),'03_逐品成本'!E5&gt;0),ROUND(ROUND(IF(ISNUMBER(G21),G21,F21)*1*IF(E21="PHP",'03_逐品成本'!E5*0.95,1),10),2),"")</f>
        <v/>
      </c>
      <c r="N21" s="6">
        <f>IF(AND(ISNUMBER(F21),F21&gt;=0,OR(E21="PHP",E21="CNY"),OR(H21="已核实",H21="不适用",H21="预算"),I21&lt;&gt;"",J21&lt;&gt;"",ISNUMBER(K21),K21&gt;='00_审核入口'!$F$2,OR(H21&lt;&gt;"不适用",F21=0),OR(G21="",AND(ISNUMBER(G21),G21&gt;=0))),"完整","待补证")</f>
        <v/>
      </c>
    </row>
    <row r="22" ht="58" customHeight="1">
      <c r="A22" s="9" t="inlineStr">
        <is>
          <t>TEST</t>
        </is>
      </c>
      <c r="B22" s="9" t="inlineStr">
        <is>
          <t>隔离合成算例，非市场产品</t>
        </is>
      </c>
      <c r="C22" s="9" t="inlineStr">
        <is>
          <t>other</t>
        </is>
      </c>
      <c r="D22" s="9" t="inlineStr">
        <is>
          <t>其他有说明费用</t>
        </is>
      </c>
      <c r="E22" s="9" t="inlineStr">
        <is>
          <t>CNY</t>
        </is>
      </c>
      <c r="F22" s="9" t="n">
        <v>0</v>
      </c>
      <c r="G22" s="9" t="n"/>
      <c r="H22" s="9" t="inlineStr">
        <is>
          <t>已核实</t>
        </is>
      </c>
      <c r="I22" s="9" t="inlineStr">
        <is>
          <t>仅为算法测试，不是事实费率</t>
        </is>
      </c>
      <c r="J22" s="9" t="inlineStr">
        <is>
          <t>隔离合成测试</t>
        </is>
      </c>
      <c r="K22" s="3" t="n">
        <v>46281.66666666666</v>
      </c>
      <c r="L22" s="10">
        <f>IF(AND(N22="完整",ISNUMBER('03_逐品成本'!E5),'03_逐品成本'!E5&gt;0),ROUND(ROUND(F22*IF(E22="PHP",'03_逐品成本'!E5,1),10),2),"")</f>
        <v/>
      </c>
      <c r="M22" s="10">
        <f>IF(AND(N22="完整",ISNUMBER('03_逐品成本'!E5),'03_逐品成本'!E5&gt;0),ROUND(ROUND(IF(ISNUMBER(G22),G22,F22)*1*IF(E22="PHP",'03_逐品成本'!E5*0.95,1),10),2),"")</f>
        <v/>
      </c>
      <c r="N22" s="6">
        <f>IF(AND(ISNUMBER(F22),F22&gt;=0,OR(E22="PHP",E22="CNY"),OR(H22="已核实",H22="不适用",H22="预算"),I22&lt;&gt;"",J22&lt;&gt;"",ISNUMBER(K22),K22&gt;='00_审核入口'!$F$2,OR(H22&lt;&gt;"不适用",F22=0),OR(G22="",AND(ISNUMBER(G22),G22&gt;=0))),"完整","待补证")</f>
        <v/>
      </c>
    </row>
  </sheetData>
  <autoFilter ref="A4:N22"/>
  <mergeCells count="2">
    <mergeCell ref="A2:N3"/>
    <mergeCell ref="A1:N1"/>
  </mergeCells>
  <dataValidations count="36">
    <dataValidation sqref="E5" showDropDown="0" showInputMessage="1" showErrorMessage="1" allowBlank="1" type="list">
      <formula1>"CNY,PHP"</formula1>
    </dataValidation>
    <dataValidation sqref="H5" showDropDown="0" showInputMessage="1" showErrorMessage="1" allowBlank="1" type="list">
      <formula1>"已核实,不适用"</formula1>
    </dataValidation>
    <dataValidation sqref="E6" showDropDown="0" showInputMessage="1" showErrorMessage="1" allowBlank="1" type="list">
      <formula1>"CNY,PHP"</formula1>
    </dataValidation>
    <dataValidation sqref="H6" showDropDown="0" showInputMessage="1" showErrorMessage="1" allowBlank="1" type="list">
      <formula1>"已核实,不适用"</formula1>
    </dataValidation>
    <dataValidation sqref="E7" showDropDown="0" showInputMessage="1" showErrorMessage="1" allowBlank="1" type="list">
      <formula1>"CNY,PHP"</formula1>
    </dataValidation>
    <dataValidation sqref="H7" showDropDown="0" showInputMessage="1" showErrorMessage="1" allowBlank="1" type="list">
      <formula1>"已核实,不适用"</formula1>
    </dataValidation>
    <dataValidation sqref="E8" showDropDown="0" showInputMessage="1" showErrorMessage="1" allowBlank="1" type="list">
      <formula1>"CNY,PHP"</formula1>
    </dataValidation>
    <dataValidation sqref="H8" showDropDown="0" showInputMessage="1" showErrorMessage="1" allowBlank="1" type="list">
      <formula1>"已核实,不适用"</formula1>
    </dataValidation>
    <dataValidation sqref="E9" showDropDown="0" showInputMessage="1" showErrorMessage="1" allowBlank="1" type="list">
      <formula1>"CNY,PHP"</formula1>
    </dataValidation>
    <dataValidation sqref="H9" showDropDown="0" showInputMessage="1" showErrorMessage="1" allowBlank="1" type="list">
      <formula1>"已核实,不适用"</formula1>
    </dataValidation>
    <dataValidation sqref="E10" showDropDown="0" showInputMessage="1" showErrorMessage="1" allowBlank="1" type="list">
      <formula1>"CNY,PHP"</formula1>
    </dataValidation>
    <dataValidation sqref="H10" showDropDown="0" showInputMessage="1" showErrorMessage="1" allowBlank="1" type="list">
      <formula1>"已核实,不适用"</formula1>
    </dataValidation>
    <dataValidation sqref="E11" showDropDown="0" showInputMessage="1" showErrorMessage="1" allowBlank="1" type="list">
      <formula1>"CNY,PHP"</formula1>
    </dataValidation>
    <dataValidation sqref="H11" showDropDown="0" showInputMessage="1" showErrorMessage="1" allowBlank="1" type="list">
      <formula1>"已核实,不适用"</formula1>
    </dataValidation>
    <dataValidation sqref="E12" showDropDown="0" showInputMessage="1" showErrorMessage="1" allowBlank="1" type="list">
      <formula1>"CNY,PHP"</formula1>
    </dataValidation>
    <dataValidation sqref="H12" showDropDown="0" showInputMessage="1" showErrorMessage="1" allowBlank="1" type="list">
      <formula1>"已核实,不适用"</formula1>
    </dataValidation>
    <dataValidation sqref="E13" showDropDown="0" showInputMessage="1" showErrorMessage="1" allowBlank="1" type="list">
      <formula1>"CNY,PHP"</formula1>
    </dataValidation>
    <dataValidation sqref="H13" showDropDown="0" showInputMessage="1" showErrorMessage="1" allowBlank="1" type="list">
      <formula1>"已核实,不适用"</formula1>
    </dataValidation>
    <dataValidation sqref="E14" showDropDown="0" showInputMessage="1" showErrorMessage="1" allowBlank="1" type="list">
      <formula1>"CNY,PHP"</formula1>
    </dataValidation>
    <dataValidation sqref="H14" showDropDown="0" showInputMessage="1" showErrorMessage="1" allowBlank="1" type="list">
      <formula1>"已核实,不适用"</formula1>
    </dataValidation>
    <dataValidation sqref="E15" showDropDown="0" showInputMessage="1" showErrorMessage="1" allowBlank="1" type="list">
      <formula1>"CNY,PHP"</formula1>
    </dataValidation>
    <dataValidation sqref="H15" showDropDown="0" showInputMessage="1" showErrorMessage="1" allowBlank="1" type="list">
      <formula1>"已核实,不适用"</formula1>
    </dataValidation>
    <dataValidation sqref="E16" showDropDown="0" showInputMessage="1" showErrorMessage="1" allowBlank="1" type="list">
      <formula1>"CNY,PHP"</formula1>
    </dataValidation>
    <dataValidation sqref="H16" showDropDown="0" showInputMessage="1" showErrorMessage="1" allowBlank="1" type="list">
      <formula1>"已核实,不适用,预算"</formula1>
    </dataValidation>
    <dataValidation sqref="E17" showDropDown="0" showInputMessage="1" showErrorMessage="1" allowBlank="1" type="list">
      <formula1>"CNY,PHP"</formula1>
    </dataValidation>
    <dataValidation sqref="H17" showDropDown="0" showInputMessage="1" showErrorMessage="1" allowBlank="1" type="list">
      <formula1>"已核实,不适用,预算"</formula1>
    </dataValidation>
    <dataValidation sqref="E18" showDropDown="0" showInputMessage="1" showErrorMessage="1" allowBlank="1" type="list">
      <formula1>"CNY,PHP"</formula1>
    </dataValidation>
    <dataValidation sqref="H18" showDropDown="0" showInputMessage="1" showErrorMessage="1" allowBlank="1" type="list">
      <formula1>"已核实,不适用,预算"</formula1>
    </dataValidation>
    <dataValidation sqref="E19" showDropDown="0" showInputMessage="1" showErrorMessage="1" allowBlank="1" type="list">
      <formula1>"CNY,PHP"</formula1>
    </dataValidation>
    <dataValidation sqref="H19" showDropDown="0" showInputMessage="1" showErrorMessage="1" allowBlank="1" type="list">
      <formula1>"已核实,不适用"</formula1>
    </dataValidation>
    <dataValidation sqref="E20" showDropDown="0" showInputMessage="1" showErrorMessage="1" allowBlank="1" type="list">
      <formula1>"CNY,PHP"</formula1>
    </dataValidation>
    <dataValidation sqref="H20" showDropDown="0" showInputMessage="1" showErrorMessage="1" allowBlank="1" type="list">
      <formula1>"已核实,不适用"</formula1>
    </dataValidation>
    <dataValidation sqref="E21" showDropDown="0" showInputMessage="1" showErrorMessage="1" allowBlank="1" type="list">
      <formula1>"CNY,PHP"</formula1>
    </dataValidation>
    <dataValidation sqref="H21" showDropDown="0" showInputMessage="1" showErrorMessage="1" allowBlank="1" type="list">
      <formula1>"已核实,不适用,预算"</formula1>
    </dataValidation>
    <dataValidation sqref="E22" showDropDown="0" showInputMessage="1" showErrorMessage="1" allowBlank="1" type="list">
      <formula1>"CNY,PHP"</formula1>
    </dataValidation>
    <dataValidation sqref="H22" showDropDown="0" showInputMessage="1" showErrorMessage="1" allowBlank="1" type="list">
      <formula1>"已核实,不适用,预算"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店铺选品工作区</dc:creator>
  <dc:title xmlns:dc="http://purl.org/dc/elements/1.1/">Shopee菲律宾每日选品审核</dc:title>
  <dc:description xmlns:dc="http://purl.org/dc/elements/1.1/">真实证据与未知值分开；审核草案；不代表已盈利。</dc:description>
  <dcterms:created xmlns:dcterms="http://purl.org/dc/terms/" xmlns:xsi="http://www.w3.org/2001/XMLSchema-instance" xsi:type="dcterms:W3CDTF">2026-09-15T13:30:39Z</dcterms:created>
  <dcterms:modified xmlns:dcterms="http://purl.org/dc/terms/" xmlns:xsi="http://www.w3.org/2001/XMLSchema-instance" xsi:type="dcterms:W3CDTF">2026-09-15T13:30:39Z</dcterms:modified>
  <cp:lastModifiedBy>店铺选品工作区</cp:lastModifiedBy>
</cp:coreProperties>
</file>