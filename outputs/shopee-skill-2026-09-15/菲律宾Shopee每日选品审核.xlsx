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00_审核入口" sheetId="1" r:id="rId1"/>
    <sheet name="01_逐品结论" sheetId="2" r:id="rId2"/>
    <sheet name="02_逐项证据门槛" sheetId="3" r:id="rId3"/>
    <sheet name="03_逐品成本" sheetId="4" r:id="rId4"/>
    <sheet name="04_费用明细" sheetId="5" r:id="rId5"/>
    <sheet name="05_500元与现金" sheetId="6" r:id="rId6"/>
    <sheet name="06_1688历史货源" sheetId="7" r:id="rId7"/>
    <sheet name="07_历史市场原值" sheetId="8" r:id="rId8"/>
    <sheet name="08_数据问题" sheetId="9" r:id="rId9"/>
    <sheet name="09_市场与官方证据" sheetId="10" r:id="rId10"/>
    <sheet name="10_SOP与阈值" sheetId="11" r:id="rId11"/>
    <sheet name="11_复盘与待补资料" sheetId="12" r:id="rId12"/>
    <sheet name="12_流程图" sheetId="13" r:id="rId13"/>
  </sheets>
  <definedNames>
    <definedName name="_xlnm._FilterDatabase" localSheetId="0" hidden="1">'00_审核入口'!$A$4:$D$13</definedName>
    <definedName name="_xlnm._FilterDatabase" localSheetId="1" hidden="1">'01_逐品结论'!$A$4:$M$26</definedName>
    <definedName name="_xlnm._FilterDatabase" localSheetId="2" hidden="1">'02_逐项证据门槛'!$A$4:$H$202</definedName>
    <definedName name="_xlnm._FilterDatabase" localSheetId="3" hidden="1">'03_逐品成本'!$A$4:$Z$26</definedName>
    <definedName name="_xlnm._FilterDatabase" localSheetId="4" hidden="1">'04_费用明细'!$A$4:$N$400</definedName>
    <definedName name="_xlnm._FilterDatabase" localSheetId="5" hidden="1">'05_500元与现金'!$A$4:$E$14</definedName>
    <definedName name="_xlnm._FilterDatabase" localSheetId="6" hidden="1">'06_1688历史货源'!$A$4:$L$604</definedName>
    <definedName name="_xlnm._FilterDatabase" localSheetId="7" hidden="1">'07_历史市场原值'!$A$4:$N$224</definedName>
    <definedName name="_xlnm._FilterDatabase" localSheetId="8" hidden="1">'08_数据问题'!$A$4:$H$287</definedName>
    <definedName name="_xlnm._FilterDatabase" localSheetId="9" hidden="1">'09_市场与官方证据'!$A$4:$G$15</definedName>
    <definedName name="_xlnm._FilterDatabase" localSheetId="10" hidden="1">'10_SOP与阈值'!$A$4:$F$15</definedName>
    <definedName name="_xlnm._FilterDatabase" localSheetId="11" hidden="1">'11_复盘与待补资料'!$A$4:$E$13</definedName>
    <definedName name="_xlnm.Print_Titles" localSheetId="0">'00_审核入口'!$1:$4</definedName>
    <definedName name="_xlnm.Print_Titles" localSheetId="1">'01_逐品结论'!$1:$4</definedName>
    <definedName name="_xlnm.Print_Titles" localSheetId="2">'02_逐项证据门槛'!$1:$4</definedName>
    <definedName name="_xlnm.Print_Titles" localSheetId="3">'03_逐品成本'!$1:$4</definedName>
    <definedName name="_xlnm.Print_Titles" localSheetId="4">'04_费用明细'!$1:$4</definedName>
    <definedName name="_xlnm.Print_Titles" localSheetId="5">'05_500元与现金'!$1:$4</definedName>
    <definedName name="_xlnm.Print_Titles" localSheetId="6">'06_1688历史货源'!$1:$4</definedName>
    <definedName name="_xlnm.Print_Titles" localSheetId="7">'07_历史市场原值'!$1:$4</definedName>
    <definedName name="_xlnm.Print_Titles" localSheetId="8">'08_数据问题'!$1:$4</definedName>
    <definedName name="_xlnm.Print_Titles" localSheetId="9">'09_市场与官方证据'!$1:$4</definedName>
    <definedName name="_xlnm.Print_Titles" localSheetId="10">'10_SOP与阈值'!$1:$4</definedName>
    <definedName name="_xlnm.Print_Titles" localSheetId="11">'11_复盘与待补资料'!$1:$4</definedName>
    <definedName name="_xlnm.Print_Titles" localSheetId="12">'12_流程图'!$1:$4</definedName>
  </definedNames>
  <calcPr calcId="124519" fullCalcOnLoad="1"/>
</workbook>
</file>

<file path=xl/sharedStrings.xml><?xml version="1.0" encoding="utf-8"?>
<sst xmlns="http://schemas.openxmlformats.org/spreadsheetml/2006/main" count="13850" uniqueCount="5089">
  <si>
    <t>00 · 审核入口</t>
  </si>
  <si>
    <t>先读这一页，再看01逐品结论。蓝色为可录入区；空白=未知。冻结结论必须由更新后的证据重新生成，改单元格不等于重新批准。</t>
  </si>
  <si>
    <t>项目</t>
  </si>
  <si>
    <t>本轮结果</t>
  </si>
  <si>
    <t>含义及限制</t>
  </si>
  <si>
    <t>建议行动</t>
  </si>
  <si>
    <t>运行时间</t>
  </si>
  <si>
    <t>2026-09-15T21:21:21+08:00</t>
  </si>
  <si>
    <t>以来源自身观测日期判断新鲜度</t>
  </si>
  <si>
    <t>不可用运行时间替换历史数据日期</t>
  </si>
  <si>
    <t>历史候选记录</t>
  </si>
  <si>
    <t>尚待准确规格/SPU复核；不能全部视为独立已验证商品</t>
  </si>
  <si>
    <t>见01与02</t>
  </si>
  <si>
    <t>证据充分可测品</t>
  </si>
  <si>
    <t>当前所有正式成本缺失；真实成功盈利数也为0</t>
  </si>
  <si>
    <t>不采购、不投放、不上架</t>
  </si>
  <si>
    <t>原始市场记录</t>
  </si>
  <si>
    <t>原始采集并非本轮新增，币种与窗口异常</t>
  </si>
  <si>
    <t>见07与08</t>
  </si>
  <si>
    <t>1688历史货源记录</t>
  </si>
  <si>
    <t>起价及整条offer，不是当前同SKU报价</t>
  </si>
  <si>
    <t>见06；0价不能当免费</t>
  </si>
  <si>
    <t>利润门槛</t>
  </si>
  <si>
    <t>20% 且 15元</t>
  </si>
  <si>
    <t>完全成本预计利润/商品收入；条件，不是保证</t>
  </si>
  <si>
    <t>基准、采购上限、压力三项一起审</t>
  </si>
  <si>
    <t>单品测试总成本</t>
  </si>
  <si>
    <t>≤500 CNY</t>
  </si>
  <si>
    <t>含采购、物流、平台费、推广、样品、售后等</t>
  </si>
  <si>
    <t>不能仅限制采购额</t>
  </si>
  <si>
    <t>一分钟审一款的前提</t>
  </si>
  <si>
    <t>标准化证据已完整</t>
  </si>
  <si>
    <t>目标每日人工60分钟；首次建库与等待报价另计</t>
  </si>
  <si>
    <t>先做3天计时试跑</t>
  </si>
  <si>
    <t>验收缺口</t>
  </si>
  <si>
    <t>未达到≥10个成功选品</t>
  </si>
  <si>
    <t>市场有效窗口、同SKU报价、运费费用及现金资料不全</t>
  </si>
  <si>
    <t>补齐数据后重跑；不以历史候选充数</t>
  </si>
  <si>
    <t>01 · 逐品结论</t>
  </si>
  <si>
    <t>逐款列明冻结的证据与结论；方向性推断不是需求、质量、同款、利润或授权事实。真实经营成功只能由成熟实单对账证明。</t>
  </si>
  <si>
    <t>ID</t>
  </si>
  <si>
    <t>产品方向</t>
  </si>
  <si>
    <t>本轮结论</t>
  </si>
  <si>
    <t>事实证据</t>
  </si>
  <si>
    <t>判断说明（推断）</t>
  </si>
  <si>
    <t>拟验证差异</t>
  </si>
  <si>
    <t>缺口与风险</t>
  </si>
  <si>
    <t>补证顺序</t>
  </si>
  <si>
    <t>市场链接</t>
  </si>
  <si>
    <t>1688线索</t>
  </si>
  <si>
    <t>预计利润CNY</t>
  </si>
  <si>
    <t>利润率</t>
  </si>
  <si>
    <t>测试成本CNY</t>
  </si>
  <si>
    <t>C01</t>
  </si>
  <si>
    <t>多尺寸拉链洗衣网袋套装</t>
  </si>
  <si>
    <t>待补证</t>
  </si>
  <si>
    <t>历史2026-09-10记录：价格原值75（币种未确认）；销量字段4957（窗口未核实）；1688历史起价0.6元；MOQ=1；代发原字段=True；未同SKU核验。</t>
  </si>
  <si>
    <t>洗衣防缠绕是明确可描述的使用场景，套装有机会分摊每单固定费；要用同规格成交与实物测试证实。</t>
  </si>
  <si>
    <t>细网、拉链保护套、明确尺寸与件数</t>
  </si>
  <si>
    <t>PH/PHP与30天SKU销量；准确SKU规格及货源报价；包装计费重与运费；本店完整费项、活动、税与汇率；当前现金/未决损失；样品/合规/图权。比较网眼、拉链包边、尺寸和套装件数，不借竞品品牌。</t>
  </si>
  <si>
    <t>A 优先补证：拉链开合与机洗测试；套装件数逐件对齐；取得主货源、完整成本后再判。</t>
  </si>
  <si>
    <t>https://shopee.ph/product/1220516363/27528479375</t>
  </si>
  <si>
    <t>https://detail.1688.com/offer/625255182969.html</t>
  </si>
  <si>
    <t>C02</t>
  </si>
  <si>
    <t>行李箱衣物分装收纳套装</t>
  </si>
  <si>
    <t>历史2026-09-10记录：价格原值243（币种未确认）；销量字段68（窗口未核实）；1688历史起价7.8元；MOQ=1；代发原字段=False；未同SKU核验。</t>
  </si>
  <si>
    <t>衣物分装可与洗漱/鞋袋服务同类旅行客户；体积重和单件代发可能否定经济性。</t>
  </si>
  <si>
    <t>分区标签、尺寸图、套装清单</t>
  </si>
  <si>
    <t>PH/PHP与30天SKU销量；准确SKU规格及货源报价；包装计费重与运费；本店完整费项、活动、税与汇率；当前现金/未决损失；样品/合规/图权。现有7.8元为历史起价且代发原字段为false，不能认定支持当前模式。</t>
  </si>
  <si>
    <t>A 优先补证：体积重量；普通分装与压缩功能分开核实；取得主货源、完整成本后再判。</t>
  </si>
  <si>
    <t>https://shopee.ph/product/550121387/14529056693</t>
  </si>
  <si>
    <t>https://detail.1688.com/offer/847068328975.html</t>
  </si>
  <si>
    <t>C03</t>
  </si>
  <si>
    <t>挂钩式旅行洗漱收纳包</t>
  </si>
  <si>
    <t>历史2026-09-10记录：价格原值110（币种未确认）；销量字段3470（窗口未核实）；未取得该方向可配对的1688货源证据。</t>
  </si>
  <si>
    <t>空洗漱包无需搭售化妆品，可突出悬挂和分仓；这是结构优势假设。</t>
  </si>
  <si>
    <t>可展开分区、挂钩、干湿收纳场景</t>
  </si>
  <si>
    <t>PH/PHP与30天SKU销量；准确SKU规格及货源报价；包装计费重与运费；本店完整费项、活动、税与汇率；当前现金/未决损失；样品/合规/图权。主货源空缺，需核实挂钩强度、空包包装重；不含液体、不直接称防水。</t>
  </si>
  <si>
    <t>A 优先补证：挂钩强度、拉链、湿擦测试；不带液体；取得主货源、完整成本后再判。</t>
  </si>
  <si>
    <t>https://shopee.ph/product/1338796953/24944345450</t>
  </si>
  <si>
    <t>C04</t>
  </si>
  <si>
    <t>抽绳鞋子防尘收纳袋</t>
  </si>
  <si>
    <t>历史2026-09-10记录：价格原值15（币种未确认）；销量字段102（窗口未核实）；未取得该方向可配对的1688货源证据。</t>
  </si>
  <si>
    <t>结构简单但低价方向容易被固定处理费和国际运费吃掉利润；可研究多件组合。</t>
  </si>
  <si>
    <t>多件组合、可辨识鞋型尺寸</t>
  </si>
  <si>
    <t>PH/PHP与30天SKU销量；准确SKU规格及货源报价；包装计费重与运费；本店完整费项、活动、税与汇率；当前现金/未决损失；样品/合规/图权。多件组合会改变SKU和竞品可比性，不能拿单只销量配整套定价。</t>
  </si>
  <si>
    <t>B 暂缓单卖：低客单单卖成本；抽绳牢度与布料厚度；取得主货源、完整成本后再判。</t>
  </si>
  <si>
    <t>https://shopee.ph/product/699515539/25544554587</t>
  </si>
  <si>
    <t>C05</t>
  </si>
  <si>
    <t>衣柜悬挂手袋收纳袋</t>
  </si>
  <si>
    <t>历史2026-09-10记录：价格原值168（币种未确认）；销量字段750（窗口未核实）；未取得该方向可配对的1688货源证据。</t>
  </si>
  <si>
    <t>能服务衣柜整理场景；悬挂袋的大包装体积可能使跨境物流不合算。</t>
  </si>
  <si>
    <t>袋位可见、适配衣柜尺寸</t>
  </si>
  <si>
    <t>PH/PHP与30天SKU销量；准确SKU规格及货源报价；包装计费重与运费；本店完整费项、活动、税与汇率；当前现金/未决损失；样品/合规/图权。先取得折叠包装尺寸，再核承重和缝线；图片视觉轻薄不等于计费轻。</t>
  </si>
  <si>
    <t>B 先看体积：承重、缝线、折叠包装体积；取得主货源、完整成本后再判。</t>
  </si>
  <si>
    <t>https://shopee.ph/product/419236915/6185455937</t>
  </si>
  <si>
    <t>C06</t>
  </si>
  <si>
    <t>发夹与发圈挂式整理架</t>
  </si>
  <si>
    <t>历史2026-09-10记录：价格原值40（币种未确认）；销量字段528（窗口未核实）；未取得该方向可配对的1688货源证据。</t>
  </si>
  <si>
    <t>有发饰整理用途，但低价竞争和挂装问题可能抬高售后成本。</t>
  </si>
  <si>
    <t>按发夹/发圈分区、展示实物尺寸</t>
  </si>
  <si>
    <t>PH/PHP与30天SKU销量；准确SKU规格及货源报价；包装计费重与运费；本店完整费项、活动、税与汇率；当前现金/未决损失；样品/合规/图权。只研究成人收纳用途和无侵权图案；不能推断儿童用品准入。</t>
  </si>
  <si>
    <t>B 低优先：挂钩数量、组装难度、素材版权；取得主货源、完整成本后再判。</t>
  </si>
  <si>
    <t>https://shopee.ph/product/739548616/26901266092</t>
  </si>
  <si>
    <t>C07</t>
  </si>
  <si>
    <t>自粘桌面理线夹套装</t>
  </si>
  <si>
    <t>历史2026-09-10记录：价格原值78（币种未确认）；销量字段923（窗口未核实）；1688历史起价0.4元；MOQ=2；代发原字段=True；未同SKU核验。</t>
  </si>
  <si>
    <t>桌面理线需求线索存在，但自粘属性、Choice样本及品牌字段冲突降低可比性。</t>
  </si>
  <si>
    <t>孔径清楚、安装说明、组合数量</t>
  </si>
  <si>
    <t>PH/PHP与30天SKU销量；准确SKU规格及货源报价；包装计费重与运费；本店完整费项、活动、税与汇率；当前现金/未决损失；样品/合规/图权。背胶/成分和承运未知；先明确是否符合不做化学相关产品的边界。</t>
  </si>
  <si>
    <t>C 属性待核：胶黏耐湿热、可适配线径；参考样本为Choice Global且品牌字段有冲突；取得主货源、完整成本后再判。</t>
  </si>
  <si>
    <t>https://shopee.ph/product/196214868/24474649589</t>
  </si>
  <si>
    <t>https://detail.1688.com/offer/723994327186.html</t>
  </si>
  <si>
    <t>C08</t>
  </si>
  <si>
    <t>厨房电器电源线绕线器</t>
  </si>
  <si>
    <t>历史2026-09-10记录：价格原值39（币种未确认）；销量字段1223（窗口未核实）；未取得该方向可配对的1688货源证据。</t>
  </si>
  <si>
    <t>被动绕线工具可整理电器外部线材；背胶失效和靠近热源使用可能增加投诉。</t>
  </si>
  <si>
    <t>突出适配表面与安装位置</t>
  </si>
  <si>
    <t>PH/PHP与30天SKU销量；准确SKU规格及货源报价；包装计费重与运费；本店完整费项、活动、税与汇率；当前现金/未决损失；样品/合规/图权。先证实无带电组件、胶黏属性、适配表面；不做电气安全承诺。</t>
  </si>
  <si>
    <t>C 属性待核：脱胶与热源距离；不宣称防火或电气保护；取得主货源、完整成本后再判。</t>
  </si>
  <si>
    <t>https://shopee.ph/product/1209340734/27308021764</t>
  </si>
  <si>
    <t>C09</t>
  </si>
  <si>
    <t>螺旋式线材整理保护管</t>
  </si>
  <si>
    <t>历史2026-09-10记录：价格原值105（币种未确认）；销量字段522（窗口未核实）；未取得该方向可配对的1688货源证据。</t>
  </si>
  <si>
    <t>被动整理套管可按长度/直径区分用途；规格错配与安装难度可能拉低转化。</t>
  </si>
  <si>
    <t>按内径和长度售卖</t>
  </si>
  <si>
    <t>PH/PHP与30天SKU销量；准确SKU规格及货源报价；包装计费重与运费；本店完整费项、活动、税与汇率；当前现金/未决损失；样品/合规/图权。核实每米/每卷单位，排除电气绝缘或阻燃认证诉求。</t>
  </si>
  <si>
    <t>B 规格优先：规格与材质核实；不宣称防猫咬或绝缘认证；取得主货源、完整成本后再判。</t>
  </si>
  <si>
    <t>https://shopee.ph/product/284375657/14488134409</t>
  </si>
  <si>
    <t>C10</t>
  </si>
  <si>
    <t>衣物粘毛滚筒加替换芯</t>
  </si>
  <si>
    <t>历史2026-09-10记录：价格原值15（币种未确认）；销量字段2969（窗口未核实）；未取得该方向可配对的1688货源证据。</t>
  </si>
  <si>
    <t>替换芯可能形成后续需求，但本轮没有真实复购数据，不能计复购率。</t>
  </si>
  <si>
    <t>滚筒与替换芯组合、撕取演示</t>
  </si>
  <si>
    <t>PH/PHP与30天SKU销量；准确SKU规格及货源报价；包装计费重与运费；本店完整费项、活动、税与汇率；当前现金/未决损失；样品/合规/图权。粘胶相关属性和剩余纸张数、撕取效果未核；先确认经营边界。</t>
  </si>
  <si>
    <t>C 属性待核：纸张数、粘力、实际毛发清理测试；取得主货源、完整成本后再判。</t>
  </si>
  <si>
    <t>https://shopee.ph/product/279498155/15750813899</t>
  </si>
  <si>
    <t>C11</t>
  </si>
  <si>
    <t>硅胶排水口毛发过滤片</t>
  </si>
  <si>
    <t>历史2026-09-10记录：价格原值49（币种未确认）；销量字段647（窗口未核实）；未取得该方向可配对的1688货源证据。</t>
  </si>
  <si>
    <t>浴室排水口过滤是可验证的场景；低客单、孔径不匹配和排水慢可能否定方案。</t>
  </si>
  <si>
    <t>按孔径与排水口形状组合</t>
  </si>
  <si>
    <t>PH/PHP与30天SKU销量；准确SKU规格及货源报价；包装计费重与运费；本店完整费项、活动、税与汇率；当前现金/未决损失；样品/合规/图权。只研究浴室非食品接触用途；不可声称抗菌或除臭。</t>
  </si>
  <si>
    <t>B 低优先：排水速度、贴合度；不作杀菌除臭承诺；取得主货源、完整成本后再判。</t>
  </si>
  <si>
    <t>https://shopee.ph/product/970194884/19694647631</t>
  </si>
  <si>
    <t>C12</t>
  </si>
  <si>
    <t>挂式塑料袋收纳袋</t>
  </si>
  <si>
    <t>历史2026-09-10记录：价格原值27（币种未确认）；销量字段4053（窗口未核实）；未取得该方向可配对的1688货源证据。</t>
  </si>
  <si>
    <t>上装下抽可演示使用价值，但低价方向需验证组合后仍有市场需求。</t>
  </si>
  <si>
    <t>上装下抽、尺寸与悬挂方式清楚</t>
  </si>
  <si>
    <t>PH/PHP与30天SKU销量；准确SKU规格及货源报价；包装计费重与运费；本店完整费项、活动、税与汇率；当前现金/未决损失；样品/合规/图权。需主货源、袋口和挂带样品检查；无证据不推导高转化。</t>
  </si>
  <si>
    <t>B 暂缓单卖：低单价竞争；抽取顺畅、挂带强度；取得主货源、完整成本后再判。</t>
  </si>
  <si>
    <t>https://shopee.ph/product/419236915/41276257375</t>
  </si>
  <si>
    <t>C13</t>
  </si>
  <si>
    <t>可重复使用粘扣理线带套装</t>
  </si>
  <si>
    <t>历史2026-09-11记录：价格原值100（币种未确认）；销量字段149（窗口未核实）；1688历史起价0.03元；MOQ=1；代发原字段=True；未同SKU核验。</t>
  </si>
  <si>
    <t>不带胶的可重复绑带符合被动理线方向，套装有机会覆盖固定费。</t>
  </si>
  <si>
    <t>50条套装为竞品标题规格；自有销售套数和尺寸待确认</t>
  </si>
  <si>
    <t>PH/PHP与30天SKU销量；准确SKU规格及货源报价；包装计费重与运费；本店完整费项、活动、税与汇率；当前现金/未决损失；样品/合规/图权。0.03元为历史起价，不是50条整套报价；自粘一词需确认是钩毛还是背胶。</t>
  </si>
  <si>
    <t>A 优先补证：绑扎力度、反复开合、整套数量；不带胶、不宣称电气绝缘；取得主货源、完整成本后再判。</t>
  </si>
  <si>
    <t>https://shopee.ph/product/264585346/20569033063</t>
  </si>
  <si>
    <t>https://detail.1688.com/offer/594370725177.html</t>
  </si>
  <si>
    <t>C14</t>
  </si>
  <si>
    <t>网眼拉链旅行收纳包</t>
  </si>
  <si>
    <t>历史2026-09-11记录：价格原值44（币种未确认）；销量字段677（窗口未核实）；1688历史起价1.13元；MOQ=1；代发原字段=False；未同SKU核验。</t>
  </si>
  <si>
    <t>网眼空包易做尺寸和可见性演示，可与旅行整理共享目标客群。</t>
  </si>
  <si>
    <t>网眼材质、拉链开合；长宽与单套数量待确认</t>
  </si>
  <si>
    <t>PH/PHP与30天SKU销量；准确SKU规格及货源报价；包装计费重与运费；本店完整费项、活动、税与汇率；当前现金/未决损失；样品/合规/图权。1.13元历史起价且代发字段false；单件供货、尺寸、包重重新核实。</t>
  </si>
  <si>
    <t>A 优先补证：拉链、接缝、网眼耐磨；只售空包；取得主货源、完整成本后再判。</t>
  </si>
  <si>
    <t>https://shopee.ph/product/1229056552/25525886150</t>
  </si>
  <si>
    <t>https://detail.1688.com/offer/965458977775.html</t>
  </si>
  <si>
    <t>C15</t>
  </si>
  <si>
    <t>五合一可折叠裤架</t>
  </si>
  <si>
    <t>历史2026-09-11记录：价格原值69（币种未确认）；销量字段3423（窗口未核实）；1688历史起价8.5元；MOQ=1；代发原字段=True；未同SKU核验。</t>
  </si>
  <si>
    <t>折叠裤架有空间利用卖点，但金属杆、体积和关节质量可能不适合轻小跨境。</t>
  </si>
  <si>
    <t>五杆折叠结构；材质、尺寸与包装重待确认</t>
  </si>
  <si>
    <t>PH/PHP与30天SKU销量；准确SKU规格及货源报价；包装计费重与运费；本店完整费项、活动、税与汇率；当前现金/未决损失；样品/合规/图权。历史8.5元不是当前SKU报价；包装超过500g即不符合当前门槛。</t>
  </si>
  <si>
    <t>B 重量先筛：杆件毛刺、负重与折叠连接处；先排除超过500g；取得主货源、完整成本后再判。</t>
  </si>
  <si>
    <t>https://shopee.ph/product/998991383/16595257849</t>
  </si>
  <si>
    <t>https://detail.1688.com/offer/732898036456.html</t>
  </si>
  <si>
    <t>C16</t>
  </si>
  <si>
    <t>双层线材旅行收纳包</t>
  </si>
  <si>
    <t>历史2026-09-11记录：价格原值105（币种未确认）；销量字段327（窗口未核实）；未取得该方向可配对的1688货源证据。</t>
  </si>
  <si>
    <t>双层空包可以表达线材分仓；不含任何带电配件时可研究相邻旅行需求。</t>
  </si>
  <si>
    <t>双层空收纳包；不含电线、电源或其他带电配件</t>
  </si>
  <si>
    <t>PH/PHP与30天SKU销量；准确SKU规格及货源报价；包装计费重与运费；本店完整费项、活动、税与汇率；当前现金/未决损失；样品/合规/图权。主货源缺失；图中的充电器等不能默认属于套装，不复制防水宣称。</t>
  </si>
  <si>
    <t>A 优先补证：分仓尺寸、拉链、空包净重；不可复制防水宣传；取得主货源、完整成本后再判。</t>
  </si>
  <si>
    <t>https://shopee.ph/product/514999607/25305669141</t>
  </si>
  <si>
    <t>C17</t>
  </si>
  <si>
    <t>便携首饰分格收纳盒</t>
  </si>
  <si>
    <t>历史2026-09-11记录：价格原值136（币种未确认）；销量字段415（窗口未核实）；未取得该方向可配对的1688货源证据。</t>
  </si>
  <si>
    <t>首饰分格有收纳用途，但硬盒体积和内衬质量可能增加成本与售后。</t>
  </si>
  <si>
    <t>耳环、戒指及项链分格；盒体材质与尺寸待确认</t>
  </si>
  <si>
    <t>PH/PHP与30天SKU销量；准确SKU规格及货源报价；包装计费重与运费；本店完整费项、活动、税与汇率；当前现金/未决损失；样品/合规/图权。不含首饰，确认盒体尺寸、分隔固定、划伤测试及外观权利。</t>
  </si>
  <si>
    <t>B 客单待核：隔断固定、合页/拉链、防刮；不含首饰；取得主货源、完整成本后再判。</t>
  </si>
  <si>
    <t>https://shopee.ph/product/38727052/27810028091</t>
  </si>
  <si>
    <t>C18</t>
  </si>
  <si>
    <t>门背免打孔挂钩架</t>
  </si>
  <si>
    <t>历史2026-09-11记录：价格原值169（币种未确认）；销量字段826（窗口未核实）；未取得该方向可配对的1688货源证据。</t>
  </si>
  <si>
    <t>挂门结构可避免胶粘，但门厚/门缝差异增加不适配风险。</t>
  </si>
  <si>
    <t>挂门式结构；门厚、挂钩数量及材质待确认</t>
  </si>
  <si>
    <t>PH/PHP与30天SKU销量；准确SKU规格及货源报价；包装计费重与运费；本店完整费项、活动、税与汇率；当前现金/未决损失；样品/合规/图权。先测门厚范围、承重、防刮和包装重；不是宣称适配全部家庭。</t>
  </si>
  <si>
    <t>B 适配先筛：门缝适配、防刮垫、承重、计费重量；不用胶；取得主货源、完整成本后再判。</t>
  </si>
  <si>
    <t>https://shopee.ph/product/375375228/28740303369</t>
  </si>
  <si>
    <t>C19</t>
  </si>
  <si>
    <t>十夹式小件晾晒衣架</t>
  </si>
  <si>
    <t>历史2026-09-11记录：价格原值82（币种未确认）；销量字段387（窗口未核实）；未取得该方向可配对的1688货源证据。</t>
  </si>
  <si>
    <t>小件晾晒用途明确；夹力、弹簧锈蚀和毛刺需要样品证据。</t>
  </si>
  <si>
    <t>标题为单个10夹；实物夹数、尺寸、材质待确认</t>
  </si>
  <si>
    <t>PH/PHP与30天SKU销量；准确SKU规格及货源报价；包装计费重与运费；本店完整费项、活动、税与汇率；当前现金/未决损失；样品/合规/图权。每个10夹的准确件数、材质、包重与备用货源都缺。</t>
  </si>
  <si>
    <t>B 质量先筛：夹力、夹齿毛刺、弹簧锈蚀和包装后重量；取得主货源、完整成本后再判。</t>
  </si>
  <si>
    <t>https://shopee.ph/product/370984810/12536138081</t>
  </si>
  <si>
    <t>C20</t>
  </si>
  <si>
    <t>悬挂文件分袋整理袋</t>
  </si>
  <si>
    <t>历史2026-09-11记录：价格原值99（币种未确认）；销量字段494（窗口未核实）；未取得该方向可配对的1688货源证据。</t>
  </si>
  <si>
    <t>空文件整理袋可拓展桌面收纳客群；跨不同用途的销量不能合并。</t>
  </si>
  <si>
    <t>布质多袋悬挂结构待实物确认；口袋尺寸适配A4需测量</t>
  </si>
  <si>
    <t>PH/PHP与30天SKU销量；准确SKU规格及货源报价；包装计费重与运费；本店完整费项、活动、税与汇率；当前现金/未决损失；样品/合规/图权。A4适配须实际测量，文件袋不能用内衣收纳款销量替代。</t>
  </si>
  <si>
    <t>B 规格先筛：仅空整理袋；不附书籍，不沿用内衣收纳不同规格销量；取得主货源、完整成本后再判。</t>
  </si>
  <si>
    <t>https://shopee.ph/product/1344635572/43306697837</t>
  </si>
  <si>
    <t>C21</t>
  </si>
  <si>
    <t>桌面穿线孔盖</t>
  </si>
  <si>
    <t>历史2026-09-11记录：价格原值72（币种未确认）；销量字段166（窗口未核实）；未取得该方向可配对的1688货源证据。</t>
  </si>
  <si>
    <t>孔盖属于被动整理配件，但购买依赖开孔尺寸，错配可能导致高退货。</t>
  </si>
  <si>
    <t>矩形ABS桌面孔盖；开孔尺寸与安装结构待确认</t>
  </si>
  <si>
    <t>PH/PHP与30天SKU销量；准确SKU规格及货源报价；包装计费重与运费；本店完整费项、活动、税与汇率；当前现金/未决损失；样品/合规/图权。先验证常见尺寸的真实需求，排除受保护品牌/设计。</t>
  </si>
  <si>
    <t>C 暂缓：尺寸匹配投诉风险；每种开孔规格单独验证；只售被动孔盖；取得主货源、完整成本后再判。</t>
  </si>
  <si>
    <t>https://shopee.ph/product/1157080722/25286970958</t>
  </si>
  <si>
    <t>C22</t>
  </si>
  <si>
    <t>编织式线材整理套管</t>
  </si>
  <si>
    <t>历史2026-09-11记录：价格原值313（币种未确认）；销量字段360（窗口未核实）；未取得该方向可配对的1688货源证据。</t>
  </si>
  <si>
    <t>编织套管可以研究被动收束用途，但长度和直径单位容易错配。</t>
  </si>
  <si>
    <t>竞品标题20米PET编织结构；直径、截段及单位待确认</t>
  </si>
  <si>
    <t>PH/PHP与30天SKU销量；准确SKU规格及货源报价；包装计费重与运费；本店完整费项、活动、税与汇率；当前现金/未决损失；样品/合规/图权。20米竞品标题不能对应1米采购起价，绝缘/阻燃/防咬宣称须排除。</t>
  </si>
  <si>
    <t>C 暂缓：承运/属性边界待核；仅考虑被动整理用途，绝缘阻燃等主张不采纳；取得主货源、完整成本后再判。</t>
  </si>
  <si>
    <t>https://shopee.ph/product/969657190/22135470144</t>
  </si>
  <si>
    <t>02 · 逐项证据门槛</t>
  </si>
  <si>
    <t>达到数字门槛与证据有效是两件事。未核实、不适用和不通过分别记录；不生成虚假的总体通过率。</t>
  </si>
  <si>
    <t>产品</t>
  </si>
  <si>
    <t>维度</t>
  </si>
  <si>
    <t>实际值/已知状态</t>
  </si>
  <si>
    <t>判定门槛</t>
  </si>
  <si>
    <t>符合程度</t>
  </si>
  <si>
    <t>解释及影响</t>
  </si>
  <si>
    <t>证据定位</t>
  </si>
  <si>
    <t>数据质量</t>
  </si>
  <si>
    <t>原销量日=1970-01-01; PH查询/THB字典冲突</t>
  </si>
  <si>
    <t>PH/PHP与明确30天SKU口径有效</t>
  </si>
  <si>
    <t>不能用于定价、月销量、市场规模或利润事实</t>
  </si>
  <si>
    <t>evidence/2026-09-10-candidates.json#/0</t>
  </si>
  <si>
    <t>需求</t>
  </si>
  <si>
    <t>相关关键词原始样本20条；有效可比样本0；单条原始销量字段4957</t>
  </si>
  <si>
    <t>≥10可比商品/5店；30天合计≥300件；3店各≥30件</t>
  </si>
  <si>
    <t>原始样本未证同规格和有效窗口，无法比较达标程度</t>
  </si>
  <si>
    <t>evidence/2026-09-10-raw-observations.json#/market/1/result/content/0/text→JSON/data/2</t>
  </si>
  <si>
    <t>竞争与价格</t>
  </si>
  <si>
    <t>价格原值75，币种未确认；本地/跨境可比组未完成</t>
  </si>
  <si>
    <t>CR3≤70%；2跨境店各≥30件；到手价≤跨境中位数110%</t>
  </si>
  <si>
    <t>未计算价格分布或集中度，不能把单个畅销链接当入场证据</t>
  </si>
  <si>
    <t>趋势与质量</t>
  </si>
  <si>
    <t>暂无可用3期趋势；样品未验</t>
  </si>
  <si>
    <t>同规格3期观察；样品确认差异点与重要质量项</t>
  </si>
  <si>
    <t>拉链开合与机洗测试；套装件数逐件对齐</t>
  </si>
  <si>
    <t>1688货源</t>
  </si>
  <si>
    <t>1688历史起价0.6元；MOQ=1；代发原字段=True；未同SKU核验</t>
  </si>
  <si>
    <t>24h内逐SKU报价；可单件代发；MOQ兼容；库存≥10套；备货≤48h</t>
  </si>
  <si>
    <t>仅线索</t>
  </si>
  <si>
    <t>比较网眼、拉链包边、尺寸和套装件数，不借竞品品牌。</t>
  </si>
  <si>
    <t>evidence/2026-09-10-raw-observations.json#/suppliers/0/result/content/0/text→JSON/data/5</t>
  </si>
  <si>
    <t>物流履约</t>
  </si>
  <si>
    <t>包装尺寸/实重/体积重、净运费和各段时长未知</t>
  </si>
  <si>
    <t>计费重≤500g；物流≤收入25%；平台截止前24h缓冲</t>
  </si>
  <si>
    <t>无运费无法算真实采购上限；目测尺寸不作证据</t>
  </si>
  <si>
    <t>完全成本</t>
  </si>
  <si>
    <t>利润/利润率/最高采购价/压力利润均未知</t>
  </si>
  <si>
    <t>≥20%且≥15元；组合压力≥0；报价≤采购上限</t>
  </si>
  <si>
    <t>无法计算</t>
  </si>
  <si>
    <t>03和04保留空白，不用公共示例费率补齐实际成本</t>
  </si>
  <si>
    <t>03_逐品成本 / 04_费用明细</t>
  </si>
  <si>
    <t>500元与资金</t>
  </si>
  <si>
    <t>测试单量、单品总成本、今日现金及未决损失未知</t>
  </si>
  <si>
    <t>单品累计总成本≤500；全店应急≥5000、月损失≤4000</t>
  </si>
  <si>
    <t>启动20,000元不是今天余额；候选不能独立重复用同一现金</t>
  </si>
  <si>
    <t>05_500元与现金</t>
  </si>
  <si>
    <t>合规与权利</t>
  </si>
  <si>
    <t>暂无逐SKU合规/图权/样品通过记录</t>
  </si>
  <si>
    <t>禁限售/认证/承运/品牌外观/图片授权均明确通过</t>
  </si>
  <si>
    <t>普通空收纳用途仅为方向筛选，不等于合规结论；比较网眼、拉链包边、尺寸和套装件数，不借竞品品牌。</t>
  </si>
  <si>
    <t>O03/O04；evidence/2026-09-10-candidates.json#/0</t>
  </si>
  <si>
    <t>evidence/2026-09-10-candidates.json#/1</t>
  </si>
  <si>
    <t>相关关键词原始样本20条；有效可比样本0；单条原始销量字段68</t>
  </si>
  <si>
    <t>evidence/2026-09-10-raw-observations.json#/market/3/result/content/0/text→JSON/data/6</t>
  </si>
  <si>
    <t>价格原值243，币种未确认；本地/跨境可比组未完成</t>
  </si>
  <si>
    <t>体积重量；普通分装与压缩功能分开核实</t>
  </si>
  <si>
    <t>1688历史起价7.8元；MOQ=1；代发原字段=False；未同SKU核验</t>
  </si>
  <si>
    <t>现有7.8元为历史起价且代发原字段为false，不能认定支持当前模式。</t>
  </si>
  <si>
    <t>evidence/2026-09-10-raw-observations.json#/suppliers/1/result/content/0/text→JSON/data/0</t>
  </si>
  <si>
    <t>普通空收纳用途仅为方向筛选，不等于合规结论；现有7.8元为历史起价且代发原字段为false，不能认定支持当前模式。</t>
  </si>
  <si>
    <t>O03/O04；evidence/2026-09-10-candidates.json#/1</t>
  </si>
  <si>
    <t>evidence/2026-09-10-candidates.json#/2</t>
  </si>
  <si>
    <t>相关关键词原始样本20条；有效可比样本0；单条原始销量字段3470</t>
  </si>
  <si>
    <t>evidence/2026-09-10-raw-observations.json#/market/4/result/content/0/text→JSON/data/1</t>
  </si>
  <si>
    <t>价格原值110，币种未确认；本地/跨境可比组未完成</t>
  </si>
  <si>
    <t>挂钩强度、拉链、湿擦测试；不带液体</t>
  </si>
  <si>
    <t>未取得该方向可配对的1688货源证据</t>
  </si>
  <si>
    <t>缺货源</t>
  </si>
  <si>
    <t>主货源空缺，需核实挂钩强度、空包包装重；不含液体、不直接称防水。</t>
  </si>
  <si>
    <t>普通空收纳用途仅为方向筛选，不等于合规结论；主货源空缺，需核实挂钩强度、空包包装重；不含液体、不直接称防水。</t>
  </si>
  <si>
    <t>O03/O04；evidence/2026-09-10-candidates.json#/2</t>
  </si>
  <si>
    <t>evidence/2026-09-10-candidates.json#/3</t>
  </si>
  <si>
    <t>相关关键词原始样本20条；有效可比样本0；单条原始销量字段102</t>
  </si>
  <si>
    <t>evidence/2026-09-10-raw-observations.json#/market/0/result/content/0/text→JSON/data/10</t>
  </si>
  <si>
    <t>价格原值15，币种未确认；本地/跨境可比组未完成</t>
  </si>
  <si>
    <t>低客单单卖成本；抽绳牢度与布料厚度</t>
  </si>
  <si>
    <t>多件组合会改变SKU和竞品可比性，不能拿单只销量配整套定价。</t>
  </si>
  <si>
    <t>普通空收纳用途仅为方向筛选，不等于合规结论；多件组合会改变SKU和竞品可比性，不能拿单只销量配整套定价。</t>
  </si>
  <si>
    <t>O03/O04；evidence/2026-09-10-candidates.json#/3</t>
  </si>
  <si>
    <t>evidence/2026-09-10-candidates.json#/4</t>
  </si>
  <si>
    <t>相关关键词原始样本20条；有效可比样本0；单条原始销量字段750</t>
  </si>
  <si>
    <t>evidence/2026-09-10-raw-observations.json#/market/4/result/content/0/text→JSON/data/12</t>
  </si>
  <si>
    <t>价格原值168，币种未确认；本地/跨境可比组未完成</t>
  </si>
  <si>
    <t>承重、缝线、折叠包装体积</t>
  </si>
  <si>
    <t>先取得折叠包装尺寸，再核承重和缝线；图片视觉轻薄不等于计费轻。</t>
  </si>
  <si>
    <t>普通空收纳用途仅为方向筛选，不等于合规结论；先取得折叠包装尺寸，再核承重和缝线；图片视觉轻薄不等于计费轻。</t>
  </si>
  <si>
    <t>O03/O04；evidence/2026-09-10-candidates.json#/4</t>
  </si>
  <si>
    <t>evidence/2026-09-10-candidates.json#/5</t>
  </si>
  <si>
    <t>相关关键词原始样本20条；有效可比样本0；单条原始销量字段528</t>
  </si>
  <si>
    <t>evidence/2026-09-10-raw-observations.json#/market/4/result/content/0/text→JSON/data/17</t>
  </si>
  <si>
    <t>价格原值40，币种未确认；本地/跨境可比组未完成</t>
  </si>
  <si>
    <t>挂钩数量、组装难度、素材版权</t>
  </si>
  <si>
    <t>只研究成人收纳用途和无侵权图案；不能推断儿童用品准入。</t>
  </si>
  <si>
    <t>普通空收纳用途仅为方向筛选，不等于合规结论；只研究成人收纳用途和无侵权图案；不能推断儿童用品准入。</t>
  </si>
  <si>
    <t>O03/O04；evidence/2026-09-10-candidates.json#/5</t>
  </si>
  <si>
    <t>evidence/2026-09-10-candidates.json#/6</t>
  </si>
  <si>
    <t>相关关键词原始样本20条；有效可比样本0；单条原始销量字段923</t>
  </si>
  <si>
    <t>evidence/2026-09-10-raw-observations.json#/market/2/result/content/0/text→JSON/data/4</t>
  </si>
  <si>
    <t>价格原值78，币种未确认；本地/跨境可比组未完成</t>
  </si>
  <si>
    <t>胶黏耐湿热、可适配线径；参考样本为Choice Global且品牌字段有冲突</t>
  </si>
  <si>
    <t>1688历史起价0.4元；MOQ=2；代发原字段=True；未同SKU核验</t>
  </si>
  <si>
    <t>背胶/成分和承运未知；先明确是否符合不做化学相关产品的边界。</t>
  </si>
  <si>
    <t>evidence/2026-09-10-raw-observations.json#/suppliers/2/result/content/0/text→JSON/data/0</t>
  </si>
  <si>
    <t>普通空收纳用途仅为方向筛选，不等于合规结论；背胶/成分和承运未知；先明确是否符合不做化学相关产品的边界。</t>
  </si>
  <si>
    <t>O03/O04；evidence/2026-09-10-candidates.json#/6</t>
  </si>
  <si>
    <t>evidence/2026-09-10-candidates.json#/7</t>
  </si>
  <si>
    <t>相关关键词原始样本20条；有效可比样本0；单条原始销量字段1223</t>
  </si>
  <si>
    <t>evidence/2026-09-10-raw-observations.json#/market/2/result/content/0/text→JSON/data/3</t>
  </si>
  <si>
    <t>价格原值39，币种未确认；本地/跨境可比组未完成</t>
  </si>
  <si>
    <t>脱胶与热源距离；不宣称防火或电气保护</t>
  </si>
  <si>
    <t>先证实无带电组件、胶黏属性、适配表面；不做电气安全承诺。</t>
  </si>
  <si>
    <t>普通空收纳用途仅为方向筛选，不等于合规结论；先证实无带电组件、胶黏属性、适配表面；不做电气安全承诺。</t>
  </si>
  <si>
    <t>O03/O04；evidence/2026-09-10-candidates.json#/7</t>
  </si>
  <si>
    <t>evidence/2026-09-10-candidates.json#/8</t>
  </si>
  <si>
    <t>相关关键词原始样本20条；有效可比样本0；单条原始销量字段522</t>
  </si>
  <si>
    <t>evidence/2026-09-10-raw-observations.json#/market/2/result/content/0/text→JSON/data/9</t>
  </si>
  <si>
    <t>价格原值105，币种未确认；本地/跨境可比组未完成</t>
  </si>
  <si>
    <t>规格与材质核实；不宣称防猫咬或绝缘认证</t>
  </si>
  <si>
    <t>核实每米/每卷单位，排除电气绝缘或阻燃认证诉求。</t>
  </si>
  <si>
    <t>普通空收纳用途仅为方向筛选，不等于合规结论；核实每米/每卷单位，排除电气绝缘或阻燃认证诉求。</t>
  </si>
  <si>
    <t>O03/O04；evidence/2026-09-10-candidates.json#/8</t>
  </si>
  <si>
    <t>evidence/2026-09-10-candidates.json#/9</t>
  </si>
  <si>
    <t>相关关键词原始样本20条；有效可比样本0；单条原始销量字段2969</t>
  </si>
  <si>
    <t>evidence/2026-09-10-raw-observations.json#/market/5/result/content/0/text→JSON/data/2</t>
  </si>
  <si>
    <t>纸张数、粘力、实际毛发清理测试</t>
  </si>
  <si>
    <t>粘胶相关属性和剩余纸张数、撕取效果未核；先确认经营边界。</t>
  </si>
  <si>
    <t>普通空收纳用途仅为方向筛选，不等于合规结论；粘胶相关属性和剩余纸张数、撕取效果未核；先确认经营边界。</t>
  </si>
  <si>
    <t>O03/O04；evidence/2026-09-10-candidates.json#/9</t>
  </si>
  <si>
    <t>evidence/2026-09-10-candidates.json#/10</t>
  </si>
  <si>
    <t>相关关键词原始样本20条；有效可比样本0；单条原始销量字段647</t>
  </si>
  <si>
    <t>evidence/2026-09-10-raw-observations.json#/market/6/result/content/0/text→JSON/data/11</t>
  </si>
  <si>
    <t>价格原值49，币种未确认；本地/跨境可比组未完成</t>
  </si>
  <si>
    <t>排水速度、贴合度；不作杀菌除臭承诺</t>
  </si>
  <si>
    <t>只研究浴室非食品接触用途；不可声称抗菌或除臭。</t>
  </si>
  <si>
    <t>普通空收纳用途仅为方向筛选，不等于合规结论；只研究浴室非食品接触用途；不可声称抗菌或除臭。</t>
  </si>
  <si>
    <t>O03/O04；evidence/2026-09-10-candidates.json#/10</t>
  </si>
  <si>
    <t>evidence/2026-09-10-candidates.json#/11</t>
  </si>
  <si>
    <t>相关关键词原始样本20条；有效可比样本0；单条原始销量字段4053</t>
  </si>
  <si>
    <t>evidence/2026-09-10-raw-observations.json#/market/4/result/content/0/text→JSON/data/0</t>
  </si>
  <si>
    <t>价格原值27，币种未确认；本地/跨境可比组未完成</t>
  </si>
  <si>
    <t>低单价竞争；抽取顺畅、挂带强度</t>
  </si>
  <si>
    <t>需主货源、袋口和挂带样品检查；无证据不推导高转化。</t>
  </si>
  <si>
    <t>普通空收纳用途仅为方向筛选，不等于合规结论；需主货源、袋口和挂带样品检查；无证据不推导高转化。</t>
  </si>
  <si>
    <t>O03/O04；evidence/2026-09-10-candidates.json#/11</t>
  </si>
  <si>
    <t>evidence/2026-09-11-candidates.json#/0</t>
  </si>
  <si>
    <t>相关关键词原始样本20条；有效可比样本0；单条原始销量字段149</t>
  </si>
  <si>
    <t>evidence/2026-09-11-raw-observations.json#/queries/2/result/content/0/text→JSON/data/19</t>
  </si>
  <si>
    <t>价格原值100，币种未确认；本地/跨境可比组未完成</t>
  </si>
  <si>
    <t>绑扎力度、反复开合、整套数量；不带胶、不宣称电气绝缘</t>
  </si>
  <si>
    <t>1688历史起价0.03元；MOQ=1；代发原字段=True；未同SKU核验</t>
  </si>
  <si>
    <t>0.03元为历史起价，不是50条整套报价；自粘一词需确认是钩毛还是背胶。</t>
  </si>
  <si>
    <t>evidence/2026-09-11-raw-observations.json#/queries/6/result/content/0/text→JSON/data/0</t>
  </si>
  <si>
    <t>普通空收纳用途仅为方向筛选，不等于合规结论；0.03元为历史起价，不是50条整套报价；自粘一词需确认是钩毛还是背胶。</t>
  </si>
  <si>
    <t>O03/O04；evidence/2026-09-11-candidates.json#/0</t>
  </si>
  <si>
    <t>evidence/2026-09-11-candidates.json#/1</t>
  </si>
  <si>
    <t>相关关键词原始样本20条；有效可比样本0；单条原始销量字段677</t>
  </si>
  <si>
    <t>evidence/2026-09-11-raw-observations.json#/queries/1/result/content/0/text→JSON/data/7</t>
  </si>
  <si>
    <t>价格原值44，币种未确认；本地/跨境可比组未完成</t>
  </si>
  <si>
    <t>拉链、接缝、网眼耐磨；只售空包</t>
  </si>
  <si>
    <t>1688历史起价1.13元；MOQ=1；代发原字段=False；未同SKU核验</t>
  </si>
  <si>
    <t>1.13元历史起价且代发字段false；单件供货、尺寸、包重重新核实。</t>
  </si>
  <si>
    <t>evidence/2026-09-11-raw-observations.json#/queries/5/result/content/0/text→JSON/data/7</t>
  </si>
  <si>
    <t>普通空收纳用途仅为方向筛选，不等于合规结论；1.13元历史起价且代发字段false；单件供货、尺寸、包重重新核实。</t>
  </si>
  <si>
    <t>O03/O04；evidence/2026-09-11-candidates.json#/1</t>
  </si>
  <si>
    <t>evidence/2026-09-11-candidates.json#/2</t>
  </si>
  <si>
    <t>相关关键词原始样本20条；有效可比样本0；单条原始销量字段3423</t>
  </si>
  <si>
    <t>evidence/2026-09-11-raw-observations.json#/queries/0/result/content/0/text→JSON/data/0</t>
  </si>
  <si>
    <t>价格原值69，币种未确认；本地/跨境可比组未完成</t>
  </si>
  <si>
    <t>杆件毛刺、负重与折叠连接处；先排除超过500g</t>
  </si>
  <si>
    <t>1688历史起价8.5元；MOQ=1；代发原字段=True；未同SKU核验</t>
  </si>
  <si>
    <t>历史8.5元不是当前SKU报价；包装超过500g即不符合当前门槛。</t>
  </si>
  <si>
    <t>evidence/2026-09-11-raw-observations.json#/queries/4/result/content/0/text→JSON/data/7</t>
  </si>
  <si>
    <t>普通空收纳用途仅为方向筛选，不等于合规结论；历史8.5元不是当前SKU报价；包装超过500g即不符合当前门槛。</t>
  </si>
  <si>
    <t>O03/O04；evidence/2026-09-11-candidates.json#/2</t>
  </si>
  <si>
    <t>evidence/2026-09-11-candidates.json#/3</t>
  </si>
  <si>
    <t>相关关键词原始样本20条；有效可比样本0；单条原始销量字段327</t>
  </si>
  <si>
    <t>evidence/2026-09-11-raw-observations.json#/queries/1/result/content/0/text→JSON/data/16</t>
  </si>
  <si>
    <t>分仓尺寸、拉链、空包净重；不可复制防水宣传</t>
  </si>
  <si>
    <t>主货源缺失；图中的充电器等不能默认属于套装，不复制防水宣称。</t>
  </si>
  <si>
    <t>普通空收纳用途仅为方向筛选，不等于合规结论；主货源缺失；图中的充电器等不能默认属于套装，不复制防水宣称。</t>
  </si>
  <si>
    <t>O03/O04；evidence/2026-09-11-candidates.json#/3</t>
  </si>
  <si>
    <t>evidence/2026-09-11-candidates.json#/4</t>
  </si>
  <si>
    <t>相关关键词原始样本20条；有效可比样本0；单条原始销量字段415</t>
  </si>
  <si>
    <t>evidence/2026-09-11-raw-observations.json#/queries/1/result/content/0/text→JSON/data/12</t>
  </si>
  <si>
    <t>价格原值136，币种未确认；本地/跨境可比组未完成</t>
  </si>
  <si>
    <t>隔断固定、合页/拉链、防刮；不含首饰</t>
  </si>
  <si>
    <t>不含首饰，确认盒体尺寸、分隔固定、划伤测试及外观权利。</t>
  </si>
  <si>
    <t>普通空收纳用途仅为方向筛选，不等于合规结论；不含首饰，确认盒体尺寸、分隔固定、划伤测试及外观权利。</t>
  </si>
  <si>
    <t>O03/O04；evidence/2026-09-11-candidates.json#/4</t>
  </si>
  <si>
    <t>evidence/2026-09-11-candidates.json#/5</t>
  </si>
  <si>
    <t>相关关键词原始样本20条；有效可比样本0；单条原始销量字段826</t>
  </si>
  <si>
    <t>evidence/2026-09-11-raw-observations.json#/queries/0/result/content/0/text→JSON/data/6</t>
  </si>
  <si>
    <t>价格原值169，币种未确认；本地/跨境可比组未完成</t>
  </si>
  <si>
    <t>门缝适配、防刮垫、承重、计费重量；不用胶</t>
  </si>
  <si>
    <t>先测门厚范围、承重、防刮和包装重；不是宣称适配全部家庭。</t>
  </si>
  <si>
    <t>普通空收纳用途仅为方向筛选，不等于合规结论；先测门厚范围、承重、防刮和包装重；不是宣称适配全部家庭。</t>
  </si>
  <si>
    <t>O03/O04；evidence/2026-09-11-candidates.json#/5</t>
  </si>
  <si>
    <t>evidence/2026-09-11-candidates.json#/6</t>
  </si>
  <si>
    <t>相关关键词原始样本20条；有效可比样本0；单条原始销量字段387</t>
  </si>
  <si>
    <t>evidence/2026-09-11-raw-observations.json#/queries/0/result/content/0/text→JSON/data/19</t>
  </si>
  <si>
    <t>价格原值82，币种未确认；本地/跨境可比组未完成</t>
  </si>
  <si>
    <t>夹力、夹齿毛刺、弹簧锈蚀和包装后重量</t>
  </si>
  <si>
    <t>每个10夹的准确件数、材质、包重与备用货源都缺。</t>
  </si>
  <si>
    <t>普通空收纳用途仅为方向筛选，不等于合规结论；每个10夹的准确件数、材质、包重与备用货源都缺。</t>
  </si>
  <si>
    <t>O03/O04；evidence/2026-09-11-candidates.json#/6</t>
  </si>
  <si>
    <t>evidence/2026-09-11-candidates.json#/7</t>
  </si>
  <si>
    <t>相关关键词原始样本20条；有效可比样本0；单条原始销量字段494</t>
  </si>
  <si>
    <t>evidence/2026-09-11-raw-observations.json#/queries/0/result/content/0/text→JSON/data/14</t>
  </si>
  <si>
    <t>价格原值99，币种未确认；本地/跨境可比组未完成</t>
  </si>
  <si>
    <t>仅空整理袋；不附书籍，不沿用内衣收纳不同规格销量</t>
  </si>
  <si>
    <t>A4适配须实际测量，文件袋不能用内衣收纳款销量替代。</t>
  </si>
  <si>
    <t>普通空收纳用途仅为方向筛选，不等于合规结论；A4适配须实际测量，文件袋不能用内衣收纳款销量替代。</t>
  </si>
  <si>
    <t>O03/O04；evidence/2026-09-11-candidates.json#/7</t>
  </si>
  <si>
    <t>evidence/2026-09-11-candidates.json#/8</t>
  </si>
  <si>
    <t>相关关键词原始样本20条；有效可比样本0；单条原始销量字段166</t>
  </si>
  <si>
    <t>evidence/2026-09-11-raw-observations.json#/queries/2/result/content/0/text→JSON/data/17</t>
  </si>
  <si>
    <t>价格原值72，币种未确认；本地/跨境可比组未完成</t>
  </si>
  <si>
    <t>尺寸匹配投诉风险；每种开孔规格单独验证；只售被动孔盖</t>
  </si>
  <si>
    <t>先验证常见尺寸的真实需求，排除受保护品牌/设计。</t>
  </si>
  <si>
    <t>普通空收纳用途仅为方向筛选，不等于合规结论；先验证常见尺寸的真实需求，排除受保护品牌/设计。</t>
  </si>
  <si>
    <t>O03/O04；evidence/2026-09-11-candidates.json#/8</t>
  </si>
  <si>
    <t>evidence/2026-09-11-candidates.json#/9</t>
  </si>
  <si>
    <t>相关关键词原始样本20条；有效可比样本0；单条原始销量字段360</t>
  </si>
  <si>
    <t>evidence/2026-09-11-raw-observations.json#/queries/2/result/content/0/text→JSON/data/10</t>
  </si>
  <si>
    <t>价格原值313，币种未确认；本地/跨境可比组未完成</t>
  </si>
  <si>
    <t>承运/属性边界待核；仅考虑被动整理用途，绝缘阻燃等主张不采纳</t>
  </si>
  <si>
    <t>20米竞品标题不能对应1米采购起价，绝缘/阻燃/防咬宣称须排除。</t>
  </si>
  <si>
    <t>普通空收纳用途仅为方向筛选，不等于合规结论；20米竞品标题不能对应1米采购起价，绝缘/阻燃/防咬宣称须排除。</t>
  </si>
  <si>
    <t>O03/O04；evidence/2026-09-11-candidates.json#/9</t>
  </si>
  <si>
    <t>03 · 逐品成本</t>
  </si>
  <si>
    <t>一个销售单元=确定SKU一单（可以是套装）。成本预测不是已实现利润；仅填写准确报价和04全部费用，缺项不计算。报价观测≤24h另由Skill检查。修改后需重新生成审核结论。</t>
  </si>
  <si>
    <t>券后商品PHP</t>
  </si>
  <si>
    <t>额外补贴PHP</t>
  </si>
  <si>
    <t>CNY每PHP</t>
  </si>
  <si>
    <t>SKU采购价CNY</t>
  </si>
  <si>
    <t>采购数量/套</t>
  </si>
  <si>
    <t>采购联动附加率</t>
  </si>
  <si>
    <t>样品拍摄等固定测试费</t>
  </si>
  <si>
    <t>测试计划单量</t>
  </si>
  <si>
    <t>SKU报价证据</t>
  </si>
  <si>
    <t>报价截止</t>
  </si>
  <si>
    <t>费用口径审核</t>
  </si>
  <si>
    <t>费用完整</t>
  </si>
  <si>
    <t>其他成本CNY</t>
  </si>
  <si>
    <t>压力其他成本</t>
  </si>
  <si>
    <t>商品收入CNY</t>
  </si>
  <si>
    <t>采购成本CNY</t>
  </si>
  <si>
    <t>单件完全成本</t>
  </si>
  <si>
    <t>预计利润率</t>
  </si>
  <si>
    <t>采购上限CNY</t>
  </si>
  <si>
    <t>组合压力利润</t>
  </si>
  <si>
    <t>测试总成本</t>
  </si>
  <si>
    <t>500元最多测试单量</t>
  </si>
  <si>
    <t>成本判定</t>
  </si>
  <si>
    <t>04 · 费用明细</t>
  </si>
  <si>
    <t>每款18项逐项核实；0要有免费或不适用依据。交易费压力金额必须填；国内运费/仓包/SLS在压力情景再×1.15，PHP费用用汇率×0.95。广告和售后可用有依据的预算，公共费率参考不自动填成本。</t>
  </si>
  <si>
    <t>费项键</t>
  </si>
  <si>
    <t>费项名称</t>
  </si>
  <si>
    <t>币种</t>
  </si>
  <si>
    <t>基准金额</t>
  </si>
  <si>
    <t>压力金额覆盖</t>
  </si>
  <si>
    <t>状态</t>
  </si>
  <si>
    <t>规则/基数/舍入/封顶/分摊</t>
  </si>
  <si>
    <t>依据</t>
  </si>
  <si>
    <t>有效期截止</t>
  </si>
  <si>
    <t>基准CNY</t>
  </si>
  <si>
    <t>压力CNY</t>
  </si>
  <si>
    <t>本行完整</t>
  </si>
  <si>
    <t>待核实</t>
  </si>
  <si>
    <t>commission</t>
  </si>
  <si>
    <t>适用跨境佣金</t>
  </si>
  <si>
    <t>transaction</t>
  </si>
  <si>
    <t>交易费（含实际支付方式）</t>
  </si>
  <si>
    <t>installment_extra</t>
  </si>
  <si>
    <t>额外分期项目费</t>
  </si>
  <si>
    <t>growth</t>
  </si>
  <si>
    <t>卖家增长费</t>
  </si>
  <si>
    <t>platform_shipping</t>
  </si>
  <si>
    <t>平台运费计划费</t>
  </si>
  <si>
    <t>order_processing</t>
  </si>
  <si>
    <t>订单处理费</t>
  </si>
  <si>
    <t>preorder</t>
  </si>
  <si>
    <t>预售及其他平台服务费</t>
  </si>
  <si>
    <t>activities</t>
  </si>
  <si>
    <t>MDV/返币/直播等活动费</t>
  </si>
  <si>
    <t>domestic</t>
  </si>
  <si>
    <t>中国境内运费</t>
  </si>
  <si>
    <t>warehouse_pack</t>
  </si>
  <si>
    <t>云仓/验货/贴标/仓储/包材</t>
  </si>
  <si>
    <t>sls</t>
  </si>
  <si>
    <t>SLS卖家净国际物流</t>
  </si>
  <si>
    <t>ads</t>
  </si>
  <si>
    <t>广告预算分摊</t>
  </si>
  <si>
    <t>affiliate</t>
  </si>
  <si>
    <t>联盟/达人分摊</t>
  </si>
  <si>
    <t>returns</t>
  </si>
  <si>
    <t>售后退款/拒收/破损净损失准备</t>
  </si>
  <si>
    <t>collection</t>
  </si>
  <si>
    <t>收款/换汇/提现</t>
  </si>
  <si>
    <t>tax</t>
  </si>
  <si>
    <t>其他不可抵扣税费</t>
  </si>
  <si>
    <t>overhead</t>
  </si>
  <si>
    <t>固定运营成本分摊</t>
  </si>
  <si>
    <t>other</t>
  </si>
  <si>
    <t>其他有说明费用</t>
  </si>
  <si>
    <t>05 · 500元与现金</t>
  </si>
  <si>
    <t>同一预算不可逐品重复使用；历史启动资金不是当前余额。测试成本、最坏损失和峰值垫资分别计算。</t>
  </si>
  <si>
    <t>检查项</t>
  </si>
  <si>
    <t>计算/控制规则</t>
  </si>
  <si>
    <t>本轮值或状态</t>
  </si>
  <si>
    <t>审核重点</t>
  </si>
  <si>
    <t>单品预算</t>
  </si>
  <si>
    <t>样品/拍摄等固定费+计划测试订单×每订单完全成本≤500</t>
  </si>
  <si>
    <t>真实值未知</t>
  </si>
  <si>
    <t>用户2026-09-15要求</t>
  </si>
  <si>
    <t>广告、税、售后不遗漏；固定费与单件分摊不重复</t>
  </si>
  <si>
    <t>运行期预算</t>
  </si>
  <si>
    <t>已发生+不可撤销承诺+拟新增+未决损失准备≤500</t>
  </si>
  <si>
    <t>用户上限；经营控制建议</t>
  </si>
  <si>
    <t>销售回款不抵消总测试成本；逐订单登记</t>
  </si>
  <si>
    <t>单品测试容量</t>
  </si>
  <si>
    <t>floor((500−固定测试费)/单件完全成本)</t>
  </si>
  <si>
    <t>待成本完整后计算</t>
  </si>
  <si>
    <t>03_逐品成本Y列</t>
  </si>
  <si>
    <t>不能用理想销售单量当固定费分摊分母</t>
  </si>
  <si>
    <t>一批10/20款上限</t>
  </si>
  <si>
    <t>10×500=5000；20×500=10000</t>
  </si>
  <si>
    <t>条件算例，非今日投入</t>
  </si>
  <si>
    <t>用户测试上限×目标数量</t>
  </si>
  <si>
    <t>审核候选数量不是每天同时付费测品数量</t>
  </si>
  <si>
    <t>新增现金额度</t>
  </si>
  <si>
    <t>0.8×max(0,今日现金−应急金−既有未付承诺)</t>
  </si>
  <si>
    <t>今日现金未知</t>
  </si>
  <si>
    <t>历史保护金5000，80%经营规则</t>
  </si>
  <si>
    <t>若20,000仍可用、无承诺，则0.8×(20,000−5,000)=12,000</t>
  </si>
  <si>
    <t>现金峰值</t>
  </si>
  <si>
    <t>14/21/28天累计支付减已可用回款的最大缺口</t>
  </si>
  <si>
    <t>回款分布未知</t>
  </si>
  <si>
    <t>按订单与人民币可用到账日计算</t>
  </si>
  <si>
    <t>短测试可先按28天无回款、所有拟付现金保守检验</t>
  </si>
  <si>
    <t>月亏损与风险容量</t>
  </si>
  <si>
    <t>4000−已实现月损失−未决预计损失−本批最坏损失≥0</t>
  </si>
  <si>
    <t>真实余额未知</t>
  </si>
  <si>
    <t>历史月亏损硬上限4000</t>
  </si>
  <si>
    <t>若现有损失0，每款最坏损失500，则最多8款全损风险；非默认授权</t>
  </si>
  <si>
    <t>收益目标量级</t>
  </si>
  <si>
    <t>若完全成本后每单净利15，超过5000元需至少334单/月</t>
  </si>
  <si>
    <t>条件推算，不是销量预测</t>
  </si>
  <si>
    <t>floor(5000/15)+1=334</t>
  </si>
  <si>
    <t>税和固定费用未完整时不能称真实净利</t>
  </si>
  <si>
    <t>不囤货仍有垫资</t>
  </si>
  <si>
    <t>付款采购到回款前，货款与物流需要先支付</t>
  </si>
  <si>
    <t>模式事实/资金影响推断</t>
  </si>
  <si>
    <t>本店经营记录</t>
  </si>
  <si>
    <t>跨期未回款、取消/拒收须进入预测，不假定当日循环</t>
  </si>
  <si>
    <t>500元与统计证据</t>
  </si>
  <si>
    <t>预算最多支持的订单少于20时，成熟验证样本不足</t>
  </si>
  <si>
    <t>不得自动加预算</t>
  </si>
  <si>
    <t>经营复盘建议</t>
  </si>
  <si>
    <t>可停止得出未证实；需要新预算时另行由店主决定</t>
  </si>
  <si>
    <t>06 · 1688历史货源</t>
  </si>
  <si>
    <t>原始历史来源记录；未经本轮SKU/税/阶梯/库存复核。不表示已匹配同款或可按起价买整套。0价标为无效，原值保留。</t>
  </si>
  <si>
    <t>采集时间</t>
  </si>
  <si>
    <t>查询词</t>
  </si>
  <si>
    <t>1688商品ID</t>
  </si>
  <si>
    <t>商品标题</t>
  </si>
  <si>
    <t>供应商</t>
  </si>
  <si>
    <t>原始起价CNY</t>
  </si>
  <si>
    <t>MOQ原值</t>
  </si>
  <si>
    <t>代发原值</t>
  </si>
  <si>
    <t>库存原值</t>
  </si>
  <si>
    <t>零价/有效性</t>
  </si>
  <si>
    <t>详情链接</t>
  </si>
  <si>
    <t>2026-09-10T13:40:27.931Z</t>
  </si>
  <si>
    <t>洗衣袋套装</t>
  </si>
  <si>
    <t>740476883384</t>
  </si>
  <si>
    <t>塑料袋洗衣袋定 制 干洗店专用手提袋洗衣店包装袋酒店洗衣袋</t>
  </si>
  <si>
    <t>桐城市东捷塑业有限公司</t>
  </si>
  <si>
    <t>False</t>
  </si>
  <si>
    <t>历史起价待复核</t>
  </si>
  <si>
    <t>https://detail.1688.com/offer/740476883384.html</t>
  </si>
  <si>
    <t>evidence/2026-09-10-raw-observations.json#/suppliers/0/result/content/0/text→JSON/data/0</t>
  </si>
  <si>
    <t>959024425225</t>
  </si>
  <si>
    <t>加厚大容量可水洗收纳袋防水搬家学生行李衣物整理袋便携可折叠</t>
  </si>
  <si>
    <t>义乌市樊丞电子商务商行</t>
  </si>
  <si>
    <t>True</t>
  </si>
  <si>
    <t>https://detail.1688.com/offer/959024425225.html</t>
  </si>
  <si>
    <t>evidence/2026-09-10-raw-observations.json#/suppliers/0/result/content/0/text→JSON/data/1</t>
  </si>
  <si>
    <t>757301647238</t>
  </si>
  <si>
    <t>小包洗衣液袋装500g薰衣草1斤装家用开业礼品会销活动整箱批发</t>
  </si>
  <si>
    <t>临沂贝雅日化有限公司</t>
  </si>
  <si>
    <t>https://detail.1688.com/offer/757301647238.html</t>
  </si>
  <si>
    <t>evidence/2026-09-10-raw-observations.json#/suppliers/0/result/content/0/text→JSON/data/2</t>
  </si>
  <si>
    <t>719860595971</t>
  </si>
  <si>
    <t>FaSoLa洗衣袋洗衣机机洗专用防变形护洗内衣服文胸过滤网袋兜家用</t>
  </si>
  <si>
    <t>义乌市远阳日用百货有限公司</t>
  </si>
  <si>
    <t>https://detail.1688.com/offer/719860595971.html</t>
  </si>
  <si>
    <t>evidence/2026-09-10-raw-observations.json#/suppliers/0/result/content/0/text→JSON/data/3</t>
  </si>
  <si>
    <t>813925971481</t>
  </si>
  <si>
    <t>洗衣液薰衣草香袋装去污瓶袋装婴儿内衣洗衣液厂家家用整箱桶量批</t>
  </si>
  <si>
    <t>东阳市浯晔电子商务商行</t>
  </si>
  <si>
    <t>https://detail.1688.com/offer/813925971481.html</t>
  </si>
  <si>
    <t>evidence/2026-09-10-raw-observations.json#/suppliers/0/result/content/0/text→JSON/data/4</t>
  </si>
  <si>
    <t>625255182969</t>
  </si>
  <si>
    <t>洗衣袋套装加厚护洗袋粗细网袋洗护袋内衣袋文胸袋机洗厂家批发</t>
  </si>
  <si>
    <t>义乌市艾依日用品有限公司</t>
  </si>
  <si>
    <t>705110577312</t>
  </si>
  <si>
    <t>厂家批发洗衣袋洗护袋网袋机洗衣物清洁袋粗网细网家用洗衣服袋子</t>
  </si>
  <si>
    <t>义乌市丘彼特日用品有限公司</t>
  </si>
  <si>
    <t>https://detail.1688.com/offer/705110577312.html</t>
  </si>
  <si>
    <t>evidence/2026-09-10-raw-observations.json#/suppliers/0/result/content/0/text→JSON/data/6</t>
  </si>
  <si>
    <t>795873942999</t>
  </si>
  <si>
    <t>洗衣袋洗衣服袋子洗衣防变形家用洗衣袋加厚耐用不变形洗衣机袋子</t>
  </si>
  <si>
    <t>义乌市佳峰日用品有限公司</t>
  </si>
  <si>
    <t>https://detail.1688.com/offer/795873942999.html</t>
  </si>
  <si>
    <t>evidence/2026-09-10-raw-observations.json#/suppliers/0/result/content/0/text→JSON/data/7</t>
  </si>
  <si>
    <t>596364807955</t>
  </si>
  <si>
    <t>内衣袜子圆筒洗衣袋多功能粗细网涤纶文胸护洗袋洗衣机网袋现货</t>
  </si>
  <si>
    <t>义乌市酷适日用品有限公司</t>
  </si>
  <si>
    <t>0价/缺失无效</t>
  </si>
  <si>
    <t>https://detail.1688.com/offer/596364807955.html</t>
  </si>
  <si>
    <t>evidence/2026-09-10-raw-observations.json#/suppliers/0/result/content/0/text→JSON/data/8</t>
  </si>
  <si>
    <t>763443524740</t>
  </si>
  <si>
    <t>70克细网粗网洗衣袋家用护洗袋套装机洗防变形内衣文胸洗护袋批发</t>
  </si>
  <si>
    <t>江西省舒米日用品有限公司</t>
  </si>
  <si>
    <t>https://detail.1688.com/offer/763443524740.html</t>
  </si>
  <si>
    <t>evidence/2026-09-10-raw-observations.json#/suppliers/0/result/content/0/text→JSON/data/9</t>
  </si>
  <si>
    <t>617113480161</t>
  </si>
  <si>
    <t>日式无印洗衣网袋良品洗衣隔离袋子专柜同步简约白色洗衣袋</t>
  </si>
  <si>
    <t>南通素艺家居用品有限公司</t>
  </si>
  <si>
    <t>https://detail.1688.com/offer/617113480161.html</t>
  </si>
  <si>
    <t>evidence/2026-09-10-raw-observations.json#/suppliers/0/result/content/0/text→JSON/data/10</t>
  </si>
  <si>
    <t>713462628237</t>
  </si>
  <si>
    <t>洗衣袋批发洗衣机专用洗衣网袋套装粗网细网内衣文胸专用护洗衣袋</t>
  </si>
  <si>
    <t>义乌市太格日用品有限公司</t>
  </si>
  <si>
    <t>https://detail.1688.com/offer/713462628237.html</t>
  </si>
  <si>
    <t>evidence/2026-09-10-raw-observations.json#/suppliers/0/result/content/0/text→JSON/data/11</t>
  </si>
  <si>
    <t>946217618491</t>
  </si>
  <si>
    <t>洗衣袋 防变形分类家用细网洗护袋 加厚手提衣服内衣四件套洗衣袋</t>
  </si>
  <si>
    <t>黄岩院桥宏达日用品厂</t>
  </si>
  <si>
    <t>https://detail.1688.com/offer/946217618491.html</t>
  </si>
  <si>
    <t>evidence/2026-09-10-raw-observations.json#/suppliers/0/result/content/0/text→JSON/data/12</t>
  </si>
  <si>
    <t>769141587390</t>
  </si>
  <si>
    <t>新款加厚拉绳洗衣网袋 多功能清洗收纳网兜 家用超大号护洗袋批发</t>
  </si>
  <si>
    <t>义乌市德汇日用品厂</t>
  </si>
  <si>
    <t>https://detail.1688.com/offer/769141587390.html</t>
  </si>
  <si>
    <t>evidence/2026-09-10-raw-observations.json#/suppliers/0/result/content/0/text→JSON/data/13</t>
  </si>
  <si>
    <t>634614311045</t>
  </si>
  <si>
    <t>60g洗衣袋套装 机洗粗细网衣物洗护袋内衣文胸清洗护袋批发可机洗</t>
  </si>
  <si>
    <t>义乌市老相识日用品有限公司</t>
  </si>
  <si>
    <t>https://detail.1688.com/offer/634614311045.html</t>
  </si>
  <si>
    <t>evidence/2026-09-10-raw-observations.json#/suppliers/0/result/content/0/text→JSON/data/14</t>
  </si>
  <si>
    <t>719217861274</t>
  </si>
  <si>
    <t>加厚拉绳洗衣袋套装滚筒洗衣机专用细网洗护袋网袋防变形染色缠绕</t>
  </si>
  <si>
    <t>庆元一纳家居有限公司</t>
  </si>
  <si>
    <t>https://detail.1688.com/offer/719217861274.html</t>
  </si>
  <si>
    <t>evidence/2026-09-10-raw-observations.json#/suppliers/0/result/content/0/text→JSON/data/15</t>
  </si>
  <si>
    <t>914125600672</t>
  </si>
  <si>
    <t>洗衣袋家用洗衣机专用洗衣凝珠留香珠加厚网袋肥皂袋香皂护洗袋</t>
  </si>
  <si>
    <t>邵武市希梦纺家居用品厂</t>
  </si>
  <si>
    <t>https://detail.1688.com/offer/914125600672.html</t>
  </si>
  <si>
    <t>evidence/2026-09-10-raw-observations.json#/suppliers/0/result/content/0/text→JSON/data/16</t>
  </si>
  <si>
    <t>945740708989</t>
  </si>
  <si>
    <t>洗衣袋洗衣机专用涤纶洗衣网兜袋刺绣加厚内衣文胸护洗袋</t>
  </si>
  <si>
    <t>https://detail.1688.com/offer/945740708989.html</t>
  </si>
  <si>
    <t>evidence/2026-09-10-raw-observations.json#/suppliers/0/result/content/0/text→JSON/data/17</t>
  </si>
  <si>
    <t>678102897733</t>
  </si>
  <si>
    <t>厂家直销粗网洗衣袋四件套装护洗袋内衣文胸洗衣网袋批发</t>
  </si>
  <si>
    <t>天长市纤程日用品有限公司</t>
  </si>
  <si>
    <t>https://detail.1688.com/offer/678102897733.html</t>
  </si>
  <si>
    <t>evidence/2026-09-10-raw-observations.json#/suppliers/0/result/content/0/text→JSON/data/18</t>
  </si>
  <si>
    <t>883527333937</t>
  </si>
  <si>
    <t>多功能立体护衣洗衣袋网孔细腻透水性强内衣分类球形洗衣网袋</t>
  </si>
  <si>
    <t>邵武市舒纺家居用品厂</t>
  </si>
  <si>
    <t>https://detail.1688.com/offer/883527333937.html</t>
  </si>
  <si>
    <t>evidence/2026-09-10-raw-observations.json#/suppliers/0/result/content/0/text→JSON/data/19</t>
  </si>
  <si>
    <t>894717160880</t>
  </si>
  <si>
    <t>厂家现货灰粗细网洗衣袋机洗专用防变形洗护袋衣物网袋洗护袋批发</t>
  </si>
  <si>
    <t>义乌市叮当日用品有限公司</t>
  </si>
  <si>
    <t>https://detail.1688.com/offer/894717160880.html</t>
  </si>
  <si>
    <t>evidence/2026-09-10-raw-observations.json#/suppliers/0/result/content/0/text→JSON/data/20</t>
  </si>
  <si>
    <t>721245381400</t>
  </si>
  <si>
    <t>立体洗衣袋家用毛衣内衣护洗袋衣物旅行收纳袋防缠绕文胸洗护袋</t>
  </si>
  <si>
    <t>浦江丰瑞日用品有限公司</t>
  </si>
  <si>
    <t>https://detail.1688.com/offer/721245381400.html</t>
  </si>
  <si>
    <t>evidence/2026-09-10-raw-observations.json#/suppliers/0/result/content/0/text→JSON/data/21</t>
  </si>
  <si>
    <t>718385804237</t>
  </si>
  <si>
    <t>厂家洗衣袋洗衣机专用防变形60克加厚细网文胸内衣家用洗衣袋批发</t>
  </si>
  <si>
    <t>义乌市东晟日用品有限公司</t>
  </si>
  <si>
    <t>https://detail.1688.com/offer/718385804237.html</t>
  </si>
  <si>
    <t>evidence/2026-09-10-raw-observations.json#/suppliers/0/result/content/0/text→JSON/data/22</t>
  </si>
  <si>
    <t>755489755204</t>
  </si>
  <si>
    <t>工厂直销袋装洗衣袋家用内衣洗袋细网加厚洗衣机专用防变形网袋</t>
  </si>
  <si>
    <t>义乌市珂岚日用品有限公司</t>
  </si>
  <si>
    <t>https://detail.1688.com/offer/755489755204.html</t>
  </si>
  <si>
    <t>evidence/2026-09-10-raw-observations.json#/suppliers/0/result/content/0/text→JSON/data/23</t>
  </si>
  <si>
    <t>598663018077</t>
  </si>
  <si>
    <t>工厂细网洗衣袋洗衣机过滤网内衣洗护袋护洗袋家用衣物洗衣袋批发</t>
  </si>
  <si>
    <t>义乌市旺顺日用品有限公司</t>
  </si>
  <si>
    <t>https://detail.1688.com/offer/598663018077.html</t>
  </si>
  <si>
    <t>evidence/2026-09-10-raw-observations.json#/suppliers/0/result/content/0/text→JSON/data/24</t>
  </si>
  <si>
    <t>858339494134</t>
  </si>
  <si>
    <t>防变形洗衣袋洗衣机专用毛衣羊毛衫细网洗衣服过滤网袋内衣护洗袋</t>
  </si>
  <si>
    <t>义乌市柏佳娜箱包有限公司</t>
  </si>
  <si>
    <t>https://detail.1688.com/offer/858339494134.html</t>
  </si>
  <si>
    <t>evidence/2026-09-10-raw-observations.json#/suppliers/0/result/content/0/text→JSON/data/25</t>
  </si>
  <si>
    <t>808715329025</t>
  </si>
  <si>
    <t>洗衣袋洗衣机专用加厚毛衣内衣网兜衣服防变形护洗袋大号网袋批发</t>
  </si>
  <si>
    <t>芜湖贝石塑业有限公司</t>
  </si>
  <si>
    <t>https://detail.1688.com/offer/808715329025.html</t>
  </si>
  <si>
    <t>evidence/2026-09-10-raw-observations.json#/suppliers/0/result/content/0/text→JSON/data/26</t>
  </si>
  <si>
    <t>665976181640</t>
  </si>
  <si>
    <t>洗衣机洗衣袋细网洗护袋6件套洗衣服羽绒服大号网兜内衣袋文胸袋</t>
  </si>
  <si>
    <t>义乌市甄常日用品有限公司</t>
  </si>
  <si>
    <t>https://detail.1688.com/offer/665976181640.html</t>
  </si>
  <si>
    <t>evidence/2026-09-10-raw-observations.json#/suppliers/0/result/content/0/text→JSON/data/27</t>
  </si>
  <si>
    <t>618364145714</t>
  </si>
  <si>
    <t>细网粗网洗衣袋家用衣物洗护袋外出旅行便携收纳折叠方袋大网孔</t>
  </si>
  <si>
    <t>义乌市沐家日用品有限公司</t>
  </si>
  <si>
    <t>https://detail.1688.com/offer/618364145714.html</t>
  </si>
  <si>
    <t>evidence/2026-09-10-raw-observations.json#/suppliers/0/result/content/0/text→JSON/data/28</t>
  </si>
  <si>
    <t>707087838335</t>
  </si>
  <si>
    <t>棉麻脏衣篮脏衣服收纳筐防水脏衣篓可折叠洗衣篮大号脏衣筐收纳袋</t>
  </si>
  <si>
    <t>义乌市猴七日用品有限公司</t>
  </si>
  <si>
    <t>https://detail.1688.com/offer/707087838335.html</t>
  </si>
  <si>
    <t>evidence/2026-09-10-raw-observations.json#/suppliers/0/result/content/0/text→JSON/data/29</t>
  </si>
  <si>
    <t>945593529641</t>
  </si>
  <si>
    <t>亚麻手提袋便携式折叠脏衣篮旅行打包购物袋脏衣服收纳篮洗衣篮</t>
  </si>
  <si>
    <t>临沭县桔然工艺品有限公司</t>
  </si>
  <si>
    <t>https://detail.1688.com/offer/945593529641.html</t>
  </si>
  <si>
    <t>evidence/2026-09-10-raw-observations.json#/suppliers/0/result/content/0/text→JSON/data/30</t>
  </si>
  <si>
    <t>907945361630</t>
  </si>
  <si>
    <t>细网洗衣袋套装洗衣机专用防缠绕内衣文胸洗护袋代发防变形收纳</t>
  </si>
  <si>
    <t>天门市新明制衣厂</t>
  </si>
  <si>
    <t>https://detail.1688.com/offer/907945361630.html</t>
  </si>
  <si>
    <t>evidence/2026-09-10-raw-observations.json#/suppliers/0/result/content/0/text→JSON/data/31</t>
  </si>
  <si>
    <t>802842806727</t>
  </si>
  <si>
    <t>立体洗衣袋洗衣机专用防变形网袋大号洗衣网袋文胸内衣手提洗护袋</t>
  </si>
  <si>
    <t>义乌市奕涵日用品有限公司</t>
  </si>
  <si>
    <t>https://detail.1688.com/offer/802842806727.html</t>
  </si>
  <si>
    <t>evidence/2026-09-10-raw-observations.json#/suppliers/0/result/content/0/text→JSON/data/32</t>
  </si>
  <si>
    <t>666439313380</t>
  </si>
  <si>
    <t>厂家直销家用洗衣护理印花五件套 内衣洗护机洗专用防变形洗衣袋</t>
  </si>
  <si>
    <t>义乌市灏洁日用品有限公司</t>
  </si>
  <si>
    <t>https://detail.1688.com/offer/666439313380.html</t>
  </si>
  <si>
    <t>evidence/2026-09-10-raw-observations.json#/suppliers/0/result/content/0/text→JSON/data/33</t>
  </si>
  <si>
    <t>771968702450</t>
  </si>
  <si>
    <t>米三层110g洗衣袋内衣袋防变形三明治文胸袋网袋收纳防洗护</t>
  </si>
  <si>
    <t>邵武市顺洁家居用品厂</t>
  </si>
  <si>
    <t>https://detail.1688.com/offer/771968702450.html</t>
  </si>
  <si>
    <t>evidence/2026-09-10-raw-observations.json#/suppliers/0/result/content/0/text→JSON/data/34</t>
  </si>
  <si>
    <t>850187835216</t>
  </si>
  <si>
    <t>加厚抽绳洗衣袋洗衣机专用跨境粗细网洗护袋套装防变形束口网兜</t>
  </si>
  <si>
    <t>金华市意甜日用品有限公司</t>
  </si>
  <si>
    <t>https://detail.1688.com/offer/850187835216.html</t>
  </si>
  <si>
    <t>evidence/2026-09-10-raw-observations.json#/suppliers/0/result/content/0/text→JSON/data/35</t>
  </si>
  <si>
    <t>645759313491</t>
  </si>
  <si>
    <t>印花洗衣袋护洗袋细网套装洗衣服网袋洗内衣洗衣袋家用文胸袋批发</t>
  </si>
  <si>
    <t>义乌市晓蝶电子商务有限公司</t>
  </si>
  <si>
    <t>https://detail.1688.com/offer/645759313491.html</t>
  </si>
  <si>
    <t>evidence/2026-09-10-raw-observations.json#/suppliers/0/result/content/0/text→JSON/data/36</t>
  </si>
  <si>
    <t>808175297177</t>
  </si>
  <si>
    <t>卡通家用衣物细网护洗袋加厚防变形洗衣袋专用网袋手拎化妆洗漱包</t>
  </si>
  <si>
    <t>广陵区燕佑毛绒玩具经营部</t>
  </si>
  <si>
    <t>https://detail.1688.com/offer/808175297177.html</t>
  </si>
  <si>
    <t>evidence/2026-09-10-raw-observations.json#/suppliers/0/result/content/0/text→JSON/data/37</t>
  </si>
  <si>
    <t>871970135264</t>
  </si>
  <si>
    <t>洗衣机过滤网袋衣服专用万能过滤器清洁球除毛器洗衣网袋洗衣袋子</t>
  </si>
  <si>
    <t>https://detail.1688.com/offer/871970135264.html</t>
  </si>
  <si>
    <t>evidence/2026-09-10-raw-observations.json#/suppliers/0/result/content/0/text→JSON/data/38</t>
  </si>
  <si>
    <t>771122054369</t>
  </si>
  <si>
    <t>洗衣袋洗衣机专用防变形网袋细网粗网大孔加厚双层洗衣袋套装批发</t>
  </si>
  <si>
    <t>义乌市甄喜日用品有限公司</t>
  </si>
  <si>
    <t>https://detail.1688.com/offer/771122054369.html</t>
  </si>
  <si>
    <t>evidence/2026-09-10-raw-observations.json#/suppliers/0/result/content/0/text→JSON/data/39</t>
  </si>
  <si>
    <t>684757410094</t>
  </si>
  <si>
    <t>三明治刺绣洗衣店洗衣袋加厚双层内衣防打结洗衣机专用护洗袋收纳</t>
  </si>
  <si>
    <t>蠡县未阿姨洗衣袋厂</t>
  </si>
  <si>
    <t>https://detail.1688.com/offer/684757410094.html</t>
  </si>
  <si>
    <t>evidence/2026-09-10-raw-observations.json#/suppliers/0/result/content/0/text→JSON/data/40</t>
  </si>
  <si>
    <t>677014985803</t>
  </si>
  <si>
    <t>洗衣袋洗衣机专用家用毛衣内衣文胸清洗网袋衣服过滤网衣物洗护袋</t>
  </si>
  <si>
    <t>温州贝石收纳用品有限公司</t>
  </si>
  <si>
    <t>https://detail.1688.com/offer/677014985803.html</t>
  </si>
  <si>
    <t>evidence/2026-09-10-raw-observations.json#/suppliers/0/result/content/0/text→JSON/data/41</t>
  </si>
  <si>
    <t>673840320423</t>
  </si>
  <si>
    <t>家用加厚家用洗衣袋洗衣机专用防变形网袋毛衣勾丝内衣洗护衣服</t>
  </si>
  <si>
    <t>靖江市贝石智造家居用品有限公司</t>
  </si>
  <si>
    <t>https://detail.1688.com/offer/673840320423.html</t>
  </si>
  <si>
    <t>evidence/2026-09-10-raw-observations.json#/suppliers/0/result/content/0/text→JSON/data/42</t>
  </si>
  <si>
    <t>837604730616</t>
  </si>
  <si>
    <t>洗衣袋护洗袋套装文胸毛衣家用洗衣机机洗专用细网防变形网袋网兜</t>
  </si>
  <si>
    <t>义乌市豫思雅贸易有限公司</t>
  </si>
  <si>
    <t>https://detail.1688.com/offer/837604730616.html</t>
  </si>
  <si>
    <t>evidence/2026-09-10-raw-observations.json#/suppliers/0/result/content/0/text→JSON/data/43</t>
  </si>
  <si>
    <t>664473602789</t>
  </si>
  <si>
    <t>印花洗衣袋套装洗衣机机洗专用细网袋毛衣衣服内衣文胸家用护洗袋</t>
  </si>
  <si>
    <t>义乌市薏茹日用品有限公司</t>
  </si>
  <si>
    <t>https://detail.1688.com/offer/664473602789.html</t>
  </si>
  <si>
    <t>evidence/2026-09-10-raw-observations.json#/suppliers/0/result/content/0/text→JSON/data/44</t>
  </si>
  <si>
    <t>694765458344</t>
  </si>
  <si>
    <t>洗衣机专用网袋洗护袋刺绣洗衣袋大号加厚双层宣传赠衣物品内衣护</t>
  </si>
  <si>
    <t>https://detail.1688.com/offer/694765458344.html</t>
  </si>
  <si>
    <t>evidence/2026-09-10-raw-observations.json#/suppliers/0/result/content/0/text→JSON/data/45</t>
  </si>
  <si>
    <t>853111186335</t>
  </si>
  <si>
    <t>洗衣袋家用防变形多功能网布内衣护洗袋大容量加厚可手提洗衣神器</t>
  </si>
  <si>
    <t>丽水春涧家居有限公司</t>
  </si>
  <si>
    <t>https://detail.1688.com/offer/853111186335.html</t>
  </si>
  <si>
    <t>evidence/2026-09-10-raw-observations.json#/suppliers/0/result/content/0/text→JSON/data/46</t>
  </si>
  <si>
    <t>975084879091</t>
  </si>
  <si>
    <t>防变形加厚洗衣袋洗衣机专用衣物内衣洗护袋简约涤纶粗细洗衣网袋</t>
  </si>
  <si>
    <t>袁州区好居日用品厂</t>
  </si>
  <si>
    <t>https://detail.1688.com/offer/975084879091.html</t>
  </si>
  <si>
    <t>evidence/2026-09-10-raw-observations.json#/suppliers/0/result/content/0/text→JSON/data/47</t>
  </si>
  <si>
    <t>951599413930</t>
  </si>
  <si>
    <t>护洗衣袋洗衣机机洗通用网袋宿舍洗内衣衣服网兜家用防变形收纳袋</t>
  </si>
  <si>
    <t>义乌市首飒贸易有限公司</t>
  </si>
  <si>
    <t>https://detail.1688.com/offer/951599413930.html</t>
  </si>
  <si>
    <t>evidence/2026-09-10-raw-observations.json#/suppliers/0/result/content/0/text→JSON/data/48</t>
  </si>
  <si>
    <t>852567268657</t>
  </si>
  <si>
    <t>家用波轮洗衣机过滤网袋衣服清洁漂浮除毛器毛毛杂物洗衣袋洗衣球</t>
  </si>
  <si>
    <t>义乌市物风日用品有限公司</t>
  </si>
  <si>
    <t>https://detail.1688.com/offer/852567268657.html</t>
  </si>
  <si>
    <t>evidence/2026-09-10-raw-observations.json#/suppliers/0/result/content/0/text→JSON/data/49</t>
  </si>
  <si>
    <t>981131284061</t>
  </si>
  <si>
    <t>加厚洗衣袋洗衣机专用防变形家用衣物内衣洗衣袋便携式洗衣网袋</t>
  </si>
  <si>
    <t>https://detail.1688.com/offer/981131284061.html</t>
  </si>
  <si>
    <t>evidence/2026-09-10-raw-observations.json#/suppliers/0/result/content/0/text→JSON/data/50</t>
  </si>
  <si>
    <t>974420576425</t>
  </si>
  <si>
    <t>防变形家用洗衣袋加厚耐用不变形洗衣机袋子洗衣袋洗衣服袋子洗衣</t>
  </si>
  <si>
    <t>义乌市朵君日用品有限公司</t>
  </si>
  <si>
    <t>https://detail.1688.com/offer/974420576425.html</t>
  </si>
  <si>
    <t>evidence/2026-09-10-raw-observations.json#/suppliers/0/result/content/0/text→JSON/data/51</t>
  </si>
  <si>
    <t>677862404965</t>
  </si>
  <si>
    <t>抽绳束口内衣洗衣袋防变形防缠绕羽绒服毛衣专用护洗袋洗衣机网袋</t>
  </si>
  <si>
    <t>金华市花果山供应链管理有限公司</t>
  </si>
  <si>
    <t>https://detail.1688.com/offer/677862404965.html</t>
  </si>
  <si>
    <t>evidence/2026-09-10-raw-observations.json#/suppliers/0/result/content/0/text→JSON/data/52</t>
  </si>
  <si>
    <t>979049087964</t>
  </si>
  <si>
    <t>洗衣机过滤网袋衣服通用清洁漂浮除毛器毛毛神器杂物洗衣袋洗衣球</t>
  </si>
  <si>
    <t>浦江县欣蕾电子商务商行</t>
  </si>
  <si>
    <t>https://detail.1688.com/offer/979049087964.html</t>
  </si>
  <si>
    <t>evidence/2026-09-10-raw-observations.json#/suppliers/0/result/content/0/text→JSON/data/53</t>
  </si>
  <si>
    <t>847685310950</t>
  </si>
  <si>
    <t>金华市源奇日用品有限公司</t>
  </si>
  <si>
    <t>https://detail.1688.com/offer/847685310950.html</t>
  </si>
  <si>
    <t>evidence/2026-09-10-raw-observations.json#/suppliers/0/result/content/0/text→JSON/data/54</t>
  </si>
  <si>
    <t>989309189673</t>
  </si>
  <si>
    <t>外贸大容量洗衣袋背包网袋大学宿舍旅行公寓脏衣服洗衣收纳袋</t>
  </si>
  <si>
    <t>https://detail.1688.com/offer/989309189673.html</t>
  </si>
  <si>
    <t>evidence/2026-09-10-raw-observations.json#/suppliers/0/result/content/0/text→JSON/data/55</t>
  </si>
  <si>
    <t>773016402361</t>
  </si>
  <si>
    <t>跨境亚马逊特大号60×90拉绳洗衣袋抽绳衣物护洗袋窗帘衣服收纳袋</t>
  </si>
  <si>
    <t>https://detail.1688.com/offer/773016402361.html</t>
  </si>
  <si>
    <t>evidence/2026-09-10-raw-observations.json#/suppliers/0/result/content/0/text→JSON/data/56</t>
  </si>
  <si>
    <t>901335779184</t>
  </si>
  <si>
    <t>亚马逊热销款超大号拉绳洗衣袋细网衣物护洗袋脏衣篮窗帘毛毯专用</t>
  </si>
  <si>
    <t>https://detail.1688.com/offer/901335779184.html</t>
  </si>
  <si>
    <t>evidence/2026-09-10-raw-observations.json#/suppliers/0/result/content/0/text→JSON/data/57</t>
  </si>
  <si>
    <t>574091390849</t>
  </si>
  <si>
    <t>工厂直供洗衣袋网袋细网洗衣袋加厚家用洗衣机用防变形内衣洗护袋</t>
  </si>
  <si>
    <t>义乌市鸿启日用品有限公司</t>
  </si>
  <si>
    <t>https://detail.1688.com/offer/574091390849.html</t>
  </si>
  <si>
    <t>evidence/2026-09-10-raw-observations.json#/suppliers/0/result/content/0/text→JSON/data/58</t>
  </si>
  <si>
    <t>923644754855</t>
  </si>
  <si>
    <t>跨境脏衣篮卧室配内袋带盖可折叠收纳脏衣服收纳筐浴室大容量收纳</t>
  </si>
  <si>
    <t>https://detail.1688.com/offer/923644754855.html</t>
  </si>
  <si>
    <t>evidence/2026-09-10-raw-observations.json#/suppliers/0/result/content/0/text→JSON/data/59</t>
  </si>
  <si>
    <t>985649189695</t>
  </si>
  <si>
    <t>护洗衣袋洗衣机机洗网袋洗文胸内衣衣服网兜家用防变形网</t>
  </si>
  <si>
    <t>义乌市昂宝家居用品有限公司</t>
  </si>
  <si>
    <t>https://detail.1688.com/offer/985649189695.html</t>
  </si>
  <si>
    <t>evidence/2026-09-10-raw-observations.json#/suppliers/0/result/content/0/text→JSON/data/60</t>
  </si>
  <si>
    <t>967988481772</t>
  </si>
  <si>
    <t>洗衣袋洗衣机防变形毛衣文胸护洗羊毛衫洗衣服内衣羽绒服网袋</t>
  </si>
  <si>
    <t>https://detail.1688.com/offer/967988481772.html</t>
  </si>
  <si>
    <t>evidence/2026-09-10-raw-observations.json#/suppliers/0/result/content/0/text→JSON/data/61</t>
  </si>
  <si>
    <t>987870538123</t>
  </si>
  <si>
    <t>现货批发洗衣袋家用洗衣袋洗衣机专用防变形网袋加厚细粗过滤网袋</t>
  </si>
  <si>
    <t>https://detail.1688.com/offer/987870538123.html</t>
  </si>
  <si>
    <t>evidence/2026-09-10-raw-observations.json#/suppliers/0/result/content/0/text→JSON/data/62</t>
  </si>
  <si>
    <t>725621467189</t>
  </si>
  <si>
    <t>厂家现货加厚洗衣机专用洗衣袋套装批发文胸内衣防变形粗网护洗袋</t>
  </si>
  <si>
    <t>https://detail.1688.com/offer/725621467189.html</t>
  </si>
  <si>
    <t>evidence/2026-09-10-raw-observations.json#/suppliers/0/result/content/0/text→JSON/data/63</t>
  </si>
  <si>
    <t>982447728829</t>
  </si>
  <si>
    <t>超大抽绳洗衣袋加厚网袋套装洗衣机专用洗护袋网袋防变形染色网兜</t>
  </si>
  <si>
    <t>https://detail.1688.com/offer/982447728829.html</t>
  </si>
  <si>
    <t>evidence/2026-09-10-raw-observations.json#/suppliers/0/result/content/0/text→JSON/data/64</t>
  </si>
  <si>
    <t>989785866751</t>
  </si>
  <si>
    <t>酒店洗衣袋拉绳收纳袋民宿客房防尘袋酒店一次性塑料洗衣袋定制</t>
  </si>
  <si>
    <t>https://detail.1688.com/offer/989785866751.html</t>
  </si>
  <si>
    <t>evidence/2026-09-10-raw-observations.json#/suppliers/0/result/content/0/text→JSON/data/65</t>
  </si>
  <si>
    <t>799271250425</t>
  </si>
  <si>
    <t>加厚蜂窝网洗衣袋护洗袋衣物甩干袋洗衣网袋机洗护洗袋批发家用</t>
  </si>
  <si>
    <t>https://detail.1688.com/offer/799271250425.html</t>
  </si>
  <si>
    <t>evidence/2026-09-10-raw-observations.json#/suppliers/0/result/content/0/text→JSON/data/66</t>
  </si>
  <si>
    <t>1269868641</t>
  </si>
  <si>
    <t>加厚粗细网洗衣袋套装洗衣机专用文胸洗护袋防变形网眼袋现货批发</t>
  </si>
  <si>
    <t>https://detail.1688.com/offer/1269868641.html</t>
  </si>
  <si>
    <t>evidence/2026-09-10-raw-observations.json#/suppliers/0/result/content/0/text→JSON/data/67</t>
  </si>
  <si>
    <t>645353215222</t>
  </si>
  <si>
    <t>彩色洗衣袋套装亚马逊纯色洗衣袋网袋便携旅行衣物清洗袋洗衣机用</t>
  </si>
  <si>
    <t>https://detail.1688.com/offer/645353215222.html</t>
  </si>
  <si>
    <t>evidence/2026-09-10-raw-observations.json#/suppliers/0/result/content/0/text→JSON/data/68</t>
  </si>
  <si>
    <t>743189515138</t>
  </si>
  <si>
    <t>洗衣袋洗衣机专用防变形网袋内衣洗衣袋加厚家用洗衣防变形套装</t>
  </si>
  <si>
    <t>https://detail.1688.com/offer/743189515138.html</t>
  </si>
  <si>
    <t>evidence/2026-09-10-raw-observations.json#/suppliers/0/result/content/0/text→JSON/data/69</t>
  </si>
  <si>
    <t>775079732722</t>
  </si>
  <si>
    <t>洗衣袋洗衣机专用防变形家用文胸护洗网袋加厚容量加大衣物清洗袋</t>
  </si>
  <si>
    <t>https://detail.1688.com/offer/775079732722.html</t>
  </si>
  <si>
    <t>evidence/2026-09-10-raw-observations.json#/suppliers/0/result/content/0/text→JSON/data/70</t>
  </si>
  <si>
    <t>709876185671</t>
  </si>
  <si>
    <t>洗衣机专用护洗袋网袋过滤洗毛衣衣服羽绒服网兜防变形破损洗衣袋</t>
  </si>
  <si>
    <t>义乌市爱丫日用品厂</t>
  </si>
  <si>
    <t>https://detail.1688.com/offer/709876185671.html</t>
  </si>
  <si>
    <t>evidence/2026-09-10-raw-observations.json#/suppliers/0/result/content/0/text→JSON/data/71</t>
  </si>
  <si>
    <t>755015139921</t>
  </si>
  <si>
    <t>外贸酒店洗衣袋一次性束口抽绳洗衣袋干洗店脏衣袋laundry bag</t>
  </si>
  <si>
    <t>桐城市优立洁塑业有限公司</t>
  </si>
  <si>
    <t>https://detail.1688.com/offer/755015139921.html</t>
  </si>
  <si>
    <t>evidence/2026-09-10-raw-observations.json#/suppliers/0/result/content/0/text→JSON/data/72</t>
  </si>
  <si>
    <t>915529304159</t>
  </si>
  <si>
    <t>50g细网加厚洗衣袋护洗袋洗衣机专用防变形网袋内衣袋洗护袋批发</t>
  </si>
  <si>
    <t>邵武市华源纺织厂</t>
  </si>
  <si>
    <t>https://detail.1688.com/offer/915529304159.html</t>
  </si>
  <si>
    <t>evidence/2026-09-10-raw-observations.json#/suppliers/0/result/content/0/text→JSON/data/73</t>
  </si>
  <si>
    <t>677742569302</t>
  </si>
  <si>
    <t>洗衣袋护洗袋家用细网洗衣套装加厚防变形洗衣机内衣文胸洗护网袋</t>
  </si>
  <si>
    <t>https://detail.1688.com/offer/677742569302.html</t>
  </si>
  <si>
    <t>evidence/2026-09-10-raw-observations.json#/suppliers/0/result/content/0/text→JSON/data/74</t>
  </si>
  <si>
    <t>921070812710</t>
  </si>
  <si>
    <t>工厂大号旅行洗衣袋防水带手柄可水洗脏衣服袋旅行干湿袋沐浴套装</t>
  </si>
  <si>
    <t>https://detail.1688.com/offer/921070812710.html</t>
  </si>
  <si>
    <t>evidence/2026-09-10-raw-observations.json#/suppliers/0/result/content/0/text→JSON/data/75</t>
  </si>
  <si>
    <t>966663582489</t>
  </si>
  <si>
    <t>护洗衣袋洗衣机机洗网袋洗毛衣内衣衣服网兜家用防变形收纳</t>
  </si>
  <si>
    <t>https://detail.1688.com/offer/966663582489.html</t>
  </si>
  <si>
    <t>evidence/2026-09-10-raw-observations.json#/suppliers/0/result/content/0/text→JSON/data/76</t>
  </si>
  <si>
    <t>998559694269</t>
  </si>
  <si>
    <t>无包装洗衣袋洗衣机专用加厚防缠绕防变形洗护袋家用衣物毛衣网袋</t>
  </si>
  <si>
    <t>https://detail.1688.com/offer/998559694269.html</t>
  </si>
  <si>
    <t>evidence/2026-09-10-raw-observations.json#/suppliers/0/result/content/0/text→JSON/data/77</t>
  </si>
  <si>
    <t>611772118624</t>
  </si>
  <si>
    <t>机洗衣袋套装批发文胸袋护洗袋三明治网袋laundrybag衣物可机洗</t>
  </si>
  <si>
    <t>https://detail.1688.com/offer/611772118624.html</t>
  </si>
  <si>
    <t>evidence/2026-09-10-raw-observations.json#/suppliers/0/result/content/0/text→JSON/data/78</t>
  </si>
  <si>
    <t>633878185735</t>
  </si>
  <si>
    <t>厂家批发细网洗衣袋家用机洗文胸内衣护洗袋旅行收纳洗护袋套装</t>
  </si>
  <si>
    <t>义乌市悠忆日用品有限公司</t>
  </si>
  <si>
    <t>https://detail.1688.com/offer/633878185735.html</t>
  </si>
  <si>
    <t>evidence/2026-09-10-raw-observations.json#/suppliers/0/result/content/0/text→JSON/data/79</t>
  </si>
  <si>
    <t>858357592612</t>
  </si>
  <si>
    <t>洗衣袋女护洗袋细网套装加厚文胸衣服护洗内衣袋洗衣机用于防变形</t>
  </si>
  <si>
    <t>https://detail.1688.com/offer/858357592612.html</t>
  </si>
  <si>
    <t>evidence/2026-09-10-raw-observations.json#/suppliers/0/result/content/0/text→JSON/data/80</t>
  </si>
  <si>
    <t>987191317000</t>
  </si>
  <si>
    <t>✅洗衣袋洗衣机过滤网袋套装刺绣收纳袋文胸内衣护洗袋厂家直销</t>
  </si>
  <si>
    <t>https://detail.1688.com/offer/987191317000.html</t>
  </si>
  <si>
    <t>evidence/2026-09-10-raw-observations.json#/suppliers/0/result/content/0/text→JSON/data/81</t>
  </si>
  <si>
    <t>649948708566</t>
  </si>
  <si>
    <t>加厚洗衣袋细网文胸衣物洗护网袋机洗家用防变形超大网兜套装批发</t>
  </si>
  <si>
    <t>义乌市硕甲日用品有限公司</t>
  </si>
  <si>
    <t>https://detail.1688.com/offer/649948708566.html</t>
  </si>
  <si>
    <t>evidence/2026-09-10-raw-observations.json#/suppliers/0/result/content/0/text→JSON/data/82</t>
  </si>
  <si>
    <t>898083970582</t>
  </si>
  <si>
    <t>新款大容量折叠洗衣袋多功能简约抽绳束口袋透气防潮便携收纳袋</t>
  </si>
  <si>
    <t>https://detail.1688.com/offer/898083970582.html</t>
  </si>
  <si>
    <t>evidence/2026-09-10-raw-observations.json#/suppliers/0/result/content/0/text→JSON/data/83</t>
  </si>
  <si>
    <t>773074807232</t>
  </si>
  <si>
    <t>跨境亚马逊现货洗衣袋束口袋抽绳居家旅行收纳袋脏衣袋</t>
  </si>
  <si>
    <t>https://detail.1688.com/offer/773074807232.html</t>
  </si>
  <si>
    <t>evidence/2026-09-10-raw-observations.json#/suppliers/0/result/content/0/text→JSON/data/84</t>
  </si>
  <si>
    <t>639777060808</t>
  </si>
  <si>
    <t>家用洗衣袋圆柱形印花护洗袋防变形胸罩护洗袋洗衣机印花网袋网兜</t>
  </si>
  <si>
    <t>义乌市合达电子商务商行</t>
  </si>
  <si>
    <t>https://detail.1688.com/offer/639777060808.html</t>
  </si>
  <si>
    <t>evidence/2026-09-10-raw-observations.json#/suppliers/0/result/content/0/text→JSON/data/85</t>
  </si>
  <si>
    <t>642959237785</t>
  </si>
  <si>
    <t>厂家直销洗衣机衣物清洗网袋三明治涤纶洗鞋袋网兜护洗袋批发</t>
  </si>
  <si>
    <t>上海仙桂实业有限公司</t>
  </si>
  <si>
    <t>https://detail.1688.com/offer/642959237785.html</t>
  </si>
  <si>
    <t>evidence/2026-09-10-raw-observations.json#/suppliers/0/result/content/0/text→JSON/data/86</t>
  </si>
  <si>
    <t>823893327026</t>
  </si>
  <si>
    <t>双层洗衣袋家用洗毛衣网兜加厚大号细网衣物护洗袋机洗衣服洗衣机</t>
  </si>
  <si>
    <t>https://detail.1688.com/offer/823893327026.html</t>
  </si>
  <si>
    <t>evidence/2026-09-10-raw-observations.json#/suppliers/0/result/content/0/text→JSON/data/87</t>
  </si>
  <si>
    <t>1016445945717</t>
  </si>
  <si>
    <t>加厚内衣洗衣袋细网套装文胸洗护袋网状防变形特大号网袋厂家批发</t>
  </si>
  <si>
    <t>https://detail.1688.com/offer/1016445945717.html</t>
  </si>
  <si>
    <t>evidence/2026-09-10-raw-observations.json#/suppliers/0/result/content/0/text→JSON/data/88</t>
  </si>
  <si>
    <t>1002197616374</t>
  </si>
  <si>
    <t>洗衣袋家用洗毛衣网兜大号洗衣机网袋护洗袋内衣洗衣机专用防变形</t>
  </si>
  <si>
    <t>https://detail.1688.com/offer/1002197616374.html</t>
  </si>
  <si>
    <t>evidence/2026-09-10-raw-observations.json#/suppliers/0/result/content/0/text→JSON/data/89</t>
  </si>
  <si>
    <t>900357593445</t>
  </si>
  <si>
    <t>幼儿园宝宝入园衣服儿童入学必备用品衣物收纳袋密封分装脏衣袋子</t>
  </si>
  <si>
    <t>https://detail.1688.com/offer/900357593445.html</t>
  </si>
  <si>
    <t>evidence/2026-09-10-raw-observations.json#/suppliers/0/result/content/0/text→JSON/data/90</t>
  </si>
  <si>
    <t>814563719256</t>
  </si>
  <si>
    <t>洗衣袋洗衣机专用加厚细网防变形袋家用洗护袋涤纶护洗袋</t>
  </si>
  <si>
    <t>https://detail.1688.com/offer/814563719256.html</t>
  </si>
  <si>
    <t>evidence/2026-09-10-raw-observations.json#/suppliers/0/result/content/0/text→JSON/data/91</t>
  </si>
  <si>
    <t>666589127054</t>
  </si>
  <si>
    <t>洗衣袋洗衣机专用网袋家用洗毛衣衣服内衣袜子粗细网兜大号防变形</t>
  </si>
  <si>
    <t>https://detail.1688.com/offer/666589127054.html</t>
  </si>
  <si>
    <t>evidence/2026-09-10-raw-observations.json#/suppliers/0/result/content/0/text→JSON/data/92</t>
  </si>
  <si>
    <t>967202351772</t>
  </si>
  <si>
    <t>护洗袋洗衣机机洗粗网袋内衣毛衣洗衣服网袋</t>
  </si>
  <si>
    <t>https://detail.1688.com/offer/967202351772.html</t>
  </si>
  <si>
    <t>evidence/2026-09-10-raw-observations.json#/suppliers/0/result/content/0/text→JSON/data/93</t>
  </si>
  <si>
    <t>974986223620</t>
  </si>
  <si>
    <t>https://detail.1688.com/offer/974986223620.html</t>
  </si>
  <si>
    <t>evidence/2026-09-10-raw-observations.json#/suppliers/0/result/content/0/text→JSON/data/94</t>
  </si>
  <si>
    <t>995141970762</t>
  </si>
  <si>
    <t>批发洗衣袋洗衣机专用防变形网袋细网粗网大孔加厚双层洗衣袋套装</t>
  </si>
  <si>
    <t>https://detail.1688.com/offer/995141970762.html</t>
  </si>
  <si>
    <t>evidence/2026-09-10-raw-observations.json#/suppliers/0/result/content/0/text→JSON/data/95</t>
  </si>
  <si>
    <t>710233346685</t>
  </si>
  <si>
    <t>印花洗衣袋洗衣机超大专用细网袋洗毛衣衣服内衣加大号家用护洗袋</t>
  </si>
  <si>
    <t>https://detail.1688.com/offer/710233346685.html</t>
  </si>
  <si>
    <t>evidence/2026-09-10-raw-observations.json#/suppliers/0/result/content/0/text→JSON/data/96</t>
  </si>
  <si>
    <t>958622601559</t>
  </si>
  <si>
    <t>家用便携晾衣袋围裙 跨境亚马逊temu晒衣围兜批发</t>
  </si>
  <si>
    <t>https://detail.1688.com/offer/958622601559.html</t>
  </si>
  <si>
    <t>evidence/2026-09-10-raw-observations.json#/suppliers/0/result/content/0/text→JSON/data/97</t>
  </si>
  <si>
    <t>902369462756</t>
  </si>
  <si>
    <t>160克三明治洗帽袋帽子洗护袋加厚防变形洗衣机专用洗衣袋批发</t>
  </si>
  <si>
    <t>https://detail.1688.com/offer/902369462756.html</t>
  </si>
  <si>
    <t>evidence/2026-09-10-raw-observations.json#/suppliers/0/result/content/0/text→JSON/data/98</t>
  </si>
  <si>
    <t>1029105426208</t>
  </si>
  <si>
    <t>洗衣袋护洗袋套装家用洗衣机机洗凝珠留香珠专用加厚洗衣凝珠网袋</t>
  </si>
  <si>
    <t>https://detail.1688.com/offer/1029105426208.html</t>
  </si>
  <si>
    <t>evidence/2026-09-10-raw-observations.json#/suppliers/0/result/content/0/text→JSON/data/99</t>
  </si>
  <si>
    <t>旅行收纳袋套装</t>
  </si>
  <si>
    <t>847068328975</t>
  </si>
  <si>
    <t>旅行收纳袋六件套布艺包旅游防水内衣内裤行李箱衣服收纳分装袋</t>
  </si>
  <si>
    <t>义乌市辉弘箱包有限公司</t>
  </si>
  <si>
    <t>612759901613</t>
  </si>
  <si>
    <t>批发旅行收纳套装旅行收纳袋8件套八件套装旅游衣物分类收纳包</t>
  </si>
  <si>
    <t>义乌市瑟辰箱包有限公司</t>
  </si>
  <si>
    <t>https://detail.1688.com/offer/612759901613.html</t>
  </si>
  <si>
    <t>evidence/2026-09-10-raw-observations.json#/suppliers/1/result/content/0/text→JSON/data/1</t>
  </si>
  <si>
    <t>669090162462</t>
  </si>
  <si>
    <t>旅行收纳袋套装出差衣物束口11件套收纳包化妆洗漱折叠网格收纳袋</t>
  </si>
  <si>
    <t>义乌市正穗箱包有限公司</t>
  </si>
  <si>
    <t>https://detail.1688.com/offer/669090162462.html</t>
  </si>
  <si>
    <t>evidence/2026-09-10-raw-observations.json#/suppliers/1/result/content/0/text→JSON/data/2</t>
  </si>
  <si>
    <t>902357966626</t>
  </si>
  <si>
    <t>斜纹7件套8件套旅行收纳袋套装大容量多用途分类衣物洗漱收纳包</t>
  </si>
  <si>
    <t>义乌市欣纳箱包有限公司</t>
  </si>
  <si>
    <t>https://detail.1688.com/offer/902357966626.html</t>
  </si>
  <si>
    <t>evidence/2026-09-10-raw-observations.json#/suppliers/1/result/content/0/text→JSON/data/3</t>
  </si>
  <si>
    <t>856807873812</t>
  </si>
  <si>
    <t>印花压缩旅行收纳袋折叠套装束口衣物包行李分装网格收纳袋搬家</t>
  </si>
  <si>
    <t>义乌市南睿箱包有限公司</t>
  </si>
  <si>
    <t>https://detail.1688.com/offer/856807873812.html</t>
  </si>
  <si>
    <t>evidence/2026-09-10-raw-observations.json#/suppliers/1/result/content/0/text→JSON/data/4</t>
  </si>
  <si>
    <t>733720708391</t>
  </si>
  <si>
    <t>旅行收纳袋套装斜纹七件套出差旅游行李箱衣物鞋子整理分装袋</t>
  </si>
  <si>
    <t>江西联诚家居用品有限公司</t>
  </si>
  <si>
    <t>https://detail.1688.com/offer/733720708391.html</t>
  </si>
  <si>
    <t>evidence/2026-09-10-raw-observations.json#/suppliers/1/result/content/0/text→JSON/data/5</t>
  </si>
  <si>
    <t>711213182201</t>
  </si>
  <si>
    <t>旅行收纳袋七件套行李箱衣物整理袋出差旅游衣服鞋内衣分装收纳袋</t>
  </si>
  <si>
    <t>义乌市华磊箱包有限公司</t>
  </si>
  <si>
    <t>https://detail.1688.com/offer/711213182201.html</t>
  </si>
  <si>
    <t>evidence/2026-09-10-raw-observations.json#/suppliers/1/result/content/0/text→JSON/data/6</t>
  </si>
  <si>
    <t>835044853744</t>
  </si>
  <si>
    <t>跨境旅行收纳袋套装数码洗漱化妆品分装收纳包衣服鞋子行李旅行袋</t>
  </si>
  <si>
    <t>横峰县鼎胜箱包厂</t>
  </si>
  <si>
    <t>https://detail.1688.com/offer/835044853744.html</t>
  </si>
  <si>
    <t>evidence/2026-09-10-raw-observations.json#/suppliers/1/result/content/0/text→JSON/data/7</t>
  </si>
  <si>
    <t>775894572345</t>
  </si>
  <si>
    <t>一件代发干湿分离旅行收纳包洗漱化妆包透明沥水大容量手提收纳包</t>
  </si>
  <si>
    <t>常州宝锦纺织有限公司</t>
  </si>
  <si>
    <t>https://detail.1688.com/offer/775894572345.html</t>
  </si>
  <si>
    <t>evidence/2026-09-10-raw-observations.json#/suppliers/1/result/content/0/text→JSON/data/8</t>
  </si>
  <si>
    <t>605378793755</t>
  </si>
  <si>
    <t>旅行收纳袋家居收纳包套装压缩三件套尼龙材料亚马逊多场景收纳</t>
  </si>
  <si>
    <t>义乌市卓逸箱包有限公司</t>
  </si>
  <si>
    <t>https://detail.1688.com/offer/605378793755.html</t>
  </si>
  <si>
    <t>evidence/2026-09-10-raw-observations.json#/suppliers/1/result/content/0/text→JSON/data/9</t>
  </si>
  <si>
    <t>915193655734</t>
  </si>
  <si>
    <t>亚马逊跨境旅行收纳七八九十件套装旅游内衣衣物分类整理收纳包袋</t>
  </si>
  <si>
    <t>https://detail.1688.com/offer/915193655734.html</t>
  </si>
  <si>
    <t>evidence/2026-09-10-raw-observations.json#/suppliers/1/result/content/0/text→JSON/data/10</t>
  </si>
  <si>
    <t>705093613854</t>
  </si>
  <si>
    <t>跨境爆款便携收纳包衣物旅行套装六七八件套行李袋礼品衣服收纳袋</t>
  </si>
  <si>
    <t>https://detail.1688.com/offer/705093613854.html</t>
  </si>
  <si>
    <t>evidence/2026-09-10-raw-observations.json#/suppliers/1/result/content/0/text→JSON/data/11</t>
  </si>
  <si>
    <t>943587494835</t>
  </si>
  <si>
    <t>外贸跨境七八九十件套斜纹布旅行收纳套装多件套便携大容量亚马逊</t>
  </si>
  <si>
    <t>义乌市鸿纳箱包有限公司</t>
  </si>
  <si>
    <t>https://detail.1688.com/offer/943587494835.html</t>
  </si>
  <si>
    <t>evidence/2026-09-10-raw-observations.json#/suppliers/1/result/content/0/text→JSON/data/12</t>
  </si>
  <si>
    <t>951307396652</t>
  </si>
  <si>
    <t>旅行收纳袋套装透明防水便携分装衣服衣物行李收纳袋PE加厚密封袋</t>
  </si>
  <si>
    <t>义乌市奥坤日用品有限公司</t>
  </si>
  <si>
    <t>https://detail.1688.com/offer/951307396652.html</t>
  </si>
  <si>
    <t>evidence/2026-09-10-raw-observations.json#/suppliers/1/result/content/0/text→JSON/data/13</t>
  </si>
  <si>
    <t>830968878426</t>
  </si>
  <si>
    <t>旅行收纳袋八件套装数码洗漱包化妆品收纳包衣物多功能行李旅行袋</t>
  </si>
  <si>
    <t>金华市收米箱包有限公司</t>
  </si>
  <si>
    <t>https://detail.1688.com/offer/830968878426.html</t>
  </si>
  <si>
    <t>evidence/2026-09-10-raw-observations.json#/suppliers/1/result/content/0/text→JSON/data/14</t>
  </si>
  <si>
    <t>683087975887</t>
  </si>
  <si>
    <t>斜纹旅行收纳包八件套行李箱衣物分类整理包旅行收纳袋套装八件套</t>
  </si>
  <si>
    <t>宜春昌宜箱包有限公司</t>
  </si>
  <si>
    <t>https://detail.1688.com/offer/683087975887.html</t>
  </si>
  <si>
    <t>evidence/2026-09-10-raw-observations.json#/suppliers/1/result/content/0/text→JSON/data/15</t>
  </si>
  <si>
    <t>731917284852</t>
  </si>
  <si>
    <t>旅行收纳袋 旅行出差行李箱衣物整理收纳包简约分隔收纳套装大中</t>
  </si>
  <si>
    <t>义乌市腾荣辉日用百货有限公司</t>
  </si>
  <si>
    <t>https://detail.1688.com/offer/731917284852.html</t>
  </si>
  <si>
    <t>evidence/2026-09-10-raw-observations.json#/suppliers/1/result/content/0/text→JSON/data/16</t>
  </si>
  <si>
    <t>785451201922</t>
  </si>
  <si>
    <t>旅行收纳袋七件套大容量出差行李箱分装袋折叠便携衣服洗漱收纳包</t>
  </si>
  <si>
    <t>义乌市加美箱包有限公司</t>
  </si>
  <si>
    <t>https://detail.1688.com/offer/785451201922.html</t>
  </si>
  <si>
    <t>evidence/2026-09-10-raw-observations.json#/suppliers/1/result/content/0/text→JSON/data/17</t>
  </si>
  <si>
    <t>799357613502</t>
  </si>
  <si>
    <t>旅行收纳包出差便携衣物行李分装袋防水大容量旅行四件套收纳袋</t>
  </si>
  <si>
    <t>丽水一咚家居有限公司</t>
  </si>
  <si>
    <t>https://detail.1688.com/offer/799357613502.html</t>
  </si>
  <si>
    <t>evidence/2026-09-10-raw-observations.json#/suppliers/1/result/content/0/text→JSON/data/18</t>
  </si>
  <si>
    <t>645946731760</t>
  </si>
  <si>
    <t>旅行收纳袋七件套旅游加厚行李箱衣物分类收纳包 7件套厂家</t>
  </si>
  <si>
    <t>义乌市瑟索箱包厂</t>
  </si>
  <si>
    <t>https://detail.1688.com/offer/645946731760.html</t>
  </si>
  <si>
    <t>evidence/2026-09-10-raw-observations.json#/suppliers/1/result/content/0/text→JSON/data/19</t>
  </si>
  <si>
    <t>712372698131</t>
  </si>
  <si>
    <t>旅行收纳袋套装八件套化妆洗漱分类束口拉杆箱分装必备衣物便携</t>
  </si>
  <si>
    <t>义乌市雷邦箱包有限公司</t>
  </si>
  <si>
    <t>https://detail.1688.com/offer/712372698131.html</t>
  </si>
  <si>
    <t>evidence/2026-09-10-raw-observations.json#/suppliers/1/result/content/0/text→JSON/data/20</t>
  </si>
  <si>
    <t>755384401157</t>
  </si>
  <si>
    <t>3件装大容量旅行收纳袋外出便携式多功能防水洗漱包</t>
  </si>
  <si>
    <t>浦江县龙翔工贸有限公司</t>
  </si>
  <si>
    <t>https://detail.1688.com/offer/755384401157.html</t>
  </si>
  <si>
    <t>evidence/2026-09-10-raw-observations.json#/suppliers/1/result/content/0/text→JSON/data/21</t>
  </si>
  <si>
    <t>765678390298</t>
  </si>
  <si>
    <t>新款爆款洗漱化妆衣服防尘旅行收纳袋行李袋旅行收纳袋八件九件套</t>
  </si>
  <si>
    <t>上饶市新一日用品有限公司</t>
  </si>
  <si>
    <t>https://detail.1688.com/offer/765678390298.html</t>
  </si>
  <si>
    <t>evidence/2026-09-10-raw-observations.json#/suppliers/1/result/content/0/text→JSON/data/22</t>
  </si>
  <si>
    <t>710553168244</t>
  </si>
  <si>
    <t>厂家直销箱包批发衣物整理收纳袋套装行李分装收纳包旅行收纳套装</t>
  </si>
  <si>
    <t>弋阳县澵起点箱包厂</t>
  </si>
  <si>
    <t>https://detail.1688.com/offer/710553168244.html</t>
  </si>
  <si>
    <t>evidence/2026-09-10-raw-observations.json#/suppliers/1/result/content/0/text→JSON/data/23</t>
  </si>
  <si>
    <t>999438606042</t>
  </si>
  <si>
    <t>可压缩收纳包旅行袋便携家用分装高颜值出差行李箱衣服整理包套装</t>
  </si>
  <si>
    <t>https://detail.1688.com/offer/999438606042.html</t>
  </si>
  <si>
    <t>evidence/2026-09-10-raw-observations.json#/suppliers/1/result/content/0/text→JSON/data/24</t>
  </si>
  <si>
    <t>748395341278</t>
  </si>
  <si>
    <t>旅行衣物收纳包行李套装收纳袋大容量跨境旅行便携收纳搬家亚马逊</t>
  </si>
  <si>
    <t>https://detail.1688.com/offer/748395341278.html</t>
  </si>
  <si>
    <t>evidence/2026-09-10-raw-observations.json#/suppliers/1/result/content/0/text→JSON/data/25</t>
  </si>
  <si>
    <t>944574074587</t>
  </si>
  <si>
    <t>7件套出差收纳袋行李箱分装内衣收纳包整理便携套装旅行收纳袋</t>
  </si>
  <si>
    <t>https://detail.1688.com/offer/944574074587.html</t>
  </si>
  <si>
    <t>evidence/2026-09-10-raw-observations.json#/suppliers/1/result/content/0/text→JSON/data/26</t>
  </si>
  <si>
    <t>949038238471</t>
  </si>
  <si>
    <t>新品网纱可视旅行收纳袋套装口红化妆品洗漱数码分类折叠整理包</t>
  </si>
  <si>
    <t>https://detail.1688.com/offer/949038238471.html</t>
  </si>
  <si>
    <t>evidence/2026-09-10-raw-observations.json#/suppliers/1/result/content/0/text→JSON/data/27</t>
  </si>
  <si>
    <t>867335213437</t>
  </si>
  <si>
    <t>韩版旅行收纳包6件套 防水衣服整理包旅行收纳袋 收纳六件套</t>
  </si>
  <si>
    <t>义乌市布鲁箱包厂</t>
  </si>
  <si>
    <t>https://detail.1688.com/offer/867335213437.html</t>
  </si>
  <si>
    <t>evidence/2026-09-10-raw-observations.json#/suppliers/1/result/content/0/text→JSON/data/28</t>
  </si>
  <si>
    <t>876415615738</t>
  </si>
  <si>
    <t>旅行箱收纳袋整理包旅行收纳包大容量六件套压缩袋套装小包收纳包</t>
  </si>
  <si>
    <t>https://detail.1688.com/offer/876415615738.html</t>
  </si>
  <si>
    <t>evidence/2026-09-10-raw-observations.json#/suppliers/1/result/content/0/text→JSON/data/29</t>
  </si>
  <si>
    <t>994662427617</t>
  </si>
  <si>
    <t>旅行袋收纳袋旅行便携衣物棉被扩容压缩收纳套装</t>
  </si>
  <si>
    <t>https://detail.1688.com/offer/994662427617.html</t>
  </si>
  <si>
    <t>evidence/2026-09-10-raw-observations.json#/suppliers/1/result/content/0/text→JSON/data/30</t>
  </si>
  <si>
    <t>948138894479</t>
  </si>
  <si>
    <t>旅行收纳袋套装小号六件套出差旅游行李箱衣物鞋子整理分装袋</t>
  </si>
  <si>
    <t>https://detail.1688.com/offer/948138894479.html</t>
  </si>
  <si>
    <t>evidence/2026-09-10-raw-observations.json#/suppliers/1/result/content/0/text→JSON/data/31</t>
  </si>
  <si>
    <t>887427997709</t>
  </si>
  <si>
    <t>亚马逊爆款旅行收纳套装加厚多件组衣物收纳套装衣服内衣行李袋</t>
  </si>
  <si>
    <t>https://detail.1688.com/offer/887427997709.html</t>
  </si>
  <si>
    <t>evidence/2026-09-10-raw-observations.json#/suppliers/1/result/content/0/text→JSON/data/32</t>
  </si>
  <si>
    <t>896217268422</t>
  </si>
  <si>
    <t>旅行收纳六件套大容量行李箱衣物分装收纳袋便携出差旅游收纳神器</t>
  </si>
  <si>
    <t>https://detail.1688.com/offer/896217268422.html</t>
  </si>
  <si>
    <t>evidence/2026-09-10-raw-observations.json#/suppliers/1/result/content/0/text→JSON/data/33</t>
  </si>
  <si>
    <t>1007048441811</t>
  </si>
  <si>
    <t>旅行收纳袋行李箱衣物收纳包防水衣服内衣内裤鞋子四件套分装袋子</t>
  </si>
  <si>
    <t>https://detail.1688.com/offer/1007048441811.html</t>
  </si>
  <si>
    <t>evidence/2026-09-10-raw-observations.json#/suppliers/1/result/content/0/text→JSON/data/34</t>
  </si>
  <si>
    <t>1001825846420</t>
  </si>
  <si>
    <t>旅行收纳袋磨砂防水密封袋待产包分装袋行李整理袋衣物鞋子防尘袋</t>
  </si>
  <si>
    <t>https://detail.1688.com/offer/1001825846420.html</t>
  </si>
  <si>
    <t>evidence/2026-09-10-raw-observations.json#/suppliers/1/result/content/0/text→JSON/data/35</t>
  </si>
  <si>
    <t>712026581754</t>
  </si>
  <si>
    <t>旅游用品旅行收纳袋搬家商务行李袋手提收纳包飞机包便捷打包袋厂</t>
  </si>
  <si>
    <t>义乌市驰川电子商务有限公司</t>
  </si>
  <si>
    <t>https://detail.1688.com/offer/712026581754.html</t>
  </si>
  <si>
    <t>evidence/2026-09-10-raw-observations.json#/suppliers/1/result/content/0/text→JSON/data/36</t>
  </si>
  <si>
    <t>654959825481</t>
  </si>
  <si>
    <t>新款可扩容阳离子旅行收纳袋套装行李箱衣物分类收纳包便携三件套</t>
  </si>
  <si>
    <t>义乌市灿然箱包厂</t>
  </si>
  <si>
    <t>https://detail.1688.com/offer/654959825481.html</t>
  </si>
  <si>
    <t>evidence/2026-09-10-raw-observations.json#/suppliers/1/result/content/0/text→JSON/data/37</t>
  </si>
  <si>
    <t>645945695990</t>
  </si>
  <si>
    <t>加厚斜纹新款旅行收纳袋九件套  旅游行李箱衣服分装收纳包 9件套</t>
  </si>
  <si>
    <t>https://detail.1688.com/offer/645945695990.html</t>
  </si>
  <si>
    <t>evidence/2026-09-10-raw-observations.json#/suppliers/1/result/content/0/text→JSON/data/38</t>
  </si>
  <si>
    <t>669447795380</t>
  </si>
  <si>
    <t>旅行收纳袋套装七件套口红化妆洗漱数码折叠整理包束口行李袋包</t>
  </si>
  <si>
    <t>https://detail.1688.com/offer/669447795380.html</t>
  </si>
  <si>
    <t>evidence/2026-09-10-raw-observations.json#/suppliers/1/result/content/0/text→JSON/data/39</t>
  </si>
  <si>
    <t>857016537689</t>
  </si>
  <si>
    <t>跨境旅行收纳袋数码套装洗漱化妆品分装收纳包衣服鞋子行李旅行袋</t>
  </si>
  <si>
    <t>https://detail.1688.com/offer/857016537689.html</t>
  </si>
  <si>
    <t>evidence/2026-09-10-raw-observations.json#/suppliers/1/result/content/0/text→JSON/data/40</t>
  </si>
  <si>
    <t>1006687721095</t>
  </si>
  <si>
    <t>厂家订 制批发旅行收纳六件套收纳袋衣物整理包收纳6件套旅行袋</t>
  </si>
  <si>
    <t>义乌市纳福箱包有限公司</t>
  </si>
  <si>
    <t>https://detail.1688.com/offer/1006687721095.html</t>
  </si>
  <si>
    <t>evidence/2026-09-10-raw-observations.json#/suppliers/1/result/content/0/text→JSON/data/41</t>
  </si>
  <si>
    <t>963318610582</t>
  </si>
  <si>
    <t>旅行收纳袋行李箱衣物内衣旅游出差分装衣服收纳包收纳套装六件套</t>
  </si>
  <si>
    <t>https://detail.1688.com/offer/963318610582.html</t>
  </si>
  <si>
    <t>evidence/2026-09-10-raw-observations.json#/suppliers/1/result/content/0/text→JSON/data/42</t>
  </si>
  <si>
    <t>984912140923</t>
  </si>
  <si>
    <t>旅行收纳袋搬家打包袋大容量无纺布装被子的袋子手提行李袋防水</t>
  </si>
  <si>
    <t>白沟新城安芳箱包厂</t>
  </si>
  <si>
    <t>https://detail.1688.com/offer/984912140923.html</t>
  </si>
  <si>
    <t>evidence/2026-09-10-raw-observations.json#/suppliers/1/result/content/0/text→JSON/data/43</t>
  </si>
  <si>
    <t>824936941226</t>
  </si>
  <si>
    <t>旅行收纳袋旅行便携可视防水收纳套装衣服收纳包内衣裤分格收纳袋</t>
  </si>
  <si>
    <t>https://detail.1688.com/offer/824936941226.html</t>
  </si>
  <si>
    <t>evidence/2026-09-10-raw-observations.json#/suppliers/1/result/content/0/text→JSON/data/44</t>
  </si>
  <si>
    <t>1010198213133</t>
  </si>
  <si>
    <t>新品花色旅行收纳袋七件套装数码洗漱化妆品收纳包衣物整理旅行袋</t>
  </si>
  <si>
    <t>https://detail.1688.com/offer/1010198213133.html</t>
  </si>
  <si>
    <t>evidence/2026-09-10-raw-observations.json#/suppliers/1/result/content/0/text→JSON/data/45</t>
  </si>
  <si>
    <t>1009913702621</t>
  </si>
  <si>
    <t>https://detail.1688.com/offer/1009913702621.html</t>
  </si>
  <si>
    <t>evidence/2026-09-10-raw-observations.json#/suppliers/1/result/content/0/text→JSON/data/46</t>
  </si>
  <si>
    <t>818796626252</t>
  </si>
  <si>
    <t>厂家直销旅行收纳袋10件套出差行李箱衣服整理袋衣物分装收纳包</t>
  </si>
  <si>
    <t>https://detail.1688.com/offer/818796626252.html</t>
  </si>
  <si>
    <t>evidence/2026-09-10-raw-observations.json#/suppliers/1/result/content/0/text→JSON/data/47</t>
  </si>
  <si>
    <t>827810108750</t>
  </si>
  <si>
    <t>新款旅行箱收纳袋衣物整理袋旅游出差便携轻薄四件套分装收纳包</t>
  </si>
  <si>
    <t>https://detail.1688.com/offer/827810108750.html</t>
  </si>
  <si>
    <t>evidence/2026-09-10-raw-observations.json#/suppliers/1/result/content/0/text→JSON/data/48</t>
  </si>
  <si>
    <t>1012694757037</t>
  </si>
  <si>
    <t>旅行收纳套装多功能防水出差衣物鞋子收纳袋压缩省空间便携收纳包</t>
  </si>
  <si>
    <t>https://detail.1688.com/offer/1012694757037.html</t>
  </si>
  <si>
    <t>evidence/2026-09-10-raw-observations.json#/suppliers/1/result/content/0/text→JSON/data/49</t>
  </si>
  <si>
    <t>894766143252</t>
  </si>
  <si>
    <t>大容量防水耐用旅行收纳袋收纳包衣物杂物整理袋子抽绳束口小布袋</t>
  </si>
  <si>
    <t>https://detail.1688.com/offer/894766143252.html</t>
  </si>
  <si>
    <t>evidence/2026-09-10-raw-observations.json#/suppliers/1/result/content/0/text→JSON/data/50</t>
  </si>
  <si>
    <t>1008178844271</t>
  </si>
  <si>
    <t>跨境旅行收纳袋八件套出差旅行收纳包大容量收纳包防水旅行收纳袋</t>
  </si>
  <si>
    <t>https://detail.1688.com/offer/1008178844271.html</t>
  </si>
  <si>
    <t>evidence/2026-09-10-raw-observations.json#/suppliers/1/result/content/0/text→JSON/data/51</t>
  </si>
  <si>
    <t>760583020604</t>
  </si>
  <si>
    <t>韩版新款旅行收纳袋六件套批发 大容量行李衣物储存袋防水整理包</t>
  </si>
  <si>
    <t>义乌市侣吉箱包厂</t>
  </si>
  <si>
    <t>https://detail.1688.com/offer/760583020604.html</t>
  </si>
  <si>
    <t>evidence/2026-09-10-raw-observations.json#/suppliers/1/result/content/0/text→JSON/data/52</t>
  </si>
  <si>
    <t>891817451348</t>
  </si>
  <si>
    <t>旅行收纳包大容量便捷防水可折叠衣服收纳袋可套拉杆箱手提行李包</t>
  </si>
  <si>
    <t>https://detail.1688.com/offer/891817451348.html</t>
  </si>
  <si>
    <t>evidence/2026-09-10-raw-observations.json#/suppliers/1/result/content/0/text→JSON/data/53</t>
  </si>
  <si>
    <t>809401745076</t>
  </si>
  <si>
    <t>旅行收纳袋六件套洗漱化妆品收纳包衣服鞋子分类行李袋便携可压缩</t>
  </si>
  <si>
    <t>https://detail.1688.com/offer/809401745076.html</t>
  </si>
  <si>
    <t>evidence/2026-09-10-raw-observations.json#/suppliers/1/result/content/0/text→JSON/data/54</t>
  </si>
  <si>
    <t>1001502149810</t>
  </si>
  <si>
    <t>跨境新款热销旅行收纳袋行李箱衣物分装整理袋便携出差旅游收纳包</t>
  </si>
  <si>
    <t>https://detail.1688.com/offer/1001502149810.html</t>
  </si>
  <si>
    <t>evidence/2026-09-10-raw-observations.json#/suppliers/1/result/content/0/text→JSON/data/55</t>
  </si>
  <si>
    <t>1011053435274</t>
  </si>
  <si>
    <t>旅行收纳袋六件套装 防尘多功能衣物分类收纳包 行李箱便携整理袋</t>
  </si>
  <si>
    <t>义乌市创米箱包有限公司</t>
  </si>
  <si>
    <t>https://detail.1688.com/offer/1011053435274.html</t>
  </si>
  <si>
    <t>evidence/2026-09-10-raw-observations.json#/suppliers/1/result/content/0/text→JSON/data/56</t>
  </si>
  <si>
    <t>949676847130</t>
  </si>
  <si>
    <t>韩版旅行收纳包6件套 防水衣服整理包bags 旅行收纳袋 收纳六件套</t>
  </si>
  <si>
    <t>义乌市超广文化用品有限公司</t>
  </si>
  <si>
    <t>https://detail.1688.com/offer/949676847130.html</t>
  </si>
  <si>
    <t>evidence/2026-09-10-raw-observations.json#/suppliers/1/result/content/0/text→JSON/data/57</t>
  </si>
  <si>
    <t>686686946079</t>
  </si>
  <si>
    <t>厂家直销批发旅行收纳六件套收纳袋衣物整理包收纳6件套</t>
  </si>
  <si>
    <t>义乌市享萱电子商务商行</t>
  </si>
  <si>
    <t>https://detail.1688.com/offer/686686946079.html</t>
  </si>
  <si>
    <t>evidence/2026-09-10-raw-observations.json#/suppliers/1/result/content/0/text→JSON/data/58</t>
  </si>
  <si>
    <t>601767410363</t>
  </si>
  <si>
    <t>旅行收纳袋套装 行李分装袋 八件套装 旅行衣物分装收纳袋 8件套</t>
  </si>
  <si>
    <t>浙江蓝波箱包有限公司</t>
  </si>
  <si>
    <t>https://detail.1688.com/offer/601767410363.html</t>
  </si>
  <si>
    <t>evidence/2026-09-10-raw-observations.json#/suppliers/1/result/content/0/text→JSON/data/59</t>
  </si>
  <si>
    <t>816932481649</t>
  </si>
  <si>
    <t>旅行收纳袋七件套户外旅行分类整理包便携收纳袋工厂直销</t>
  </si>
  <si>
    <t>https://detail.1688.com/offer/816932481649.html</t>
  </si>
  <si>
    <t>evidence/2026-09-10-raw-observations.json#/suppliers/1/result/content/0/text→JSON/data/60</t>
  </si>
  <si>
    <t>999297725977</t>
  </si>
  <si>
    <t>跨境旅行收纳袋压缩5件套装衣物洗漱包袜子收纳包衣服行李箱旅行</t>
  </si>
  <si>
    <t>https://detail.1688.com/offer/999297725977.html</t>
  </si>
  <si>
    <t>evidence/2026-09-10-raw-observations.json#/suppliers/1/result/content/0/text→JSON/data/61</t>
  </si>
  <si>
    <t>717826523921</t>
  </si>
  <si>
    <t>菱形压缩旅行收纳袋  出差旅游衣物收纳洗漱包套装四件套收纳袋</t>
  </si>
  <si>
    <t>https://detail.1688.com/offer/717826523921.html</t>
  </si>
  <si>
    <t>evidence/2026-09-10-raw-observations.json#/suppliers/1/result/content/0/text→JSON/data/62</t>
  </si>
  <si>
    <t>758252091888</t>
  </si>
  <si>
    <t>旅行收纳袋行李箱衣物收纳整理专用家用衣服鞋子加厚收纳包待产包</t>
  </si>
  <si>
    <t>https://detail.1688.com/offer/758252091888.html</t>
  </si>
  <si>
    <t>evidence/2026-09-10-raw-observations.json#/suppliers/1/result/content/0/text→JSON/data/63</t>
  </si>
  <si>
    <t>659353034877</t>
  </si>
  <si>
    <t>六件套七件套收纳袋 旅行用品分类收纳包 出差多功能衣物整理套装</t>
  </si>
  <si>
    <t>https://detail.1688.com/offer/659353034877.html</t>
  </si>
  <si>
    <t>evidence/2026-09-10-raw-observations.json#/suppliers/1/result/content/0/text→JSON/data/64</t>
  </si>
  <si>
    <t>984171391309</t>
  </si>
  <si>
    <t>旅行收纳袋可套拉杆干湿分离包大容量手提沙滩包便携游泳健身包</t>
  </si>
  <si>
    <t>https://detail.1688.com/offer/984171391309.html</t>
  </si>
  <si>
    <t>evidence/2026-09-10-raw-observations.json#/suppliers/1/result/content/0/text→JSON/data/65</t>
  </si>
  <si>
    <t>1006203446180</t>
  </si>
  <si>
    <t>旅行收纳袋八件套衣服整理打包袋衣物收纳包旅游6 7 8 件收纳套装</t>
  </si>
  <si>
    <t>https://detail.1688.com/offer/1006203446180.html</t>
  </si>
  <si>
    <t>evidence/2026-09-10-raw-observations.json#/suppliers/1/result/content/0/text→JSON/data/66</t>
  </si>
  <si>
    <t>989917779566</t>
  </si>
  <si>
    <t>旅行收纳袋欧式跨境阳离子便携整理大容量7件套防水收纳套装热卖</t>
  </si>
  <si>
    <t>https://detail.1688.com/offer/989917779566.html</t>
  </si>
  <si>
    <t>evidence/2026-09-10-raw-observations.json#/suppliers/1/result/content/0/text→JSON/data/67</t>
  </si>
  <si>
    <t>982274038654</t>
  </si>
  <si>
    <t>旅行收纳包飞机包手提包套大容量单肩拉杆行李袋旅行防水收纳袋</t>
  </si>
  <si>
    <t>https://detail.1688.com/offer/982274038654.html</t>
  </si>
  <si>
    <t>evidence/2026-09-10-raw-observations.json#/suppliers/1/result/content/0/text→JSON/data/68</t>
  </si>
  <si>
    <t>1017238552247</t>
  </si>
  <si>
    <t>旅行收纳包定制防水布大容量套装改尺寸改图案出行衣物整理分装袋</t>
  </si>
  <si>
    <t>https://detail.1688.com/offer/1017238552247.html</t>
  </si>
  <si>
    <t>evidence/2026-09-10-raw-observations.json#/suppliers/1/result/content/0/text→JSON/data/69</t>
  </si>
  <si>
    <t>974564604608</t>
  </si>
  <si>
    <t>旅行收纳袋子PE加厚衣服整理鞋子收纳袋透明防水便携分装袋六件套</t>
  </si>
  <si>
    <t>https://detail.1688.com/offer/974564604608.html</t>
  </si>
  <si>
    <t>evidence/2026-09-10-raw-observations.json#/suppliers/1/result/content/0/text→JSON/data/70</t>
  </si>
  <si>
    <t>732089887118</t>
  </si>
  <si>
    <t>旅行收纳袋八件套跨境电商多功能旅游收纳套装防水分装便携整理袋</t>
  </si>
  <si>
    <t>https://detail.1688.com/offer/732089887118.html</t>
  </si>
  <si>
    <t>evidence/2026-09-10-raw-observations.json#/suppliers/1/result/content/0/text→JSON/data/71</t>
  </si>
  <si>
    <t>989472418666</t>
  </si>
  <si>
    <t>旅游衣服内衣鞋子整理包便携旅行收纳袋套装防水行李箱衣物分装袋</t>
  </si>
  <si>
    <t>https://detail.1688.com/offer/989472418666.html</t>
  </si>
  <si>
    <t>evidence/2026-09-10-raw-observations.json#/suppliers/1/result/content/0/text→JSON/data/72</t>
  </si>
  <si>
    <t>1012069401948</t>
  </si>
  <si>
    <t>跨境旅行收纳包套装4件套PVC包收纳袋防水化妆包便携式收纳洗漱包</t>
  </si>
  <si>
    <t>义乌市毅力塑料制品厂</t>
  </si>
  <si>
    <t>https://detail.1688.com/offer/1012069401948.html</t>
  </si>
  <si>
    <t>evidence/2026-09-10-raw-observations.json#/suppliers/1/result/content/0/text→JSON/data/73</t>
  </si>
  <si>
    <t>1031732820264</t>
  </si>
  <si>
    <t>压缩旅行收纳袋9件套分装束口网格收纳包行李分类化妆洗漱整理包</t>
  </si>
  <si>
    <t>https://detail.1688.com/offer/1031732820264.html</t>
  </si>
  <si>
    <t>evidence/2026-09-10-raw-observations.json#/suppliers/1/result/content/0/text→JSON/data/74</t>
  </si>
  <si>
    <t>1007458528955</t>
  </si>
  <si>
    <t>可压缩旅行收纳包六件套衣服内衣物内裤鞋袜分装行李箱整理包批发</t>
  </si>
  <si>
    <t>https://detail.1688.com/offer/1007458528955.html</t>
  </si>
  <si>
    <t>evidence/2026-09-10-raw-observations.json#/suppliers/1/result/content/0/text→JSON/data/75</t>
  </si>
  <si>
    <t>993197901259</t>
  </si>
  <si>
    <t>旅行收纳六件套行李箱分区收纳包出差防水衣物整理袋大容量收纳包</t>
  </si>
  <si>
    <t>https://detail.1688.com/offer/993197901259.html</t>
  </si>
  <si>
    <t>evidence/2026-09-10-raw-observations.json#/suppliers/1/result/content/0/text→JSON/data/76</t>
  </si>
  <si>
    <t>1036446744750</t>
  </si>
  <si>
    <t>跨境爆款旅行收纳七件套 便携式大容量压缩手提收纳袋行李打包袋</t>
  </si>
  <si>
    <t>https://detail.1688.com/offer/1036446744750.html</t>
  </si>
  <si>
    <t>evidence/2026-09-10-raw-observations.json#/suppliers/1/result/content/0/text→JSON/data/77</t>
  </si>
  <si>
    <t>1036672881167</t>
  </si>
  <si>
    <t>https://detail.1688.com/offer/1036672881167.html</t>
  </si>
  <si>
    <t>evidence/2026-09-10-raw-observations.json#/suppliers/1/result/content/0/text→JSON/data/78</t>
  </si>
  <si>
    <t>1032814586877</t>
  </si>
  <si>
    <t>https://detail.1688.com/offer/1032814586877.html</t>
  </si>
  <si>
    <t>evidence/2026-09-10-raw-observations.json#/suppliers/1/result/content/0/text→JSON/data/79</t>
  </si>
  <si>
    <t>1041463345081</t>
  </si>
  <si>
    <t>爆款旅行收纳八套装高品质防水衣物行李分装整理洗漱收纳包</t>
  </si>
  <si>
    <t>https://detail.1688.com/offer/1041463345081.html</t>
  </si>
  <si>
    <t>evidence/2026-09-10-raw-observations.json#/suppliers/1/result/content/0/text→JSON/data/80</t>
  </si>
  <si>
    <t>1035613065332</t>
  </si>
  <si>
    <t>https://detail.1688.com/offer/1035613065332.html</t>
  </si>
  <si>
    <t>evidence/2026-09-10-raw-observations.json#/suppliers/1/result/content/0/text→JSON/data/81</t>
  </si>
  <si>
    <t>971456691780</t>
  </si>
  <si>
    <t>旅行收纳包随身包女拿外出透明化妆包网纱便携简约可爱猫手耳机包</t>
  </si>
  <si>
    <t>https://detail.1688.com/offer/971456691780.html</t>
  </si>
  <si>
    <t>evidence/2026-09-10-raw-observations.json#/suppliers/1/result/content/0/text→JSON/data/82</t>
  </si>
  <si>
    <t>1038930689130</t>
  </si>
  <si>
    <t>旅行收纳袋衣服裤子整理打包袋旅游行李箱衣物袜子整理手提旅行包</t>
  </si>
  <si>
    <t>https://detail.1688.com/offer/1038930689130.html</t>
  </si>
  <si>
    <t>evidence/2026-09-10-raw-observations.json#/suppliers/1/result/content/0/text→JSON/data/83</t>
  </si>
  <si>
    <t>948991976598</t>
  </si>
  <si>
    <t>新品旅行收纳袋旅游出差衣物鞋子行李箱分装打包袋子加厚套装批发</t>
  </si>
  <si>
    <t>https://detail.1688.com/offer/948991976598.html</t>
  </si>
  <si>
    <t>evidence/2026-09-10-raw-observations.json#/suppliers/1/result/content/0/text→JSON/data/84</t>
  </si>
  <si>
    <t>977005450721</t>
  </si>
  <si>
    <t>亚马逊跨境热销时尚便携旅行手提收纳包挂包杂物整理大容量包包</t>
  </si>
  <si>
    <t>https://detail.1688.com/offer/977005450721.html</t>
  </si>
  <si>
    <t>evidence/2026-09-10-raw-observations.json#/suppliers/1/result/content/0/text→JSON/data/85</t>
  </si>
  <si>
    <t>1045227485020</t>
  </si>
  <si>
    <t>旅行收纳袋四件套压缩出差旅游行李箱整理分装袋便携衣服收纳包</t>
  </si>
  <si>
    <t>https://detail.1688.com/offer/1045227485020.html</t>
  </si>
  <si>
    <t>evidence/2026-09-10-raw-observations.json#/suppliers/1/result/content/0/text→JSON/data/86</t>
  </si>
  <si>
    <t>1046610437458</t>
  </si>
  <si>
    <t>旅行收纳袋套装塔丝绒多功能防水行李箱分装袋内衣袜子整理收纳袋</t>
  </si>
  <si>
    <t>https://detail.1688.com/offer/1046610437458.html</t>
  </si>
  <si>
    <t>evidence/2026-09-10-raw-observations.json#/suppliers/1/result/content/0/text→JSON/data/87</t>
  </si>
  <si>
    <t>1046650056137</t>
  </si>
  <si>
    <t>旅行收纳袋套装多功能衣服袜子行李箱整理袋大容量防水便携收纳包</t>
  </si>
  <si>
    <t>https://detail.1688.com/offer/1046650056137.html</t>
  </si>
  <si>
    <t>evidence/2026-09-10-raw-observations.json#/suppliers/1/result/content/0/text→JSON/data/88</t>
  </si>
  <si>
    <t>856979231387</t>
  </si>
  <si>
    <t>跨境爆款新款旅行收纳包套装超轻旅行用品收纳包8件套收纳袋</t>
  </si>
  <si>
    <t>https://detail.1688.com/offer/856979231387.html</t>
  </si>
  <si>
    <t>evidence/2026-09-10-raw-observations.json#/suppliers/1/result/content/0/text→JSON/data/89</t>
  </si>
  <si>
    <t>756347765737</t>
  </si>
  <si>
    <t>旅行收纳袋七件套行李箱衣物整理袋旅游衣服内衣裤便携分装收纳包</t>
  </si>
  <si>
    <t>https://detail.1688.com/offer/756347765737.html</t>
  </si>
  <si>
    <t>evidence/2026-09-10-raw-observations.json#/suppliers/1/result/content/0/text→JSON/data/90</t>
  </si>
  <si>
    <t>1049016650417</t>
  </si>
  <si>
    <t>定制旅行收纳袋套装牛津布衣物行李箱整理分装袋便携防尘收纳包</t>
  </si>
  <si>
    <t>义乌市千禾箱包有限公司</t>
  </si>
  <si>
    <t>https://detail.1688.com/offer/1049016650417.html</t>
  </si>
  <si>
    <t>evidence/2026-09-10-raw-observations.json#/suppliers/1/result/content/0/text→JSON/data/91</t>
  </si>
  <si>
    <t>1025682263360</t>
  </si>
  <si>
    <t>旅行收纳袋子衣物密封袋装衣服透明整理包待产行李分类小物品便携</t>
  </si>
  <si>
    <t>https://detail.1688.com/offer/1025682263360.html</t>
  </si>
  <si>
    <t>evidence/2026-09-10-raw-observations.json#/suppliers/1/result/content/0/text→JSON/data/92</t>
  </si>
  <si>
    <t>980919456148</t>
  </si>
  <si>
    <t>旅行收纳袋分装袋多功能布袋储物行李箱床上整理可压缩包</t>
  </si>
  <si>
    <t>https://detail.1688.com/offer/980919456148.html</t>
  </si>
  <si>
    <t>evidence/2026-09-10-raw-observations.json#/suppliers/1/result/content/0/text→JSON/data/93</t>
  </si>
  <si>
    <t>1046173802368</t>
  </si>
  <si>
    <t>旅行收纳袋行李箱衣物分装袋旅游衣服内衣内裤出差便携整理包防水</t>
  </si>
  <si>
    <t>义乌市祎柔家居用品有限公司</t>
  </si>
  <si>
    <t>https://detail.1688.com/offer/1046173802368.html</t>
  </si>
  <si>
    <t>evidence/2026-09-10-raw-observations.json#/suppliers/1/result/content/0/text→JSON/data/94</t>
  </si>
  <si>
    <t>942211229420</t>
  </si>
  <si>
    <t>手提密封袋旅行外出便捷防水衣物分装宝宝入园幼儿园衣服收纳袋子</t>
  </si>
  <si>
    <t>https://detail.1688.com/offer/942211229420.html</t>
  </si>
  <si>
    <t>evidence/2026-09-10-raw-observations.json#/suppliers/1/result/content/0/text→JSON/data/95</t>
  </si>
  <si>
    <t>556490312080</t>
  </si>
  <si>
    <t>商务旅行套装高级感旅游必行李箱整理包衣物分装衣物收纳袋六件套</t>
  </si>
  <si>
    <t>https://detail.1688.com/offer/556490312080.html</t>
  </si>
  <si>
    <t>evidence/2026-09-10-raw-observations.json#/suppliers/1/result/content/0/text→JSON/data/96</t>
  </si>
  <si>
    <t>1051861253962</t>
  </si>
  <si>
    <t>定制旅行收纳包套装便携衣服鞋子数码洗漱化妆品大容量行李收纳袋</t>
  </si>
  <si>
    <t>义乌市恒纳箱包有限公司</t>
  </si>
  <si>
    <t>https://detail.1688.com/offer/1051861253962.html</t>
  </si>
  <si>
    <t>evidence/2026-09-10-raw-observations.json#/suppliers/1/result/content/0/text→JSON/data/97</t>
  </si>
  <si>
    <t>1052727953592</t>
  </si>
  <si>
    <t>旅行收纳袋套装大容量防水行李箱整理分装袋便携式数码洗漱收纳袋</t>
  </si>
  <si>
    <t>https://detail.1688.com/offer/1052727953592.html</t>
  </si>
  <si>
    <t>evidence/2026-09-10-raw-observations.json#/suppliers/1/result/content/0/text→JSON/data/98</t>
  </si>
  <si>
    <t>1054269209866</t>
  </si>
  <si>
    <t>旅行收纳袋套装压缩便携行李箱分装整理袋防尘出差衣物鞋子收纳袋</t>
  </si>
  <si>
    <t>https://detail.1688.com/offer/1054269209866.html</t>
  </si>
  <si>
    <t>evidence/2026-09-10-raw-observations.json#/suppliers/1/result/content/0/text→JSON/data/99</t>
  </si>
  <si>
    <t>电线理线器</t>
  </si>
  <si>
    <t>723994327186</t>
  </si>
  <si>
    <t>固线器 桌面数据线收纳整理自粘电线桌面固定器理线绕线器理线器</t>
  </si>
  <si>
    <t>义乌市煜洲电器厂</t>
  </si>
  <si>
    <t>836581847122</t>
  </si>
  <si>
    <t>数据线收纳盒大容量桌面手机电源理线器家用分隔集线整理收纳盒</t>
  </si>
  <si>
    <t>宁波加简塑料制品有限公司</t>
  </si>
  <si>
    <t>https://detail.1688.com/offer/836581847122.html</t>
  </si>
  <si>
    <t>evidence/2026-09-10-raw-observations.json#/suppliers/2/result/content/0/text→JSON/data/1</t>
  </si>
  <si>
    <t>871478220529</t>
  </si>
  <si>
    <t>理线器魔术贴扎线带桌面整理理线带电线固定器卷线器数据线收纳</t>
  </si>
  <si>
    <t>金华市金东区唯尚饰品加工厂</t>
  </si>
  <si>
    <t>https://detail.1688.com/offer/871478220529.html</t>
  </si>
  <si>
    <t>evidence/2026-09-10-raw-observations.json#/suppliers/2/result/content/0/text→JSON/data/2</t>
  </si>
  <si>
    <t>622765245467</t>
  </si>
  <si>
    <t>数据线充电器固定器桌面理线器收纳扣墙面贴床头固线夹手机线整理</t>
  </si>
  <si>
    <t>https://detail.1688.com/offer/622765245467.html</t>
  </si>
  <si>
    <t>evidence/2026-09-10-raw-observations.json#/suppliers/2/result/content/0/text→JSON/data/3</t>
  </si>
  <si>
    <t>890803586962</t>
  </si>
  <si>
    <t>电脑线固定收纳束线理线管集线器整理线管套防猫咬保护电线</t>
  </si>
  <si>
    <t>https://detail.1688.com/offer/890803586962.html</t>
  </si>
  <si>
    <t>evidence/2026-09-10-raw-observations.json#/suppliers/2/result/content/0/text→JSON/data/4</t>
  </si>
  <si>
    <t>665400819757</t>
  </si>
  <si>
    <t>防尘收纳理线盒集线器可调隔板桌面数据线收纳盒手机充电线跨境</t>
  </si>
  <si>
    <t>https://detail.1688.com/offer/665400819757.html</t>
  </si>
  <si>
    <t>evidence/2026-09-10-raw-observations.json#/suppliers/2/result/content/0/text→JSON/data/5</t>
  </si>
  <si>
    <t>729209019799</t>
  </si>
  <si>
    <t>数据线收纳盒桌面耳机充电器头整理器电源充电线理线器盒子</t>
  </si>
  <si>
    <t>https://detail.1688.com/offer/729209019799.html</t>
  </si>
  <si>
    <t>evidence/2026-09-10-raw-observations.json#/suppliers/2/result/content/0/text→JSON/data/6</t>
  </si>
  <si>
    <t>736523669256</t>
  </si>
  <si>
    <t>免打孔理线器 桌面数据线收纳整理自粘固定器固定器网线走线神器</t>
  </si>
  <si>
    <t>金华市帛欣工艺品有限公司</t>
  </si>
  <si>
    <t>https://detail.1688.com/offer/736523669256.html</t>
  </si>
  <si>
    <t>evidence/2026-09-10-raw-observations.json#/suppliers/2/result/content/0/text→JSON/data/7</t>
  </si>
  <si>
    <t>927404578830</t>
  </si>
  <si>
    <t>阳离子大容量数据线收纳包充电器移动硬盘耳机旅行便携防水数码包</t>
  </si>
  <si>
    <t>义乌市玖本箱包厂</t>
  </si>
  <si>
    <t>https://detail.1688.com/offer/927404578830.html</t>
  </si>
  <si>
    <t>evidence/2026-09-10-raw-observations.json#/suppliers/2/result/content/0/text→JSON/data/8</t>
  </si>
  <si>
    <t>834592563190</t>
  </si>
  <si>
    <t>数据线收纳盒桌面放充电线盒子手机电源充电器整理神器集绕理线器</t>
  </si>
  <si>
    <t>义乌市粒果家居用品有限公司</t>
  </si>
  <si>
    <t>https://detail.1688.com/offer/834592563190.html</t>
  </si>
  <si>
    <t>evidence/2026-09-10-raw-observations.json#/suppliers/2/result/content/0/text→JSON/data/9</t>
  </si>
  <si>
    <t>955354252630</t>
  </si>
  <si>
    <t>桌面理线器手机充电线数据线整理神器网线路走线固定器收纳束卡扣</t>
  </si>
  <si>
    <t>义乌市建帆日用品厂</t>
  </si>
  <si>
    <t>https://detail.1688.com/offer/955354252630.html</t>
  </si>
  <si>
    <t>evidence/2026-09-10-raw-observations.json#/suppliers/2/result/content/0/text→JSON/data/10</t>
  </si>
  <si>
    <t>933627557015</t>
  </si>
  <si>
    <t>理线器数据线收纳神器电脑桌面速线T型魔术贴扎带走线电线固定器</t>
  </si>
  <si>
    <t>东莞市桥头新城胶垫制品厂</t>
  </si>
  <si>
    <t>https://detail.1688.com/offer/933627557015.html</t>
  </si>
  <si>
    <t>evidence/2026-09-10-raw-observations.json#/suppliers/2/result/content/0/text→JSON/data/11</t>
  </si>
  <si>
    <t>964479293694</t>
  </si>
  <si>
    <t>理线器魔术贴扎线带桌下数据线收纳神器充电线电脑线捆绑带免打孔</t>
  </si>
  <si>
    <t>义乌市越图电子商务有限公司</t>
  </si>
  <si>
    <t>https://detail.1688.com/offer/964479293694.html</t>
  </si>
  <si>
    <t>evidence/2026-09-10-raw-observations.json#/suppliers/2/result/content/0/text→JSON/data/12</t>
  </si>
  <si>
    <t>726255365924</t>
  </si>
  <si>
    <t>数据线收纳包便携扁款阳离子大号数码包多功能整理加印LOGO</t>
  </si>
  <si>
    <t>义乌市创烁电子商务有限公司</t>
  </si>
  <si>
    <t>https://detail.1688.com/offer/726255365924.html</t>
  </si>
  <si>
    <t>evidence/2026-09-10-raw-observations.json#/suppliers/2/result/content/0/text→JSON/data/13</t>
  </si>
  <si>
    <t>756992584736</t>
  </si>
  <si>
    <t>桌面收纳自粘固线器夹充电线夹数据线扣线多孔绕线器集线器理线器</t>
  </si>
  <si>
    <t>汕头市澄海区压壳塑料制品商行</t>
  </si>
  <si>
    <t>https://detail.1688.com/offer/756992584736.html</t>
  </si>
  <si>
    <t>evidence/2026-09-10-raw-observations.json#/suppliers/2/result/content/0/text→JSON/data/14</t>
  </si>
  <si>
    <t>615041155379</t>
  </si>
  <si>
    <t>现货数据线理线带可裁剪背对背魔术贴绑带魔术贴扎带粘扣带可批发</t>
  </si>
  <si>
    <t>深圳市好合粘扣带有限公司</t>
  </si>
  <si>
    <t>https://detail.1688.com/offer/615041155379.html</t>
  </si>
  <si>
    <t>evidence/2026-09-10-raw-observations.json#/suppliers/2/result/content/0/text→JSON/data/15</t>
  </si>
  <si>
    <t>956832548762</t>
  </si>
  <si>
    <t>数据线收纳盒包保护袋绕线器整理保护套外出耳机充电线整理袋批发</t>
  </si>
  <si>
    <t>义乌冠誉塑业有限公司</t>
  </si>
  <si>
    <t>https://detail.1688.com/offer/956832548762.html</t>
  </si>
  <si>
    <t>evidence/2026-09-10-raw-observations.json#/suppliers/2/result/content/0/text→JSON/data/16</t>
  </si>
  <si>
    <t>968868246875</t>
  </si>
  <si>
    <t>理线器桌面数据线走线神器免打孔固线器走线路固定卡扣自粘固定器</t>
  </si>
  <si>
    <t>金华市惠纳日用品有限公司</t>
  </si>
  <si>
    <t>https://detail.1688.com/offer/968868246875.html</t>
  </si>
  <si>
    <t>evidence/2026-09-10-raw-observations.json#/suppliers/2/result/content/0/text→JSON/data/17</t>
  </si>
  <si>
    <t>858353224360</t>
  </si>
  <si>
    <t>背对背魔术贴扎带彩色自粘数据线收纳理线带植物捆绑魔术贴绑带</t>
  </si>
  <si>
    <t>东莞市铭和纺织品有限公司</t>
  </si>
  <si>
    <t>https://detail.1688.com/offer/858353224360.html</t>
  </si>
  <si>
    <t>evidence/2026-09-10-raw-observations.json#/suppliers/2/result/content/0/text→JSON/data/18</t>
  </si>
  <si>
    <t>949653675891</t>
  </si>
  <si>
    <t>台面集线器充电器电线收纳神器桌面理线盒绕线器带盖数据线收纳盒</t>
  </si>
  <si>
    <t>义乌市约汇电子商务有限公司</t>
  </si>
  <si>
    <t>https://detail.1688.com/offer/949653675891.html</t>
  </si>
  <si>
    <t>evidence/2026-09-10-raw-observations.json#/suppliers/2/result/content/0/text→JSON/data/19</t>
  </si>
  <si>
    <t>923625212633</t>
  </si>
  <si>
    <t>2个数据线收纳包便携包旅行保护手机充电器随身</t>
  </si>
  <si>
    <t>1688小店进货官方供应链</t>
  </si>
  <si>
    <t>https://detail.1688.com/offer/923625212633.html</t>
  </si>
  <si>
    <t>evidence/2026-09-10-raw-observations.json#/suppliers/2/result/content/0/text→JSON/data/20</t>
  </si>
  <si>
    <t>846895283516</t>
  </si>
  <si>
    <t>免打孔数据线收纳固定器充电线耳机线理线器办公室桌面床头固线器</t>
  </si>
  <si>
    <t>义乌市意爆电子商务商行</t>
  </si>
  <si>
    <t>https://detail.1688.com/offer/846895283516.html</t>
  </si>
  <si>
    <t>evidence/2026-09-10-raw-observations.json#/suppliers/2/result/content/0/text→JSON/data/21</t>
  </si>
  <si>
    <t>973508044313</t>
  </si>
  <si>
    <t>理线器数据线收纳神器桌面电脑束线魔术贴扎带电线网线走线固定器</t>
  </si>
  <si>
    <t>https://detail.1688.com/offer/973508044313.html</t>
  </si>
  <si>
    <t>evidence/2026-09-10-raw-observations.json#/suppliers/2/result/content/0/text→JSON/data/22</t>
  </si>
  <si>
    <t>643110066430</t>
  </si>
  <si>
    <t>数据线收纳盒手机充电线绕线器多用带手机支架随身便携耳机整理盒</t>
  </si>
  <si>
    <t>义乌市赋能日用百货有限公司</t>
  </si>
  <si>
    <t>https://detail.1688.com/offer/643110066430.html</t>
  </si>
  <si>
    <t>evidence/2026-09-10-raw-observations.json#/suppliers/2/result/content/0/text→JSON/data/23</t>
  </si>
  <si>
    <t>781324224111</t>
  </si>
  <si>
    <t>便携数据线网线收纳理线器旅行防丢耳机充电线硅胶绕线器扎带绑带</t>
  </si>
  <si>
    <t>东莞市劲草电子商务有限公司</t>
  </si>
  <si>
    <t>https://detail.1688.com/offer/781324224111.html</t>
  </si>
  <si>
    <t>evidence/2026-09-10-raw-observations.json#/suppliers/2/result/content/0/text→JSON/data/24</t>
  </si>
  <si>
    <t>992764762312</t>
  </si>
  <si>
    <t>新挂钩理线器理线器无痕集线器至多功能打孔创意免大拇指塑料简约</t>
  </si>
  <si>
    <t>https://detail.1688.com/offer/992764762312.html</t>
  </si>
  <si>
    <t>evidence/2026-09-10-raw-observations.json#/suppliers/2/result/content/0/text→JSON/data/25</t>
  </si>
  <si>
    <t>874905220110</t>
  </si>
  <si>
    <t>理线器手机充电线数据线整理走线收纳束集线器卡扣夹线器办公桌</t>
  </si>
  <si>
    <t>https://detail.1688.com/offer/874905220110.html</t>
  </si>
  <si>
    <t>evidence/2026-09-10-raw-observations.json#/suppliers/2/result/content/0/text→JSON/data/26</t>
  </si>
  <si>
    <t>872011369380</t>
  </si>
  <si>
    <t>跨境电商数据线理线理线器充电桌面集线神器保护器电线收纳整理</t>
  </si>
  <si>
    <t>https://detail.1688.com/offer/872011369380.html</t>
  </si>
  <si>
    <t>evidence/2026-09-10-raw-observations.json#/suppliers/2/result/content/0/text→JSON/data/27</t>
  </si>
  <si>
    <t>1003429092507</t>
  </si>
  <si>
    <t>跨境亚马逊数据线收纳神器桌面理线器网线电脑束线魔术贴扎带套装</t>
  </si>
  <si>
    <t>https://detail.1688.com/offer/1003429092507.html</t>
  </si>
  <si>
    <t>evidence/2026-09-10-raw-observations.json#/suppliers/2/result/content/0/text→JSON/data/28</t>
  </si>
  <si>
    <t>986488261658</t>
  </si>
  <si>
    <t>外贸跨境数据线收纳包多功能大容量多层耳机充电宝数码包便携</t>
  </si>
  <si>
    <t>https://detail.1688.com/offer/986488261658.html</t>
  </si>
  <si>
    <t>evidence/2026-09-10-raw-observations.json#/suppliers/2/result/content/0/text→JSON/data/29</t>
  </si>
  <si>
    <t>913630288225</t>
  </si>
  <si>
    <t>猫咪数据线收纳绑带整理数据线固定魔术贴扎带自粘理线捆绑束线带</t>
  </si>
  <si>
    <t>https://detail.1688.com/offer/913630288225.html</t>
  </si>
  <si>
    <t>evidence/2026-09-10-raw-observations.json#/suppliers/2/result/content/0/text→JSON/data/30</t>
  </si>
  <si>
    <t>719482715840</t>
  </si>
  <si>
    <t>数据线收纳神器 可调节扎带锯齿绕线器 绑线器卡通硅胶绕线器定制</t>
  </si>
  <si>
    <t>https://detail.1688.com/offer/719482715840.html</t>
  </si>
  <si>
    <t>evidence/2026-09-10-raw-observations.json#/suppliers/2/result/content/0/text→JSON/data/31</t>
  </si>
  <si>
    <t>818341303720</t>
  </si>
  <si>
    <t>磁吸数据线收纳办公桌面鼠标线绕线器固线无痕自磁吸粘彩色理线器</t>
  </si>
  <si>
    <t>https://detail.1688.com/offer/818341303720.html</t>
  </si>
  <si>
    <t>evidence/2026-09-10-raw-observations.json#/suppliers/2/result/content/0/text→JSON/data/32</t>
  </si>
  <si>
    <t>758177037002</t>
  </si>
  <si>
    <t>现货木制集线盒插板收纳盒办公家庭电源数据线插排插座收纳盒厂家</t>
  </si>
  <si>
    <t>https://detail.1688.com/offer/758177037002.html</t>
  </si>
  <si>
    <t>evidence/2026-09-10-raw-observations.json#/suppliers/2/result/content/0/text→JSON/data/33</t>
  </si>
  <si>
    <t>959826944470</t>
  </si>
  <si>
    <t>厂家批发桌下理线器插板盒理线架 束线电脑桌整理收纳槽置物架子</t>
  </si>
  <si>
    <t>https://detail.1688.com/offer/959826944470.html</t>
  </si>
  <si>
    <t>evidence/2026-09-10-raw-observations.json#/suppliers/2/result/content/0/text→JSON/data/34</t>
  </si>
  <si>
    <t>736573789934</t>
  </si>
  <si>
    <t>数据线收纳盒 充电线充电器收纳盒子带盖手机电源线分格理线集线</t>
  </si>
  <si>
    <t>https://detail.1688.com/offer/736573789934.html</t>
  </si>
  <si>
    <t>evidence/2026-09-10-raw-observations.json#/suppliers/2/result/content/0/text→JSON/data/35</t>
  </si>
  <si>
    <t>732574632413</t>
  </si>
  <si>
    <t>黑8造型理线器数据线收纳桌面磁吸理线器电线固定器走绕线集线器</t>
  </si>
  <si>
    <t>https://detail.1688.com/offer/732574632413.html</t>
  </si>
  <si>
    <t>evidence/2026-09-10-raw-observations.json#/suppliers/2/result/content/0/text→JSON/data/36</t>
  </si>
  <si>
    <t>614449230405</t>
  </si>
  <si>
    <t>大号电源插座收纳盒电线整理盒桌面电脑理线盒排插电线收纳盒批发</t>
  </si>
  <si>
    <t>https://detail.1688.com/offer/614449230405.html</t>
  </si>
  <si>
    <t>evidence/2026-09-10-raw-observations.json#/suppliers/2/result/content/0/text→JSON/data/37</t>
  </si>
  <si>
    <t>996286623922</t>
  </si>
  <si>
    <t>跨境多功能插排电线收纳盒电源插座整理线盒桌面木质集线器收纳盒</t>
  </si>
  <si>
    <t>https://detail.1688.com/offer/996286623922.html</t>
  </si>
  <si>
    <t>evidence/2026-09-10-raw-observations.json#/suppliers/2/result/content/0/text→JSON/data/38</t>
  </si>
  <si>
    <t>962159776565</t>
  </si>
  <si>
    <t>【包邮】集线器防猫咬卷式包线管集线器电线束线收纳缠绕整理好物</t>
  </si>
  <si>
    <t>https://detail.1688.com/offer/962159776565.html</t>
  </si>
  <si>
    <t>evidence/2026-09-10-raw-observations.json#/suppliers/2/result/content/0/text→JSON/data/39</t>
  </si>
  <si>
    <t>948942200394</t>
  </si>
  <si>
    <t>桌面数据线收纳扣整理架充电线归纳钩防缠绕带分隔办公室理线器</t>
  </si>
  <si>
    <t>https://detail.1688.com/offer/948942200394.html</t>
  </si>
  <si>
    <t>evidence/2026-09-10-raw-observations.json#/suppliers/2/result/content/0/text→JSON/data/40</t>
  </si>
  <si>
    <t>1000888760608</t>
  </si>
  <si>
    <t>数据线收纳包便携多功能充电线保护数码包旅行外出随身配件理线包</t>
  </si>
  <si>
    <t>https://detail.1688.com/offer/1000888760608.html</t>
  </si>
  <si>
    <t>evidence/2026-09-10-raw-observations.json#/suppliers/2/result/content/0/text→JSON/data/41</t>
  </si>
  <si>
    <t>973497476750</t>
  </si>
  <si>
    <t>加工定制插线排收纳盒插线板桌面电线路整理盒归整带开口生产厂家</t>
  </si>
  <si>
    <t>https://detail.1688.com/offer/973497476750.html</t>
  </si>
  <si>
    <t>evidence/2026-09-10-raw-observations.json#/suppliers/2/result/content/0/text→JSON/data/42</t>
  </si>
  <si>
    <t>695677349254</t>
  </si>
  <si>
    <t>跨境单孔理线器数据线收纳整理办公桌面整理电线卡扣线扣厂家直销</t>
  </si>
  <si>
    <t>https://detail.1688.com/offer/695677349254.html</t>
  </si>
  <si>
    <t>evidence/2026-09-10-raw-observations.json#/suppliers/2/result/content/0/text→JSON/data/43</t>
  </si>
  <si>
    <t>832026732802</t>
  </si>
  <si>
    <t>网线收纳数据线理线器带背粘灯带固定固线器电线固定夹粘式卡扣</t>
  </si>
  <si>
    <t>中山市赛恩五金制品有限公司</t>
  </si>
  <si>
    <t>https://detail.1688.com/offer/832026732802.html</t>
  </si>
  <si>
    <t>evidence/2026-09-10-raw-observations.json#/suppliers/2/result/content/0/text→JSON/data/44</t>
  </si>
  <si>
    <t>672845979151</t>
  </si>
  <si>
    <t>自粘背胶魔术贴理线器数据线收纳神器电源线整理固定贴束线扎带</t>
  </si>
  <si>
    <t>https://detail.1688.com/offer/672845979151.html</t>
  </si>
  <si>
    <t>evidence/2026-09-10-raw-observations.json#/suppliers/2/result/content/0/text→JSON/data/45</t>
  </si>
  <si>
    <t>536688086892</t>
  </si>
  <si>
    <t>尼龙背靠背魔术贴扎带勾毛一体数据线收纳绑带电线整理自粘理线器</t>
  </si>
  <si>
    <t>https://detail.1688.com/offer/536688086892.html</t>
  </si>
  <si>
    <t>evidence/2026-09-10-raw-observations.json#/suppliers/2/result/content/0/text→JSON/data/46</t>
  </si>
  <si>
    <t>930549917835</t>
  </si>
  <si>
    <t>数据线收纳盒电源充电线手机充电器插头整理桌面集绕线理线器</t>
  </si>
  <si>
    <t>https://detail.1688.com/offer/930549917835.html</t>
  </si>
  <si>
    <t>evidence/2026-09-10-raw-observations.json#/suppliers/2/result/content/0/text→JSON/data/47</t>
  </si>
  <si>
    <t>1007122472695</t>
  </si>
  <si>
    <t>背靠背魔术贴数据线收纳捆绑带固定整理线扎带尼龙自粘捆绑带批发</t>
  </si>
  <si>
    <t>https://detail.1688.com/offer/1007122472695.html</t>
  </si>
  <si>
    <t>evidence/2026-09-10-raw-observations.json#/suppliers/2/result/content/0/text→JSON/data/48</t>
  </si>
  <si>
    <t>797038050421</t>
  </si>
  <si>
    <t>厨房理线器自黏免打孔绕线器插头集线器数码电脑电源线数据线卡扣</t>
  </si>
  <si>
    <t>https://detail.1688.com/offer/797038050421.html</t>
  </si>
  <si>
    <t>evidence/2026-09-10-raw-observations.json#/suppliers/2/result/content/0/text→JSON/data/49</t>
  </si>
  <si>
    <t>983670956906</t>
  </si>
  <si>
    <t>自粘理线器桌面收纳神器 轻松固定数据线电线 告别绕线杂乱</t>
  </si>
  <si>
    <t>义乌市久制塑料制品有限公司</t>
  </si>
  <si>
    <t>https://detail.1688.com/offer/983670956906.html</t>
  </si>
  <si>
    <t>evidence/2026-09-10-raw-observations.json#/suppliers/2/result/content/0/text→JSON/data/50</t>
  </si>
  <si>
    <t>776639349608</t>
  </si>
  <si>
    <t>数据线充电器收纳包旅行充电宝收纳盒便携式防水手机数码多功能包</t>
  </si>
  <si>
    <t>https://detail.1688.com/offer/776639349608.html</t>
  </si>
  <si>
    <t>evidence/2026-09-10-raw-observations.json#/suppliers/2/result/content/0/text→JSON/data/51</t>
  </si>
  <si>
    <t>847853738456</t>
  </si>
  <si>
    <t>现货电源排插线板收纳盒电线理线盒插座集线盒装饰遮挡收纳箱</t>
  </si>
  <si>
    <t>https://detail.1688.com/offer/847853738456.html</t>
  </si>
  <si>
    <t>evidence/2026-09-10-raw-observations.json#/suppliers/2/result/content/0/text→JSON/data/52</t>
  </si>
  <si>
    <t>989472558940</t>
  </si>
  <si>
    <t>桌面理线器手机耳机充电线数据线整理神器免打孔固定器集线器收纳</t>
  </si>
  <si>
    <t>https://detail.1688.com/offer/989472558940.html</t>
  </si>
  <si>
    <t>evidence/2026-09-10-raw-observations.json#/suppliers/2/result/content/0/text→JSON/data/53</t>
  </si>
  <si>
    <t>672677710338</t>
  </si>
  <si>
    <t>安卓数据线保护套充电线防折断防破裂固线器保护头风格手机线卡通</t>
  </si>
  <si>
    <t>https://detail.1688.com/offer/672677710338.html</t>
  </si>
  <si>
    <t>evidence/2026-09-10-raw-observations.json#/suppliers/2/result/content/0/text→JSON/data/54</t>
  </si>
  <si>
    <t>835832286449</t>
  </si>
  <si>
    <t>桌下理线架电脑线整理神器电线收纳线路固定走线槽桌面集盒管线槽</t>
  </si>
  <si>
    <t>清河县兆安橡胶制品有限公司</t>
  </si>
  <si>
    <t>https://detail.1688.com/offer/835832286449.html</t>
  </si>
  <si>
    <t>evidence/2026-09-10-raw-observations.json#/suppliers/2/result/content/0/text→JSON/data/55</t>
  </si>
  <si>
    <t>917847256894</t>
  </si>
  <si>
    <t>4个装【新人立减5元】数据线收纳包自动闭合便携弹片包口大容量</t>
  </si>
  <si>
    <t>https://detail.1688.com/offer/917847256894.html</t>
  </si>
  <si>
    <t>evidence/2026-09-10-raw-observations.json#/suppliers/2/result/content/0/text→JSON/data/56</t>
  </si>
  <si>
    <t>619274901147</t>
  </si>
  <si>
    <t>数据线收纳理线器桌面小礼品理线耳机固线器硅胶路由器充电线束线</t>
  </si>
  <si>
    <t>https://detail.1688.com/offer/619274901147.html</t>
  </si>
  <si>
    <t>evidence/2026-09-10-raw-observations.json#/suppliers/2/result/content/0/text→JSON/data/57</t>
  </si>
  <si>
    <t>961196956755</t>
  </si>
  <si>
    <t>跨境理线器磁吸固线器桌面数据线收纳整理夹手机充电线集线固定器</t>
  </si>
  <si>
    <t>https://detail.1688.com/offer/961196956755.html</t>
  </si>
  <si>
    <t>evidence/2026-09-10-raw-observations.json#/suppliers/2/result/content/0/text→JSON/data/58</t>
  </si>
  <si>
    <t>773585066917</t>
  </si>
  <si>
    <t>木质集线盒电线理线数据线遮挡桌面收纳整理电源线插座插排储物</t>
  </si>
  <si>
    <t>https://detail.1688.com/offer/773585066917.html</t>
  </si>
  <si>
    <t>evidence/2026-09-10-raw-observations.json#/suppliers/2/result/content/0/text→JSON/data/59</t>
  </si>
  <si>
    <t>926919650082</t>
  </si>
  <si>
    <t>pvc软胶USB数据线绕线器数据线保护套卡通硅胶咬线器防缠绕</t>
  </si>
  <si>
    <t>https://detail.1688.com/offer/926919650082.html</t>
  </si>
  <si>
    <t>evidence/2026-09-10-raw-observations.json#/suppliers/2/result/content/0/text→JSON/data/60</t>
  </si>
  <si>
    <t>976006239158</t>
  </si>
  <si>
    <t>办公桌底集线整理包 线缆管理器 桌下网兜电线收纳整理绕线器</t>
  </si>
  <si>
    <t>https://detail.1688.com/offer/976006239158.html</t>
  </si>
  <si>
    <t>evidence/2026-09-10-raw-observations.json#/suppliers/2/result/content/0/text→JSON/data/61</t>
  </si>
  <si>
    <t>920488342734</t>
  </si>
  <si>
    <t>数据线充电器充电收纳透明绕线便携随身外出耳机收纳盒手机整理袋</t>
  </si>
  <si>
    <t>https://detail.1688.com/offer/920488342734.html</t>
  </si>
  <si>
    <t>evidence/2026-09-10-raw-observations.json#/suppliers/2/result/content/0/text→JSON/data/62</t>
  </si>
  <si>
    <t>947709702279</t>
  </si>
  <si>
    <t>插线板收纳盒充电器电线收纳神器电源线遮丑理线器多孔简约整理架</t>
  </si>
  <si>
    <t>https://detail.1688.com/offer/947709702279.html</t>
  </si>
  <si>
    <t>evidence/2026-09-10-raw-observations.json#/suppliers/2/result/content/0/text→JSON/data/63</t>
  </si>
  <si>
    <t>594240959388</t>
  </si>
  <si>
    <t>插线板收纳盒插排接线拖线板理线盒家用多功能电源线收纳盒</t>
  </si>
  <si>
    <t>https://detail.1688.com/offer/594240959388.html</t>
  </si>
  <si>
    <t>evidence/2026-09-10-raw-observations.json#/suppliers/2/result/content/0/text→JSON/data/64</t>
  </si>
  <si>
    <t>658250022784</t>
  </si>
  <si>
    <t>办公理线收纳编织网管蛇皮网管包线管拉链式编织套管线束</t>
  </si>
  <si>
    <t>https://detail.1688.com/offer/658250022784.html</t>
  </si>
  <si>
    <t>evidence/2026-09-10-raw-observations.json#/suppliers/2/result/content/0/text→JSON/data/65</t>
  </si>
  <si>
    <t>829850568077</t>
  </si>
  <si>
    <t>理线器魔术贴数据线收纳充电线扎带束绑带绕线集电脑固定整理神器</t>
  </si>
  <si>
    <t>https://detail.1688.com/offer/829850568077.html</t>
  </si>
  <si>
    <t>evidence/2026-09-10-raw-observations.json#/suppliers/2/result/content/0/text→JSON/data/66</t>
  </si>
  <si>
    <t>1009852223519</t>
  </si>
  <si>
    <t>TikTok电线插头固定器绕线器免打孔桌面理线器收纳专用神器批发</t>
  </si>
  <si>
    <t>https://detail.1688.com/offer/1009852223519.html</t>
  </si>
  <si>
    <t>evidence/2026-09-10-raw-observations.json#/suppliers/2/result/content/0/text→JSON/data/67</t>
  </si>
  <si>
    <t>858928826553</t>
  </si>
  <si>
    <t>https://detail.1688.com/offer/858928826553.html</t>
  </si>
  <si>
    <t>evidence/2026-09-10-raw-observations.json#/suppliers/2/result/content/0/text→JSON/data/68</t>
  </si>
  <si>
    <t>840768412426</t>
  </si>
  <si>
    <t>厂家批发数据线收纳整理器耳机线缠绕器皮扣扎带便携电线束线带</t>
  </si>
  <si>
    <t>https://detail.1688.com/offer/840768412426.html</t>
  </si>
  <si>
    <t>evidence/2026-09-10-raw-observations.json#/suppliers/2/result/content/0/text→JSON/data/69</t>
  </si>
  <si>
    <t>796775184628</t>
  </si>
  <si>
    <t>插线板收纳盒充电宝遥控器电源线插座整理盒数据线电子设备保护盒</t>
  </si>
  <si>
    <t>https://detail.1688.com/offer/796775184628.html</t>
  </si>
  <si>
    <t>evidence/2026-09-10-raw-observations.json#/suppliers/2/result/content/0/text→JSON/data/70</t>
  </si>
  <si>
    <t>744003693952</t>
  </si>
  <si>
    <t>数据线收纳盒收纳理线盒桌面手机充电线集线盒分格整理盒桌面整理</t>
  </si>
  <si>
    <t>https://detail.1688.com/offer/744003693952.html</t>
  </si>
  <si>
    <t>evidence/2026-09-10-raw-observations.json#/suppliers/2/result/content/0/text→JSON/data/71</t>
  </si>
  <si>
    <t>919804969676</t>
  </si>
  <si>
    <t>桌面数据线收纳盒手机充电器充电线收纳盒子电源线整理集线理线器</t>
  </si>
  <si>
    <t>https://detail.1688.com/offer/919804969676.html</t>
  </si>
  <si>
    <t>evidence/2026-09-10-raw-observations.json#/suppliers/2/result/content/0/text→JSON/data/72</t>
  </si>
  <si>
    <t>984524737633</t>
  </si>
  <si>
    <t>桌面理线器带背粘免打孔网线电源线电线固定器墙面收纳收纳固线器</t>
  </si>
  <si>
    <t>https://detail.1688.com/offer/984524737633.html</t>
  </si>
  <si>
    <t>evidence/2026-09-10-raw-observations.json#/suppliers/2/result/content/0/text→JSON/data/73</t>
  </si>
  <si>
    <t>1006032428939</t>
  </si>
  <si>
    <t>车载自动收线集线器 防缠绕一键收纳携耐用节省空间数码配件收纳</t>
  </si>
  <si>
    <t>https://detail.1688.com/offer/1006032428939.html</t>
  </si>
  <si>
    <t>evidence/2026-09-10-raw-observations.json#/suppliers/2/result/content/0/text→JSON/data/74</t>
  </si>
  <si>
    <t>782354582650</t>
  </si>
  <si>
    <t>插排插座收纳盒插线板电源线数据线充电器电线收纳神器桌面集线器</t>
  </si>
  <si>
    <t>https://detail.1688.com/offer/782354582650.html</t>
  </si>
  <si>
    <t>evidence/2026-09-10-raw-observations.json#/suppliers/2/result/content/0/text→JSON/data/75</t>
  </si>
  <si>
    <t>848003957203</t>
  </si>
  <si>
    <t>插排收纳盒电线收纳神器插座插线板理线器电源线充电数据线集线盒</t>
  </si>
  <si>
    <t>https://detail.1688.com/offer/848003957203.html</t>
  </si>
  <si>
    <t>evidence/2026-09-10-raw-observations.json#/suppliers/2/result/content/0/text→JSON/data/76</t>
  </si>
  <si>
    <t>654613610852</t>
  </si>
  <si>
    <t>电线盒插排收纳电源线插座理线盒 数据线整理盒 桌面插线板收纳盒</t>
  </si>
  <si>
    <t>https://detail.1688.com/offer/654613610852.html</t>
  </si>
  <si>
    <t>evidence/2026-09-10-raw-observations.json#/suppliers/2/result/content/0/text→JSON/data/77</t>
  </si>
  <si>
    <t>1011491398921</t>
  </si>
  <si>
    <t>桌面数据线收纳神器手机充电器充电线整理分格绕线器电源线收纳盒</t>
  </si>
  <si>
    <t>https://detail.1688.com/offer/1011491398921.html</t>
  </si>
  <si>
    <t>evidence/2026-09-10-raw-observations.json#/suppliers/2/result/content/0/text→JSON/data/78</t>
  </si>
  <si>
    <t>846879704531</t>
  </si>
  <si>
    <t>工业风插线板收纳盒电线理线盒插座插排电源接线装饰遮挡整理盒</t>
  </si>
  <si>
    <t>https://detail.1688.com/offer/846879704531.html</t>
  </si>
  <si>
    <t>evidence/2026-09-10-raw-observations.json#/suppliers/2/result/content/0/text→JSON/data/79</t>
  </si>
  <si>
    <t>994386198404</t>
  </si>
  <si>
    <t>厂家直供数据线收纳包 便携数码配件袋 充电线硬盘耳机电源收纳盒</t>
  </si>
  <si>
    <t>https://detail.1688.com/offer/994386198404.html</t>
  </si>
  <si>
    <t>evidence/2026-09-10-raw-observations.json#/suppliers/2/result/content/0/text→JSON/data/80</t>
  </si>
  <si>
    <t>674079016256</t>
  </si>
  <si>
    <t>Cord Organizer厨房绕线器软电线收纳固定隐藏器The cord wrapper</t>
  </si>
  <si>
    <t>https://detail.1688.com/offer/674079016256.html</t>
  </si>
  <si>
    <t>evidence/2026-09-10-raw-observations.json#/suppliers/2/result/content/0/text→JSON/data/81</t>
  </si>
  <si>
    <t>861299340210</t>
  </si>
  <si>
    <t>桌面家用数据线理线盒厨房分格调料盒袜子整理盒集线器杂物收纳器</t>
  </si>
  <si>
    <t>https://detail.1688.com/offer/861299340210.html</t>
  </si>
  <si>
    <t>evidence/2026-09-10-raw-observations.json#/suppliers/2/result/content/0/text→JSON/data/82</t>
  </si>
  <si>
    <t>1013384584090</t>
  </si>
  <si>
    <t>严选数据线收纳盒电源充电线手机充电整理绕线器桌面理线集线盒</t>
  </si>
  <si>
    <t>https://detail.1688.com/offer/1013384584090.html</t>
  </si>
  <si>
    <t>evidence/2026-09-10-raw-observations.json#/suppliers/2/result/content/0/text→JSON/data/83</t>
  </si>
  <si>
    <t>867594974601</t>
  </si>
  <si>
    <t>清仓插排插座收纳盒插线板电源线数据线充电器电线收纳桌面集线器</t>
  </si>
  <si>
    <t>https://detail.1688.com/offer/867594974601.html</t>
  </si>
  <si>
    <t>evidence/2026-09-10-raw-observations.json#/suppliers/2/result/content/0/text→JSON/data/84</t>
  </si>
  <si>
    <t>1027622326600</t>
  </si>
  <si>
    <t>数据线收纳包移动电源盒子充电线旅行便携数码配件整理袋双层</t>
  </si>
  <si>
    <t>https://detail.1688.com/offer/1027622326600.html</t>
  </si>
  <si>
    <t>evidence/2026-09-10-raw-observations.json#/suppliers/2/result/content/0/text→JSON/data/85</t>
  </si>
  <si>
    <t>810944518502</t>
  </si>
  <si>
    <t>现货数据线充电器收纳透明便携迷你随身外出耳机收纳盒充电整理包</t>
  </si>
  <si>
    <t>https://detail.1688.com/offer/810944518502.html</t>
  </si>
  <si>
    <t>evidence/2026-09-10-raw-observations.json#/suppliers/2/result/content/0/text→JSON/data/86</t>
  </si>
  <si>
    <t>994072731690</t>
  </si>
  <si>
    <t>理线器数据线收纳神器桌面电脑束线魔术贴扎带电线走线固定器整理</t>
  </si>
  <si>
    <t>https://detail.1688.com/offer/994072731690.html</t>
  </si>
  <si>
    <t>evidence/2026-09-10-raw-observations.json#/suppliers/2/result/content/0/text→JSON/data/87</t>
  </si>
  <si>
    <t>1033239576749</t>
  </si>
  <si>
    <t>新款收纳整理固线器数据线电源线多孔固线组合自粘背胶理线器</t>
  </si>
  <si>
    <t>https://detail.1688.com/offer/1033239576749.html</t>
  </si>
  <si>
    <t>evidence/2026-09-10-raw-observations.json#/suppliers/2/result/content/0/text→JSON/data/88</t>
  </si>
  <si>
    <t>944656634326</t>
  </si>
  <si>
    <t>数据线收纳盒充电线收纳包旅行便携充电器收纳整理神器大容量家用</t>
  </si>
  <si>
    <t>https://detail.1688.com/offer/944656634326.html</t>
  </si>
  <si>
    <t>evidence/2026-09-10-raw-observations.json#/suppliers/2/result/content/0/text→JSON/data/89</t>
  </si>
  <si>
    <t>892813354031</t>
  </si>
  <si>
    <t>磁吸挂钩桌面理线器多功能电线数据线收纳夹办公桌绕线器固定器</t>
  </si>
  <si>
    <t>https://detail.1688.com/offer/892813354031.html</t>
  </si>
  <si>
    <t>evidence/2026-09-10-raw-observations.json#/suppliers/2/result/content/0/text→JSON/data/90</t>
  </si>
  <si>
    <t>1005650944821</t>
  </si>
  <si>
    <t>数据线数码收纳包充电器充电宝移动电源旅行包电子产品配件整理袋</t>
  </si>
  <si>
    <t>https://detail.1688.com/offer/1005650944821.html</t>
  </si>
  <si>
    <t>evidence/2026-09-10-raw-observations.json#/suppliers/2/result/content/0/text→JSON/data/91</t>
  </si>
  <si>
    <t>922281597784</t>
  </si>
  <si>
    <t>【新人享立减5元】2个数据线收纳包便携包旅行保护手机充电器随身</t>
  </si>
  <si>
    <t>https://detail.1688.com/offer/922281597784.html</t>
  </si>
  <si>
    <t>evidence/2026-09-10-raw-observations.json#/suppliers/2/result/content/0/text→JSON/data/92</t>
  </si>
  <si>
    <t>668727971669</t>
  </si>
  <si>
    <t>卷线盘电线收纳器卷线器绕线盘空盘收线盘收线器移动电缆盘收线器</t>
  </si>
  <si>
    <t>https://detail.1688.com/offer/668727971669.html</t>
  </si>
  <si>
    <t>evidence/2026-09-10-raw-observations.json#/suppliers/2/result/content/0/text→JSON/data/93</t>
  </si>
  <si>
    <t>1028260251591</t>
  </si>
  <si>
    <t>透明绕线数据线充电器充电收纳便携随身外出耳机收纳盒手机整理袋</t>
  </si>
  <si>
    <t>https://detail.1688.com/offer/1028260251591.html</t>
  </si>
  <si>
    <t>evidence/2026-09-10-raw-observations.json#/suppliers/2/result/content/0/text→JSON/data/94</t>
  </si>
  <si>
    <t>1027841254469</t>
  </si>
  <si>
    <t>数据线收纳袋透明小巧耳机充电宝充电器收纳包随身外出旅行便携包</t>
  </si>
  <si>
    <t>https://detail.1688.com/offer/1027841254469.html</t>
  </si>
  <si>
    <t>evidence/2026-09-10-raw-observations.json#/suppliers/2/result/content/0/text→JSON/data/95</t>
  </si>
  <si>
    <t>626899493893</t>
  </si>
  <si>
    <t>电线收纳盒大号插线板电源数据线整理盒桌面遮挡神器充电器集线盒</t>
  </si>
  <si>
    <t>https://detail.1688.com/offer/626899493893.html</t>
  </si>
  <si>
    <t>evidence/2026-09-10-raw-observations.json#/suppliers/2/result/content/0/text→JSON/data/96</t>
  </si>
  <si>
    <t>1034285454565</t>
  </si>
  <si>
    <t>家用厨房理线器电源数据线缠绕自粘卷线固定卡扣收纳插头神器</t>
  </si>
  <si>
    <t>https://detail.1688.com/offer/1034285454565.html</t>
  </si>
  <si>
    <t>evidence/2026-09-10-raw-observations.json#/suppliers/2/result/content/0/text→JSON/data/97</t>
  </si>
  <si>
    <t>827487408210</t>
  </si>
  <si>
    <t>厨房电线插头固定夹粘式电线理线器电源线绕线器免打孔数据线整理</t>
  </si>
  <si>
    <t>https://detail.1688.com/offer/827487408210.html</t>
  </si>
  <si>
    <t>evidence/2026-09-10-raw-observations.json#/suppliers/2/result/content/0/text→JSON/data/98</t>
  </si>
  <si>
    <t>641510628528</t>
  </si>
  <si>
    <t>厂家直销电线理线器收纳固定器网线线路线夹子免钉自粘理线卡扣</t>
  </si>
  <si>
    <t>https://detail.1688.com/offer/641510628528.html</t>
  </si>
  <si>
    <t>evidence/2026-09-10-raw-observations.json#/suppliers/2/result/content/0/text→JSON/data/99</t>
  </si>
  <si>
    <t>2026-09-11T13:49:55.019Z</t>
  </si>
  <si>
    <t>多层裤架 衣架</t>
  </si>
  <si>
    <t>806399137589</t>
  </si>
  <si>
    <t>加宽防滑裤夹带钩夹子家用无痕衣架不锈钢裤架多功能收纳夹袜夹</t>
  </si>
  <si>
    <t>https://detail.1688.com/offer/806399137589.html</t>
  </si>
  <si>
    <t>evidence/2026-09-11-raw-observations.json#/queries/4/result/content/0/text→JSON/data/0</t>
  </si>
  <si>
    <t>759901009597</t>
  </si>
  <si>
    <t>S型裤架多层多功能裤夹衣架衣柜用裤子毛巾防滑收纳整理晾晒神器</t>
  </si>
  <si>
    <t>义乌市萌湃文具厂</t>
  </si>
  <si>
    <t>https://detail.1688.com/offer/759901009597.html</t>
  </si>
  <si>
    <t>evidence/2026-09-11-raw-observations.json#/queries/4/result/content/0/text→JSON/data/1</t>
  </si>
  <si>
    <t>775339274692</t>
  </si>
  <si>
    <t>厂家直销裤架夹子多功能家用无痕jk衣架挂衣收纳不锈钢裙夹批发</t>
  </si>
  <si>
    <t>义乌市悦晗日用百货有限公司</t>
  </si>
  <si>
    <t>https://detail.1688.com/offer/775339274692.html</t>
  </si>
  <si>
    <t>evidence/2026-09-11-raw-observations.json#/queries/4/result/content/0/text→JSON/data/2</t>
  </si>
  <si>
    <t>905242293861</t>
  </si>
  <si>
    <t>实木裤架防滑无痕家用多功能厚裤夹木质成人儿童裤夹木质裤子衣架</t>
  </si>
  <si>
    <t>桂林市临桂区月牙湾木制品厂</t>
  </si>
  <si>
    <t>https://detail.1688.com/offer/905242293861.html</t>
  </si>
  <si>
    <t>evidence/2026-09-11-raw-observations.json#/queries/4/result/content/0/text→JSON/data/3</t>
  </si>
  <si>
    <t>860026582454</t>
  </si>
  <si>
    <t>旅行折叠裤架多少功能旅行折叠衣架宿舍衣柜防滑裤架收纳晾晒神器</t>
  </si>
  <si>
    <t>台州市辉翔塑业有限公司</t>
  </si>
  <si>
    <t>https://detail.1688.com/offer/860026582454.html</t>
  </si>
  <si>
    <t>evidence/2026-09-11-raw-observations.json#/queries/4/result/content/0/text→JSON/data/4</t>
  </si>
  <si>
    <t>593547760769</t>
  </si>
  <si>
    <t>实木多层裤架木衣挂家用丝巾挂围巾挂省空间收纳衣柜多功能衣服挂</t>
  </si>
  <si>
    <t>桂林悦阁家居用品有限公司</t>
  </si>
  <si>
    <t>https://detail.1688.com/offer/593547760769.html</t>
  </si>
  <si>
    <t>evidence/2026-09-11-raw-observations.json#/queries/4/result/content/0/text→JSON/data/5</t>
  </si>
  <si>
    <t>779903591280</t>
  </si>
  <si>
    <t>裤架裤夹子家用无痕强力挂裤子专用衣架多功能收纳不锈钢挂钩夹子</t>
  </si>
  <si>
    <t>义乌市澜芝黛日用品有限公司</t>
  </si>
  <si>
    <t>https://detail.1688.com/offer/779903591280.html</t>
  </si>
  <si>
    <t>evidence/2026-09-11-raw-observations.json#/queries/4/result/content/0/text→JSON/data/6</t>
  </si>
  <si>
    <t>732898036456</t>
  </si>
  <si>
    <t>折叠裤架多层多功能裤子衣架家用魔术无痕裤夹衣柜收纳神器裤挂架</t>
  </si>
  <si>
    <t>潮州市潮安区皖创五金厂</t>
  </si>
  <si>
    <t>923620621279</t>
  </si>
  <si>
    <t>无痕防滑带夹子金属衣架多层可折叠金属裤架纳不锈钢裙架神器裤夹</t>
  </si>
  <si>
    <t>广西荔浦市毅佳家居用品有限公司</t>
  </si>
  <si>
    <t>https://detail.1688.com/offer/923620621279.html</t>
  </si>
  <si>
    <t>evidence/2026-09-11-raw-observations.json#/queries/4/result/content/0/text→JSON/data/8</t>
  </si>
  <si>
    <t>598938010263</t>
  </si>
  <si>
    <t>不锈钢魔术S型多层裤架 挂裤子衣架衣柜收纳架子裤挂架裤夹衣橱</t>
  </si>
  <si>
    <t>义乌市聚点文化用品厂</t>
  </si>
  <si>
    <t>https://detail.1688.com/offer/598938010263.html</t>
  </si>
  <si>
    <t>evidence/2026-09-11-raw-observations.json#/queries/4/result/content/0/text→JSON/data/9</t>
  </si>
  <si>
    <t>731328062492</t>
  </si>
  <si>
    <t>基础款裤架多家用宿舍多功能衣柜裤架无痕裤挂架收纳神器日用品</t>
  </si>
  <si>
    <t>永康市龙山镇福盛体育用品厂</t>
  </si>
  <si>
    <t>https://detail.1688.com/offer/731328062492.html</t>
  </si>
  <si>
    <t>evidence/2026-09-11-raw-observations.json#/queries/4/result/content/0/text→JSON/data/10</t>
  </si>
  <si>
    <t>848595456072</t>
  </si>
  <si>
    <t>不锈钢裤架批发挂裤子专用衣架子家用多层多功能衣柜内置收纳神器</t>
  </si>
  <si>
    <t>温州市云轩家居科技有限公司</t>
  </si>
  <si>
    <t>https://detail.1688.com/offer/848595456072.html</t>
  </si>
  <si>
    <t>evidence/2026-09-11-raw-observations.json#/queries/4/result/content/0/text→JSON/data/11</t>
  </si>
  <si>
    <t>677824165795</t>
  </si>
  <si>
    <t>折叠裤架伸缩多功能多层裤架衣架钩裤架批发不锈钢收纳神器裤挂架</t>
  </si>
  <si>
    <t>https://detail.1688.com/offer/677824165795.html</t>
  </si>
  <si>
    <t>evidence/2026-09-11-raw-observations.json#/queries/4/result/content/0/text→JSON/data/12</t>
  </si>
  <si>
    <t>941799872587</t>
  </si>
  <si>
    <t>不锈钢多层云梯裤架 五层折叠裤架家用多功能不锈钢收纳裤架衣架</t>
  </si>
  <si>
    <t>义乌市博权日用品有限公司</t>
  </si>
  <si>
    <t>https://detail.1688.com/offer/941799872587.html</t>
  </si>
  <si>
    <t>evidence/2026-09-11-raw-observations.json#/queries/4/result/content/0/text→JSON/data/13</t>
  </si>
  <si>
    <t>805730742317</t>
  </si>
  <si>
    <t>裤架衣架折叠不锈钢柜内裤挂多层无痕裤夹伸缩晾衣架收纳裤挂子架</t>
  </si>
  <si>
    <t>揭阳市揭东区磐东锦扬日用百货店</t>
  </si>
  <si>
    <t>https://detail.1688.com/offer/805730742317.html</t>
  </si>
  <si>
    <t>evidence/2026-09-11-raw-observations.json#/queries/4/result/content/0/text→JSON/data/14</t>
  </si>
  <si>
    <t>841829291058</t>
  </si>
  <si>
    <t>多功能裤架衣架加粗不锈钢多层衣柜收纳柜内裤夹折叠伸缩挂架</t>
  </si>
  <si>
    <t>天津市武清区启明自行车配件加工厂</t>
  </si>
  <si>
    <t>https://detail.1688.com/offer/841829291058.html</t>
  </si>
  <si>
    <t>evidence/2026-09-11-raw-observations.json#/queries/4/result/content/0/text→JSON/data/15</t>
  </si>
  <si>
    <t>686322387193</t>
  </si>
  <si>
    <t>跨境伸缩折叠多功能多层裤架裤子衣架家用魔术裤夹衣柜收纳神器</t>
  </si>
  <si>
    <t>潮州市潮安区聚信达五金厂</t>
  </si>
  <si>
    <t>https://detail.1688.com/offer/686322387193.html</t>
  </si>
  <si>
    <t>evidence/2026-09-11-raw-observations.json#/queries/4/result/content/0/text→JSON/data/16</t>
  </si>
  <si>
    <t>901600244208</t>
  </si>
  <si>
    <t>折叠裤架多功能多层裤子衣架家用魔术无痕裤夹衣柜收纳神器裤挂架</t>
  </si>
  <si>
    <t>义乌市裕桢家居用品有限公司</t>
  </si>
  <si>
    <t>https://detail.1688.com/offer/901600244208.html</t>
  </si>
  <si>
    <t>evidence/2026-09-11-raw-observations.json#/queries/4/result/content/0/text→JSON/data/17</t>
  </si>
  <si>
    <t>898399509011</t>
  </si>
  <si>
    <t>裤架家用裤夹无痕多功能防滑裤夹子jk夹挂裤子内衣夹子衣架不锈钢</t>
  </si>
  <si>
    <t>义乌市正岩日用品有限公司</t>
  </si>
  <si>
    <t>https://detail.1688.com/offer/898399509011.html</t>
  </si>
  <si>
    <t>evidence/2026-09-11-raw-observations.json#/queries/4/result/content/0/text→JSON/data/18</t>
  </si>
  <si>
    <t>781813196626</t>
  </si>
  <si>
    <t>折叠裤架多功能家用多层裤子衣架子魔术无痕裤架衣柜收纳神器挂架</t>
  </si>
  <si>
    <t>义乌市鲁蒂电子商务商行</t>
  </si>
  <si>
    <t>https://detail.1688.com/offer/781813196626.html</t>
  </si>
  <si>
    <t>evidence/2026-09-11-raw-observations.json#/queries/4/result/content/0/text→JSON/data/19</t>
  </si>
  <si>
    <t>558985441077</t>
  </si>
  <si>
    <t>防滑不锈钢多层裤架毛巾S型裤子衣架围巾收纳整理衣服挂钩家用</t>
  </si>
  <si>
    <t>永康市利亮五金制品有限公司</t>
  </si>
  <si>
    <t>https://detail.1688.com/offer/558985441077.html</t>
  </si>
  <si>
    <t>evidence/2026-09-11-raw-observations.json#/queries/4/result/content/0/text→JSON/data/20</t>
  </si>
  <si>
    <t>886902073911</t>
  </si>
  <si>
    <t>多功能裤架云梯挂裤折叠裤架不锈钢裤挂裤夹多层无痕收纳挂裤子架</t>
  </si>
  <si>
    <t>义乌市槿风日用品有限公司</t>
  </si>
  <si>
    <t>https://detail.1688.com/offer/886902073911.html</t>
  </si>
  <si>
    <t>evidence/2026-09-11-raw-observations.json#/queries/4/result/content/0/text→JSON/data/21</t>
  </si>
  <si>
    <t>719121414429</t>
  </si>
  <si>
    <t>折叠裤架家用裤夹衣架专用多层多功能裤挂架无痕防滑裤子收纳架</t>
  </si>
  <si>
    <t>义乌市意维家居用品有限公司</t>
  </si>
  <si>
    <t>https://detail.1688.com/offer/719121414429.html</t>
  </si>
  <si>
    <t>evidence/2026-09-11-raw-observations.json#/queries/4/result/content/0/text→JSON/data/22</t>
  </si>
  <si>
    <t>671885524976</t>
  </si>
  <si>
    <t>裤架衣架不锈钢多层衣柜收纳柜内裤夹折叠伸缩挂裤子架裤挂</t>
  </si>
  <si>
    <t>https://detail.1688.com/offer/671885524976.html</t>
  </si>
  <si>
    <t>evidence/2026-09-11-raw-observations.json#/queries/4/result/content/0/text→JSON/data/23</t>
  </si>
  <si>
    <t>908426593594</t>
  </si>
  <si>
    <t>裤夹儿童裤架多功能不锈钢裤子牛仔裤短裙家用无痕晾衣夹厂 家直</t>
  </si>
  <si>
    <t>浦江县盘龙衣架厂</t>
  </si>
  <si>
    <t>https://detail.1688.com/offer/908426593594.html</t>
  </si>
  <si>
    <t>evidence/2026-09-11-raw-observations.json#/queries/4/result/content/0/text→JSON/data/24</t>
  </si>
  <si>
    <t>957539787480</t>
  </si>
  <si>
    <t>折叠裤架多功能家用多层裤子挂架衣架子魔术无痕裤架衣柜收纳神器</t>
  </si>
  <si>
    <t>金华市亿丰达日用品有限公司</t>
  </si>
  <si>
    <t>https://detail.1688.com/offer/957539787480.html</t>
  </si>
  <si>
    <t>evidence/2026-09-11-raw-observations.json#/queries/4/result/content/0/text→JSON/data/25</t>
  </si>
  <si>
    <t>588665016886</t>
  </si>
  <si>
    <t>不锈钢S型裤架多层坚固挂裤子专用架毛巾收纳架裤架多功能</t>
  </si>
  <si>
    <t>潮州市潮安区沙溪凯旺不锈钢制品厂</t>
  </si>
  <si>
    <t>https://detail.1688.com/offer/588665016886.html</t>
  </si>
  <si>
    <t>evidence/2026-09-11-raw-observations.json#/queries/4/result/content/0/text→JSON/data/26</t>
  </si>
  <si>
    <t>931707972393</t>
  </si>
  <si>
    <t>浸塑无痕裤架防滑加粗伸缩裤夹多功能家用衣架不锈钢防滑裤子架</t>
  </si>
  <si>
    <t>义乌市卓坊家居用品有限公司</t>
  </si>
  <si>
    <t>https://detail.1688.com/offer/931707972393.html</t>
  </si>
  <si>
    <t>evidence/2026-09-11-raw-observations.json#/queries/4/result/content/0/text→JSON/data/27</t>
  </si>
  <si>
    <t>921737727446</t>
  </si>
  <si>
    <t>裤架4个夹子晾衣架 光滑多用裤架袜架碳化防霉十字毛竹裤夹棕色</t>
  </si>
  <si>
    <t>王天俊</t>
  </si>
  <si>
    <t>https://detail.1688.com/offer/921737727446.html</t>
  </si>
  <si>
    <t>evidence/2026-09-11-raw-observations.json#/queries/4/result/content/0/text→JSON/data/28</t>
  </si>
  <si>
    <t>975497689948</t>
  </si>
  <si>
    <t>亚马逊 多层浸塑裤架家用防滑裤子衣架多功能丝巾围巾领带收纳架</t>
  </si>
  <si>
    <t>桂林桢美电子商务有限公司</t>
  </si>
  <si>
    <t>https://detail.1688.com/offer/975497689948.html</t>
  </si>
  <si>
    <t>evidence/2026-09-11-raw-observations.json#/queries/4/result/content/0/text→JSON/data/29</t>
  </si>
  <si>
    <t>806217782882</t>
  </si>
  <si>
    <t>5层衣柜收纳裤挂五合一挂裤子衣架子多层多功能浸塑防滑金属裤架</t>
  </si>
  <si>
    <t>https://detail.1688.com/offer/806217782882.html</t>
  </si>
  <si>
    <t>evidence/2026-09-11-raw-observations.json#/queries/4/result/content/0/text→JSON/data/30</t>
  </si>
  <si>
    <t>891752766291</t>
  </si>
  <si>
    <t>不锈钢裤架衣架收纳衣柜宿舍多层多功能加厚防滑S型裤夹无痕批发</t>
  </si>
  <si>
    <t>潮州市旭丰家居用品有限公司</t>
  </si>
  <si>
    <t>https://detail.1688.com/offer/891752766291.html</t>
  </si>
  <si>
    <t>evidence/2026-09-11-raw-observations.json#/queries/4/result/content/0/text→JSON/data/31</t>
  </si>
  <si>
    <t>941647101128</t>
  </si>
  <si>
    <t>新款轻奢防滑裤架不锈钢裤架晾晒裤架加粗款多功能衣架裤架家用</t>
  </si>
  <si>
    <t>义乌市天闯日用百货商行</t>
  </si>
  <si>
    <t>https://detail.1688.com/offer/941647101128.html</t>
  </si>
  <si>
    <t>evidence/2026-09-11-raw-observations.json#/queries/4/result/content/0/text→JSON/data/32</t>
  </si>
  <si>
    <t>787071437252</t>
  </si>
  <si>
    <t>不锈钢折叠裤架多功能多层裤子收纳衣架家用魔术无痕裤夹衣柜挂架</t>
  </si>
  <si>
    <t>潮州市潮安区左营不锈钢制品厂</t>
  </si>
  <si>
    <t>https://detail.1688.com/offer/787071437252.html</t>
  </si>
  <si>
    <t>evidence/2026-09-11-raw-observations.json#/queries/4/result/content/0/text→JSON/data/33</t>
  </si>
  <si>
    <t>725435373850</t>
  </si>
  <si>
    <t>家用晾裤子衣架多功能收纳衣服架衣柜省空间多层裤架防滑衣架批发</t>
  </si>
  <si>
    <t>义乌市谦川日用百货有限公司</t>
  </si>
  <si>
    <t>https://detail.1688.com/offer/725435373850.html</t>
  </si>
  <si>
    <t>evidence/2026-09-11-raw-observations.json#/queries/4/result/content/0/text→JSON/data/34</t>
  </si>
  <si>
    <t>969647655384</t>
  </si>
  <si>
    <t>不锈钢裤架挂裤子专用衣架子家用多层多功能衣柜内置收纳神器</t>
  </si>
  <si>
    <t>1688选品中心官方供应链</t>
  </si>
  <si>
    <t>https://detail.1688.com/offer/969647655384.html</t>
  </si>
  <si>
    <t>evidence/2026-09-11-raw-observations.json#/queries/4/result/content/0/text→JSON/data/35</t>
  </si>
  <si>
    <t>687956652522</t>
  </si>
  <si>
    <t>折叠裤架多层抽拉式z型衣架裤撑家用无痕裤夹衣柜收纳神器裤挂架</t>
  </si>
  <si>
    <t>https://detail.1688.com/offer/687956652522.html</t>
  </si>
  <si>
    <t>evidence/2026-09-11-raw-observations.json#/queries/4/result/content/0/text→JSON/data/36</t>
  </si>
  <si>
    <t>972916264010</t>
  </si>
  <si>
    <t>裤夹子家用无痕多功能带挂钩裙子帽子收纳神器挂裤子专用夹子衣架</t>
  </si>
  <si>
    <t>义乌市友纳日用品有限公司</t>
  </si>
  <si>
    <t>https://detail.1688.com/offer/972916264010.html</t>
  </si>
  <si>
    <t>evidence/2026-09-11-raw-observations.json#/queries/4/result/content/0/text→JSON/data/37</t>
  </si>
  <si>
    <t>958740826727</t>
  </si>
  <si>
    <t>多层裤架多功能云梯折叠裤架不锈钢裤挂家用防滑无痕衣架收纳神器</t>
  </si>
  <si>
    <t>东阳市云艾佳塑料制品有限公司</t>
  </si>
  <si>
    <t>https://detail.1688.com/offer/958740826727.html</t>
  </si>
  <si>
    <t>evidence/2026-09-11-raw-observations.json#/queries/4/result/content/0/text→JSON/data/38</t>
  </si>
  <si>
    <t>948153357983</t>
  </si>
  <si>
    <t>可折叠裤架多功能不锈钢裤挂多层防滑魔术裤夹家用挂裤子收纳神器</t>
  </si>
  <si>
    <t>https://detail.1688.com/offer/948153357983.html</t>
  </si>
  <si>
    <t>evidence/2026-09-11-raw-observations.json#/queries/4/result/content/0/text→JSON/data/39</t>
  </si>
  <si>
    <t>961078679736</t>
  </si>
  <si>
    <t>多层多功能家用裤挂云梯裤架无痕防滑裤子专用收纳神器 折叠裤夹</t>
  </si>
  <si>
    <t>义乌市希扬日用百货有限公司</t>
  </si>
  <si>
    <t>https://detail.1688.com/offer/961078679736.html</t>
  </si>
  <si>
    <t>evidence/2026-09-11-raw-observations.json#/queries/4/result/content/0/text→JSON/data/40</t>
  </si>
  <si>
    <t>975268529986</t>
  </si>
  <si>
    <t>多功能多层折叠魔术衣架家用挂衣服架子衣柜收纳神器裤架衣撑挂钩</t>
  </si>
  <si>
    <t>荔浦宇晨家居用品有限公司</t>
  </si>
  <si>
    <t>https://detail.1688.com/offer/975268529986.html</t>
  </si>
  <si>
    <t>evidence/2026-09-11-raw-observations.json#/queries/4/result/content/0/text→JSON/data/41</t>
  </si>
  <si>
    <t>849613285150</t>
  </si>
  <si>
    <t>义乌市衡盛日用百货有限公司</t>
  </si>
  <si>
    <t>https://detail.1688.com/offer/849613285150.html</t>
  </si>
  <si>
    <t>evidence/2026-09-11-raw-observations.json#/queries/4/result/content/0/text→JSON/data/42</t>
  </si>
  <si>
    <t>774326033121</t>
  </si>
  <si>
    <t>(包邮)亚马逊植绒裤架塑料衣架防滑塑料裤子衣架多层收纳工厂直销</t>
  </si>
  <si>
    <t>东莞市鑫立家居用品有限公司</t>
  </si>
  <si>
    <t>https://detail.1688.com/offer/774326033121.html</t>
  </si>
  <si>
    <t>evidence/2026-09-11-raw-observations.json#/queries/4/result/content/0/text→JSON/data/43</t>
  </si>
  <si>
    <t>975076826033</t>
  </si>
  <si>
    <t>折叠裤架家用裤夹衣架专用多层多功能裤挂架无痕防滑裤子收纳神器</t>
  </si>
  <si>
    <t>义乌市材歌日用品有限公司</t>
  </si>
  <si>
    <t>https://detail.1688.com/offer/975076826033.html</t>
  </si>
  <si>
    <t>evidence/2026-09-11-raw-observations.json#/queries/4/result/content/0/text→JSON/data/44</t>
  </si>
  <si>
    <t>970549626341</t>
  </si>
  <si>
    <t>家用植绒裤架子多功能无痕衣橱收纳防滑无痕衣架裤挂挂裤子省空间</t>
  </si>
  <si>
    <t>东莞市航涛家居用品有限公司</t>
  </si>
  <si>
    <t>https://detail.1688.com/offer/970549626341.html</t>
  </si>
  <si>
    <t>evidence/2026-09-11-raw-observations.json#/queries/4/result/content/0/text→JSON/data/45</t>
  </si>
  <si>
    <t>670713260617</t>
  </si>
  <si>
    <t>彩色防滑多层裤架 多功能家用衣柜5层裤子衣架围巾架丝巾领带挂架</t>
  </si>
  <si>
    <t>义乌市寻雾日用品有限公司</t>
  </si>
  <si>
    <t>https://detail.1688.com/offer/670713260617.html</t>
  </si>
  <si>
    <t>evidence/2026-09-11-raw-observations.json#/queries/4/result/content/0/text→JSON/data/46</t>
  </si>
  <si>
    <t>842356700227</t>
  </si>
  <si>
    <t>不锈钢多层裤架家用多功能折叠衣柜裤子收纳神器无痕防滑收纳架</t>
  </si>
  <si>
    <t>永康市新惠斯工贸有限公司</t>
  </si>
  <si>
    <t>https://detail.1688.com/offer/842356700227.html</t>
  </si>
  <si>
    <t>evidence/2026-09-11-raw-observations.json#/queries/4/result/content/0/text→JSON/data/47</t>
  </si>
  <si>
    <t>707750906941</t>
  </si>
  <si>
    <t>不锈钢裤架加粗 多功能魔术S型多层裤夹防滑挂裤子衣柜收纳裤架</t>
  </si>
  <si>
    <t>深圳市安特瑞不锈钢制品有限公司</t>
  </si>
  <si>
    <t>https://detail.1688.com/offer/707750906941.html</t>
  </si>
  <si>
    <t>evidence/2026-09-11-raw-observations.json#/queries/4/result/content/0/text→JSON/data/48</t>
  </si>
  <si>
    <t>672333365877</t>
  </si>
  <si>
    <t>实木多功能裤架多层裤挂家用魔术木质收纳神器围巾丝巾衣柜裤衣架</t>
  </si>
  <si>
    <t>桂林致恒家居用品有限公司</t>
  </si>
  <si>
    <t>https://detail.1688.com/offer/672333365877.html</t>
  </si>
  <si>
    <t>evidence/2026-09-11-raw-observations.json#/queries/4/result/content/0/text→JSON/data/49</t>
  </si>
  <si>
    <t>980616269080</t>
  </si>
  <si>
    <t>裤子架裤夹多层挂架晾晒架内衣内裤收纳架多夹子衣架阳台袜架批发</t>
  </si>
  <si>
    <t>潮州市起成科技有限公司</t>
  </si>
  <si>
    <t>https://detail.1688.com/offer/980616269080.html</t>
  </si>
  <si>
    <t>evidence/2026-09-11-raw-observations.json#/queries/4/result/content/0/text→JSON/data/50</t>
  </si>
  <si>
    <t>851119615831</t>
  </si>
  <si>
    <t>厂家直销可折叠多层裤架裤夹子多功能收纳神器不锈钢裙夹加粗批发</t>
  </si>
  <si>
    <t>广西旭鸿家居有限公司</t>
  </si>
  <si>
    <t>https://detail.1688.com/offer/851119615831.html</t>
  </si>
  <si>
    <t>evidence/2026-09-11-raw-observations.json#/queries/4/result/content/0/text→JSON/data/51</t>
  </si>
  <si>
    <t>985529762975</t>
  </si>
  <si>
    <t>https://detail.1688.com/offer/985529762975.html</t>
  </si>
  <si>
    <t>evidence/2026-09-11-raw-observations.json#/queries/4/result/content/0/text→JSON/data/52</t>
  </si>
  <si>
    <t>758440649725</t>
  </si>
  <si>
    <t>折叠裤架多功能魔术架不锈钢防滑挂裤子专用衣架多层裤挂收纳神器</t>
  </si>
  <si>
    <t>https://detail.1688.com/offer/758440649725.html</t>
  </si>
  <si>
    <t>evidence/2026-09-11-raw-observations.json#/queries/4/result/content/0/text→JSON/data/53</t>
  </si>
  <si>
    <t>988152337711</t>
  </si>
  <si>
    <t>不锈钢裤挂裤夹多层无痕收纳挂裤子架多功能裤架云梯挂裤折叠裤架</t>
  </si>
  <si>
    <t>https://detail.1688.com/offer/988152337711.html</t>
  </si>
  <si>
    <t>evidence/2026-09-11-raw-observations.json#/queries/4/result/content/0/text→JSON/data/54</t>
  </si>
  <si>
    <t>850203606281</t>
  </si>
  <si>
    <t>https://detail.1688.com/offer/850203606281.html</t>
  </si>
  <si>
    <t>evidence/2026-09-11-raw-observations.json#/queries/4/result/content/0/text→JSON/data/55</t>
  </si>
  <si>
    <t>682216767701</t>
  </si>
  <si>
    <t>裤架裤子衣架裤夹子太空铝室外多层衣柜收纳神器裤挂加粗实心无痕</t>
  </si>
  <si>
    <t>https://detail.1688.com/offer/682216767701.html</t>
  </si>
  <si>
    <t>evidence/2026-09-11-raw-observations.json#/queries/4/result/content/0/text→JSON/data/56</t>
  </si>
  <si>
    <t>982133506123</t>
  </si>
  <si>
    <t>五层泡棉裤架浸塑浸胶多层多功能挂裤架折叠挂架毛巾收纳框架防滑</t>
  </si>
  <si>
    <t>桂林睿兴家居用品有限公司</t>
  </si>
  <si>
    <t>https://detail.1688.com/offer/982133506123.html</t>
  </si>
  <si>
    <t>evidence/2026-09-11-raw-observations.json#/queries/4/result/content/0/text→JSON/data/57</t>
  </si>
  <si>
    <t>983735137462</t>
  </si>
  <si>
    <t>儿童裤架多功能不锈钢裤子牛仔裤短裙家用无痕晾衣夹厂 家直销</t>
  </si>
  <si>
    <t>https://detail.1688.com/offer/983735137462.html</t>
  </si>
  <si>
    <t>evidence/2026-09-11-raw-observations.json#/queries/4/result/content/0/text→JSON/data/58</t>
  </si>
  <si>
    <t>962815551742</t>
  </si>
  <si>
    <t>伸缩折叠裤架防滑不锈钢裤夹多层挂裤子专用衣架家用收纳神器裤架</t>
  </si>
  <si>
    <t>https://detail.1688.com/offer/962815551742.html</t>
  </si>
  <si>
    <t>evidence/2026-09-11-raw-observations.json#/queries/4/result/content/0/text→JSON/data/59</t>
  </si>
  <si>
    <t>696762414163</t>
  </si>
  <si>
    <t>折叠裤架多功能裤子收纳架多层无痕魔术裤夹家用衣柜收纳裤挂架</t>
  </si>
  <si>
    <t>揭阳市榕城区屿欣五金塑胶制品厂</t>
  </si>
  <si>
    <t>https://detail.1688.com/offer/696762414163.html</t>
  </si>
  <si>
    <t>evidence/2026-09-11-raw-observations.json#/queries/4/result/content/0/text→JSON/data/60</t>
  </si>
  <si>
    <t>974256938987</t>
  </si>
  <si>
    <t>多层魔术裤架简约泡棉五层裤挂省空间无痕挂裤子衣架 亚马逊</t>
  </si>
  <si>
    <t>https://detail.1688.com/offer/974256938987.html</t>
  </si>
  <si>
    <t>evidence/2026-09-11-raw-observations.json#/queries/4/result/content/0/text→JSON/data/61</t>
  </si>
  <si>
    <t>994454116691</t>
  </si>
  <si>
    <t>金属多层收纳瑜伽裤架多功能五金裤架衣架衣服挂无痕金属裤子衣架</t>
  </si>
  <si>
    <t>https://detail.1688.com/offer/994454116691.html</t>
  </si>
  <si>
    <t>evidence/2026-09-11-raw-observations.json#/queries/4/result/content/0/text→JSON/data/62</t>
  </si>
  <si>
    <t>991902153847</t>
  </si>
  <si>
    <t>植绒裤架整理师专用方形无痕多功能省空间裤子挂衣架收纳现代简约</t>
  </si>
  <si>
    <t>义乌市新伽日用品有限公司</t>
  </si>
  <si>
    <t>https://detail.1688.com/offer/991902153847.html</t>
  </si>
  <si>
    <t>evidence/2026-09-11-raw-observations.json#/queries/4/result/content/0/text→JSON/data/63</t>
  </si>
  <si>
    <t>952093251055</t>
  </si>
  <si>
    <t>裤夹子家用防滑多功能晾衣架衣柜学生宿舍挂衣jk裤子专用裤架收纳</t>
  </si>
  <si>
    <t>义乌市杉邑电子商务商行</t>
  </si>
  <si>
    <t>https://detail.1688.com/offer/952093251055.html</t>
  </si>
  <si>
    <t>evidence/2026-09-11-raw-observations.json#/queries/4/result/content/0/text→JSON/data/64</t>
  </si>
  <si>
    <t>681263494621</t>
  </si>
  <si>
    <t>多功能不锈钢魔术裤架多层家用收纳魔术衣架伸缩折叠裤架晾衣架子</t>
  </si>
  <si>
    <t>义乌铂客日用品有限公司</t>
  </si>
  <si>
    <t>https://detail.1688.com/offer/681263494621.html</t>
  </si>
  <si>
    <t>evidence/2026-09-11-raw-observations.json#/queries/4/result/content/0/text→JSON/data/65</t>
  </si>
  <si>
    <t>784995702318</t>
  </si>
  <si>
    <t>防滑浸胶裤架不锈钢裤架晾晒衣架加粗多功能可伸缩内衣袜子强力夹</t>
  </si>
  <si>
    <t>https://detail.1688.com/offer/784995702318.html</t>
  </si>
  <si>
    <t>evidence/2026-09-11-raw-observations.json#/queries/4/result/content/0/text→JSON/data/66</t>
  </si>
  <si>
    <t>890664847138</t>
  </si>
  <si>
    <t>五金衣架挂钩收纳裤架子可折叠衣架三层四层五层六层金属裤架裙架</t>
  </si>
  <si>
    <t>https://detail.1688.com/offer/890664847138.html</t>
  </si>
  <si>
    <t>evidence/2026-09-11-raw-observations.json#/queries/4/result/content/0/text→JSON/data/67</t>
  </si>
  <si>
    <t>891695236201</t>
  </si>
  <si>
    <t>亚马逊热销三层四层五层六层金属裤架裙架五金衣架挂钩收纳裤架子</t>
  </si>
  <si>
    <t>https://detail.1688.com/offer/891695236201.html</t>
  </si>
  <si>
    <t>evidence/2026-09-11-raw-observations.json#/queries/4/result/content/0/text→JSON/data/68</t>
  </si>
  <si>
    <t>988385922876</t>
  </si>
  <si>
    <t>家用晾裤子衣架五层多功能收纳衣架衣柜节省空间多层裤架衣架批发</t>
  </si>
  <si>
    <t>义乌市起水塑料制品有限公司</t>
  </si>
  <si>
    <t>https://detail.1688.com/offer/988385922876.html</t>
  </si>
  <si>
    <t>evidence/2026-09-11-raw-observations.json#/queries/4/result/content/0/text→JSON/data/69</t>
  </si>
  <si>
    <t>1015190521734</t>
  </si>
  <si>
    <t>无痕植绒裤挂裤子用衣实木裤夹子防滑防肩角西裤纳省空间</t>
  </si>
  <si>
    <t>https://detail.1688.com/offer/1015190521734.html</t>
  </si>
  <si>
    <t>evidence/2026-09-11-raw-observations.json#/queries/4/result/content/0/text→JSON/data/70</t>
  </si>
  <si>
    <t>996826402113</t>
  </si>
  <si>
    <t>https://detail.1688.com/offer/996826402113.html</t>
  </si>
  <si>
    <t>evidence/2026-09-11-raw-observations.json#/queries/4/result/content/0/text→JSON/data/71</t>
  </si>
  <si>
    <t>828308836855</t>
  </si>
  <si>
    <t>衣架裤架整体不锈钢折叠柜内裤架夹无痕多层防滑伸缩宿舍九层六层</t>
  </si>
  <si>
    <t>揭阳市揭东区磐东梧优家居用品厂</t>
  </si>
  <si>
    <t>https://detail.1688.com/offer/828308836855.html</t>
  </si>
  <si>
    <t>evidence/2026-09-11-raw-observations.json#/queries/4/result/content/0/text→JSON/data/72</t>
  </si>
  <si>
    <t>825317362657</t>
  </si>
  <si>
    <t>【新款】裤架配件半成品防滑可调节伸缩儿童衣架裤夹子收纳架批发</t>
  </si>
  <si>
    <t>https://detail.1688.com/offer/825317362657.html</t>
  </si>
  <si>
    <t>evidence/2026-09-11-raw-observations.json#/queries/4/result/content/0/text→JSON/data/73</t>
  </si>
  <si>
    <t>854721608981</t>
  </si>
  <si>
    <t>折叠裤架多功能多层收纳神器裤子衣架家用横竖无痕裤夹衣柜免打孔</t>
  </si>
  <si>
    <t>义乌市汐棠电子商务商行</t>
  </si>
  <si>
    <t>https://detail.1688.com/offer/854721608981.html</t>
  </si>
  <si>
    <t>evidence/2026-09-11-raw-observations.json#/queries/4/result/content/0/text→JSON/data/74</t>
  </si>
  <si>
    <t>737787097740</t>
  </si>
  <si>
    <t>多层挂衣架子裤架不锈钢衣架魔术裤架多功能衣柜家用收纳整理神器</t>
  </si>
  <si>
    <t>https://detail.1688.com/offer/737787097740.html</t>
  </si>
  <si>
    <t>evidence/2026-09-11-raw-observations.json#/queries/4/result/content/0/text→JSON/data/75</t>
  </si>
  <si>
    <t>773537378528</t>
  </si>
  <si>
    <t>裤架家用裤夹无痕多功能防滑裤子jk夹挂裙子内衣夹子衣架不锈钢</t>
  </si>
  <si>
    <t>义乌市町盈电子商务商行</t>
  </si>
  <si>
    <t>https://detail.1688.com/offer/773537378528.html</t>
  </si>
  <si>
    <t>evidence/2026-09-11-raw-observations.json#/queries/4/result/content/0/text→JSON/data/76</t>
  </si>
  <si>
    <t>978926415972</t>
  </si>
  <si>
    <t>https://detail.1688.com/offer/978926415972.html</t>
  </si>
  <si>
    <t>evidence/2026-09-11-raw-observations.json#/queries/4/result/content/0/text→JSON/data/77</t>
  </si>
  <si>
    <t>989213848641</t>
  </si>
  <si>
    <t>伸缩裤架衣柜内置顶装抽拉滑轨多功能轨道收纳神器推拉裤挂裤抽架</t>
  </si>
  <si>
    <t>https://detail.1688.com/offer/989213848641.html</t>
  </si>
  <si>
    <t>evidence/2026-09-11-raw-observations.json#/queries/4/result/content/0/text→JSON/data/78</t>
  </si>
  <si>
    <t>1009553714946</t>
  </si>
  <si>
    <t>https://detail.1688.com/offer/1009553714946.html</t>
  </si>
  <si>
    <t>evidence/2026-09-11-raw-observations.json#/queries/4/result/content/0/text→JSON/data/79</t>
  </si>
  <si>
    <t>1013612295781</t>
  </si>
  <si>
    <t>鹅型裤架家用无痕防滑裤夹衣架专用衣柜内置裤挂架收纳挂裤子批发</t>
  </si>
  <si>
    <t>https://detail.1688.com/offer/1013612295781.html</t>
  </si>
  <si>
    <t>evidence/2026-09-11-raw-observations.json#/queries/4/result/content/0/text→JSON/data/80</t>
  </si>
  <si>
    <t>854280575272</t>
  </si>
  <si>
    <t>多层 收纳魔术裤架 家用 宿舍 收纳整理挂裤子 围巾毛巾晾晒 衣架</t>
  </si>
  <si>
    <t>义乌市炎北日用百货有限公司</t>
  </si>
  <si>
    <t>https://detail.1688.com/offer/854280575272.html</t>
  </si>
  <si>
    <t>evidence/2026-09-11-raw-observations.json#/queries/4/result/content/0/text→JSON/data/81</t>
  </si>
  <si>
    <t>1006618814204</t>
  </si>
  <si>
    <t>凯旺不锈钢裤架加粗8MM多功能魔术S型多层裤夹挂裤子衣柜收纳裤架</t>
  </si>
  <si>
    <t>https://detail.1688.com/offer/1006618814204.html</t>
  </si>
  <si>
    <t>evidence/2026-09-11-raw-observations.json#/queries/4/result/content/0/text→JSON/data/82</t>
  </si>
  <si>
    <t>1015780024713</t>
  </si>
  <si>
    <t>裤夹子家用防滑衣架裤子收纳神器多功能挂钩带晾衣夹裤架单个帽夹</t>
  </si>
  <si>
    <t>义乌市黎沐家居用品有限公司</t>
  </si>
  <si>
    <t>https://detail.1688.com/offer/1015780024713.html</t>
  </si>
  <si>
    <t>evidence/2026-09-11-raw-observations.json#/queries/4/result/content/0/text→JSON/data/83</t>
  </si>
  <si>
    <t>976892745079</t>
  </si>
  <si>
    <t>现货亚马逊跨境爆款多功能裤架多层省空间裤夹衣架裙夹内衣收纳</t>
  </si>
  <si>
    <t>https://detail.1688.com/offer/976892745079.html</t>
  </si>
  <si>
    <t>evidence/2026-09-11-raw-observations.json#/queries/4/result/content/0/text→JSON/data/84</t>
  </si>
  <si>
    <t>979246734882</t>
  </si>
  <si>
    <t>裤子收纳衣架防滑多层五5层裤架家用宿舍成人丝巾围巾领带挂架</t>
  </si>
  <si>
    <t>义乌市尚能塑料制品有限公司</t>
  </si>
  <si>
    <t>https://detail.1688.com/offer/979246734882.html</t>
  </si>
  <si>
    <t>evidence/2026-09-11-raw-observations.json#/queries/4/result/content/0/text→JSON/data/85</t>
  </si>
  <si>
    <t>1016188341928</t>
  </si>
  <si>
    <t>折叠裤架多功能家用挂裤子专用衣架收纳神器无痕裤挂衣柜无痕裤夹</t>
  </si>
  <si>
    <t>佛山市锦致家居有限公司</t>
  </si>
  <si>
    <t>https://detail.1688.com/offer/1016188341928.html</t>
  </si>
  <si>
    <t>evidence/2026-09-11-raw-observations.json#/queries/4/result/content/0/text→JSON/data/86</t>
  </si>
  <si>
    <t>724428009752</t>
  </si>
  <si>
    <t>定制不锈钢裤架加粗8MM多功能魔术S型多层裤夹挂裤子衣柜收纳裤架</t>
  </si>
  <si>
    <t>https://detail.1688.com/offer/724428009752.html</t>
  </si>
  <si>
    <t>evidence/2026-09-11-raw-observations.json#/queries/4/result/content/0/text→JSON/data/87</t>
  </si>
  <si>
    <t>723708837354</t>
  </si>
  <si>
    <t>亚马逊热销东莞石排植绒裤架植绒五层裤架塑料衣架多层塑料裤子架</t>
  </si>
  <si>
    <t>https://detail.1688.com/offer/723708837354.html</t>
  </si>
  <si>
    <t>evidence/2026-09-11-raw-observations.json#/queries/4/result/content/0/text→JSON/data/88</t>
  </si>
  <si>
    <t>801906929248</t>
  </si>
  <si>
    <t>六层可折叠金属裤架带夹子整理用多层西裤架内衣裤牛仔裤收纳衣架</t>
  </si>
  <si>
    <t>https://detail.1688.com/offer/801906929248.html</t>
  </si>
  <si>
    <t>evidence/2026-09-11-raw-observations.json#/queries/4/result/content/0/text→JSON/data/89</t>
  </si>
  <si>
    <t>917457696533</t>
  </si>
  <si>
    <t>衣架折叠裤架内裤新款裤子家用牛仔裤收纳多层衣服收纳裤子衣柜</t>
  </si>
  <si>
    <t>义乌市企拼日用品厂</t>
  </si>
  <si>
    <t>https://detail.1688.com/offer/917457696533.html</t>
  </si>
  <si>
    <t>evidence/2026-09-11-raw-observations.json#/queries/4/result/content/0/text→JSON/data/90</t>
  </si>
  <si>
    <t>1048957885581</t>
  </si>
  <si>
    <t>六层金属裤架无痕防滑多层收纳衣架家用省空间裙裤夹挂架</t>
  </si>
  <si>
    <t>https://detail.1688.com/offer/1048957885581.html</t>
  </si>
  <si>
    <t>evidence/2026-09-11-raw-observations.json#/queries/4/result/content/0/text→JSON/data/91</t>
  </si>
  <si>
    <t>1043537492767</t>
  </si>
  <si>
    <t>多功能无痕裤架收纳神器伸缩防滑衣架衣柜省空间家用裤夹挂架</t>
  </si>
  <si>
    <t>https://detail.1688.com/offer/1043537492767.html</t>
  </si>
  <si>
    <t>evidence/2026-09-11-raw-observations.json#/queries/4/result/content/0/text→JSON/data/92</t>
  </si>
  <si>
    <t>1050911478677</t>
  </si>
  <si>
    <t>裤架折叠不锈钢柜内裤挂多层无痕裤夹伸缩晾衣架收纳裤挂子架</t>
  </si>
  <si>
    <t>义乌市博宜家居用品有限公司</t>
  </si>
  <si>
    <t>https://detail.1688.com/offer/1050911478677.html</t>
  </si>
  <si>
    <t>evidence/2026-09-11-raw-observations.json#/queries/4/result/content/0/text→JSON/data/93</t>
  </si>
  <si>
    <t>726831319733</t>
  </si>
  <si>
    <t>不锈钢多功能折叠伸缩裤架多层柜内裤夹裤子衣架无痕家用收纳定制</t>
  </si>
  <si>
    <t>潮州市阿斯提克斯科技有限公司</t>
  </si>
  <si>
    <t>https://detail.1688.com/offer/726831319733.html</t>
  </si>
  <si>
    <t>evidence/2026-09-11-raw-observations.json#/queries/4/result/content/0/text→JSON/data/94</t>
  </si>
  <si>
    <t>1042687626619</t>
  </si>
  <si>
    <t>https://detail.1688.com/offer/1042687626619.html</t>
  </si>
  <si>
    <t>evidence/2026-09-11-raw-observations.json#/queries/4/result/content/0/text→JSON/data/95</t>
  </si>
  <si>
    <t>686361889210</t>
  </si>
  <si>
    <t>折叠裤架多层裤子衣架不锈钢无痕家用衣柜收纳裤挂架不锈钢无痕</t>
  </si>
  <si>
    <t>https://detail.1688.com/offer/686361889210.html</t>
  </si>
  <si>
    <t>evidence/2026-09-11-raw-observations.json#/queries/4/result/content/0/text→JSON/data/96</t>
  </si>
  <si>
    <t>1050839559602</t>
  </si>
  <si>
    <t>防滑衣架衣柜省空间家用裤夹挂架多功能平行收纳裤架收纳神器伸缩</t>
  </si>
  <si>
    <t>https://detail.1688.com/offer/1050839559602.html</t>
  </si>
  <si>
    <t>evidence/2026-09-11-raw-observations.json#/queries/4/result/content/0/text→JSON/data/97</t>
  </si>
  <si>
    <t>1043630617389</t>
  </si>
  <si>
    <t>云梯裤架多层多功能家用裤挂架无痕防滑裤子折叠收纳不锈钢收纳裤</t>
  </si>
  <si>
    <t>https://detail.1688.com/offer/1043630617389.html</t>
  </si>
  <si>
    <t>evidence/2026-09-11-raw-observations.json#/queries/4/result/content/0/text→JSON/data/98</t>
  </si>
  <si>
    <t>1053337614807</t>
  </si>
  <si>
    <t>衣柜家用裤夹衣架jk裙夹子无痕多功能不锈钢晾衣架挂裤夹内衣架</t>
  </si>
  <si>
    <t>苏州丁壬家居用品有限公司</t>
  </si>
  <si>
    <t>https://detail.1688.com/offer/1053337614807.html</t>
  </si>
  <si>
    <t>evidence/2026-09-11-raw-observations.json#/queries/4/result/content/0/text→JSON/data/99</t>
  </si>
  <si>
    <t>2026-09-11T13:50:02.734Z</t>
  </si>
  <si>
    <t>网格化妆包 拉链 收纳</t>
  </si>
  <si>
    <t>901620774423</t>
  </si>
  <si>
    <t>跨境热销帆布化妆包厂家定做彩印棉布收纳包拉链笔袋零钱包印logo</t>
  </si>
  <si>
    <t>温州起航箱包有限公司</t>
  </si>
  <si>
    <t>https://detail.1688.com/offer/901620774423.html</t>
  </si>
  <si>
    <t>evidence/2026-09-11-raw-observations.json#/queries/5/result/content/0/text→JSON/data/0</t>
  </si>
  <si>
    <t>754366290503</t>
  </si>
  <si>
    <t>高颜值双拉链化妆包大容量便携出差旅行高级感化妆刷洗漱包收纳袋</t>
  </si>
  <si>
    <t>义乌市范匠箱包有限公司</t>
  </si>
  <si>
    <t>https://detail.1688.com/offer/754366290503.html</t>
  </si>
  <si>
    <t>evidence/2026-09-11-raw-observations.json#/queries/5/result/content/0/text→JSON/data/1</t>
  </si>
  <si>
    <t>646146489076</t>
  </si>
  <si>
    <t>跨境爆款便携随身化妆包批发口红气垫内胆包皮质拉链收纳袋小包</t>
  </si>
  <si>
    <t>https://detail.1688.com/offer/646146489076.html</t>
  </si>
  <si>
    <t>evidence/2026-09-11-raw-observations.json#/queries/5/result/content/0/text→JSON/data/2</t>
  </si>
  <si>
    <t>825295434702</t>
  </si>
  <si>
    <t>跨境小清晰大容量化妆包便携式拉链洗漱包旅行化妆品收纳包</t>
  </si>
  <si>
    <t>https://detail.1688.com/offer/825295434702.html</t>
  </si>
  <si>
    <t>evidence/2026-09-11-raw-observations.json#/queries/5/result/content/0/text→JSON/data/3</t>
  </si>
  <si>
    <t>833305985337</t>
  </si>
  <si>
    <t>网红化妆包女大容量便携旅行2024款化妆品收纳包</t>
  </si>
  <si>
    <t>深圳焱鼎实业有限公司</t>
  </si>
  <si>
    <t>https://detail.1688.com/offer/833305985337.html</t>
  </si>
  <si>
    <t>evidence/2026-09-11-raw-observations.json#/queries/5/result/content/0/text→JSON/data/4</t>
  </si>
  <si>
    <t>639363932538</t>
  </si>
  <si>
    <t>帆布化妆包大容量洗漱包布艺拉链零钱包旅行收纳包 现货批发</t>
  </si>
  <si>
    <t>义乌市众创箱包有限公司</t>
  </si>
  <si>
    <t>https://detail.1688.com/offer/639363932538.html</t>
  </si>
  <si>
    <t>evidence/2026-09-11-raw-observations.json#/queries/5/result/content/0/text→JSON/data/5</t>
  </si>
  <si>
    <t>948397093997</t>
  </si>
  <si>
    <t>跨境新款女士碎花化妆包小清新花朵洗漱包便携拉链彩妆收纳包</t>
  </si>
  <si>
    <t>金华市蚁族雄兵电子商务有限公司</t>
  </si>
  <si>
    <t>https://detail.1688.com/offer/948397093997.html</t>
  </si>
  <si>
    <t>evidence/2026-09-11-raw-observations.json#/queries/5/result/content/0/text→JSON/data/6</t>
  </si>
  <si>
    <t>965458977775</t>
  </si>
  <si>
    <t>网纱化妆包口红护肤品收纳卡包便携式迷你包小号数据线耳机收纳包</t>
  </si>
  <si>
    <t>义乌市鸿妙日用品有限公司</t>
  </si>
  <si>
    <t>907177135470</t>
  </si>
  <si>
    <t>日式储物网格收纳包双层拉链包便携式化妆包网眼杂物零钱网纱包</t>
  </si>
  <si>
    <t>义乌市简物日用品有限公司</t>
  </si>
  <si>
    <t>https://detail.1688.com/offer/907177135470.html</t>
  </si>
  <si>
    <t>evidence/2026-09-11-raw-observations.json#/queries/5/result/content/0/text→JSON/data/8</t>
  </si>
  <si>
    <t>817077434833</t>
  </si>
  <si>
    <t>化妆包女包洗漱包化妆箱帆布便携大容量外出旅行分区化妆品收纳包</t>
  </si>
  <si>
    <t>保定丰臻商贸有限公司</t>
  </si>
  <si>
    <t>https://detail.1688.com/offer/817077434833.html</t>
  </si>
  <si>
    <t>evidence/2026-09-11-raw-observations.json#/queries/5/result/content/0/text→JSON/data/9</t>
  </si>
  <si>
    <t>914738158103</t>
  </si>
  <si>
    <t>透明网纱化妆包小便携式简约随身大容量收纳袋洗漱包化妆品收纳包</t>
  </si>
  <si>
    <t>广州得倍佳文具有限公司</t>
  </si>
  <si>
    <t>https://detail.1688.com/offer/914738158103.html</t>
  </si>
  <si>
    <t>evidence/2026-09-11-raw-observations.json#/queries/5/result/content/0/text→JSON/data/10</t>
  </si>
  <si>
    <t>874375189698</t>
  </si>
  <si>
    <t>2026新款休闲整理包帆布拉链收纳包旅行便携洗漱包大容量男化妆包</t>
  </si>
  <si>
    <t>温州华为包装有限公司</t>
  </si>
  <si>
    <t>https://detail.1688.com/offer/874375189698.html</t>
  </si>
  <si>
    <t>evidence/2026-09-11-raw-observations.json#/queries/5/result/content/0/text→JSON/data/11</t>
  </si>
  <si>
    <t>830057236012</t>
  </si>
  <si>
    <t>低价批发定制旅行化妆包梳妆盒化妆箱便携式防水化妆收纳袋</t>
  </si>
  <si>
    <t>东莞市布威廉泽包装有限公司</t>
  </si>
  <si>
    <t>https://detail.1688.com/offer/830057236012.html</t>
  </si>
  <si>
    <t>evidence/2026-09-11-raw-observations.json#/queries/5/result/content/0/text→JSON/data/12</t>
  </si>
  <si>
    <t>699271252385</t>
  </si>
  <si>
    <t>化妆包大容量双拉头洗漱包百搭菱格绣线手提收纳包防水轻便化妆品</t>
  </si>
  <si>
    <t>保定富蔻箱包制造有限公司</t>
  </si>
  <si>
    <t>https://detail.1688.com/offer/699271252385.html</t>
  </si>
  <si>
    <t>evidence/2026-09-11-raw-observations.json#/queries/5/result/content/0/text→JSON/data/13</t>
  </si>
  <si>
    <t>832290490235</t>
  </si>
  <si>
    <t>夏日撞色网纱化妆包收纳包高颜值学生便携大容量杂物洗漱包旅行包</t>
  </si>
  <si>
    <t>https://detail.1688.com/offer/832290490235.html</t>
  </si>
  <si>
    <t>evidence/2026-09-11-raw-observations.json#/queries/5/result/content/0/text→JSON/data/14</t>
  </si>
  <si>
    <t>777474320051</t>
  </si>
  <si>
    <t>新款化妆包小香风大容量高级感复古便携式手提化妆洗漱包收纳包女</t>
  </si>
  <si>
    <t>https://detail.1688.com/offer/777474320051.html</t>
  </si>
  <si>
    <t>evidence/2026-09-11-raw-observations.json#/queries/5/result/content/0/text→JSON/data/15</t>
  </si>
  <si>
    <t>709965852043</t>
  </si>
  <si>
    <t>跨境加厚网纱化妆包随身大容量便携旅行洗漱包化妆品收纳包收纳袋</t>
  </si>
  <si>
    <t>汕头市潮南区峡山瑞业盛文具厂</t>
  </si>
  <si>
    <t>https://detail.1688.com/offer/709965852043.html</t>
  </si>
  <si>
    <t>evidence/2026-09-11-raw-observations.json#/queries/5/result/content/0/text→JSON/data/16</t>
  </si>
  <si>
    <t>963288695668</t>
  </si>
  <si>
    <t>小方包女便携式手提包包新款大容量化妆包旅游便携收纳洗漱立体包</t>
  </si>
  <si>
    <t>高碑店市鸿越箱包制造有限公司</t>
  </si>
  <si>
    <t>https://detail.1688.com/offer/963288695668.html</t>
  </si>
  <si>
    <t>evidence/2026-09-11-raw-observations.json#/queries/5/result/content/0/text→JSON/data/17</t>
  </si>
  <si>
    <t>855503242620</t>
  </si>
  <si>
    <t>女生化妆包小号收纳袋气垫口红笔袋帆布拉链包化妆品随身洗漱包</t>
  </si>
  <si>
    <t>义乌市觅右贸易有限公司</t>
  </si>
  <si>
    <t>https://detail.1688.com/offer/855503242620.html</t>
  </si>
  <si>
    <t>evidence/2026-09-11-raw-observations.json#/queries/5/result/content/0/text→JSON/data/18</t>
  </si>
  <si>
    <t>856571067602</t>
  </si>
  <si>
    <t>新款墨西哥化妆包女士口红化妆袋户外多功能便携收纳包学生文具袋</t>
  </si>
  <si>
    <t>义乌市欣妤纺织品有限公司</t>
  </si>
  <si>
    <t>https://detail.1688.com/offer/856571067602.html</t>
  </si>
  <si>
    <t>evidence/2026-09-11-raw-observations.json#/queries/5/result/content/0/text→JSON/data/19</t>
  </si>
  <si>
    <t>908099175031</t>
  </si>
  <si>
    <t>网纱透气化妆包大容量网简约洗漱袋化妆品便携收纳包旅行洗漱包</t>
  </si>
  <si>
    <t>义乌市广飞箱包厂</t>
  </si>
  <si>
    <t>https://detail.1688.com/offer/908099175031.html</t>
  </si>
  <si>
    <t>evidence/2026-09-11-raw-observations.json#/queries/5/result/content/0/text→JSON/data/20</t>
  </si>
  <si>
    <t>824693842012</t>
  </si>
  <si>
    <t>网纱化妆包口红补妆卡包便携式迷你包小号女数据线耳机内随身收纳</t>
  </si>
  <si>
    <t>义乌市圣旺贸易有限公司</t>
  </si>
  <si>
    <t>https://detail.1688.com/offer/824693842012.html</t>
  </si>
  <si>
    <t>evidence/2026-09-11-raw-observations.json#/queries/5/result/content/0/text→JSON/data/21</t>
  </si>
  <si>
    <t>962003686464</t>
  </si>
  <si>
    <t>小鱼豆腐化妆包网格收纳袋可爱迷你袋透气便携旅行补妆化妆收纳包</t>
  </si>
  <si>
    <t>义乌市福如箱包有限公司</t>
  </si>
  <si>
    <t>https://detail.1688.com/offer/962003686464.html</t>
  </si>
  <si>
    <t>evidence/2026-09-11-raw-observations.json#/queries/5/result/content/0/text→JSON/data/22</t>
  </si>
  <si>
    <t>557871806907</t>
  </si>
  <si>
    <t>亚马逊跨境批发创意现货空白拉链帆布笔袋定制化妆包收纳手拿包</t>
  </si>
  <si>
    <t>龙港市佳兴箱包有限公司</t>
  </si>
  <si>
    <t>https://detail.1688.com/offer/557871806907.html</t>
  </si>
  <si>
    <t>evidence/2026-09-11-raw-observations.json#/queries/5/result/content/0/text→JSON/data/23</t>
  </si>
  <si>
    <t>980867154587</t>
  </si>
  <si>
    <t>多功能女士pu皮拉链化妆包 防水防尘旅行洗漱用品收纳单肩子母包</t>
  </si>
  <si>
    <t>白沟新城耀名箱包厂</t>
  </si>
  <si>
    <t>https://detail.1688.com/offer/980867154587.html</t>
  </si>
  <si>
    <t>evidence/2026-09-11-raw-observations.json#/queries/5/result/content/0/text→JSON/data/24</t>
  </si>
  <si>
    <t>989284923509</t>
  </si>
  <si>
    <t>化妆刷专用包装袋透明加厚长条自封袋防尘便携收纳塑料PVC密封袋</t>
  </si>
  <si>
    <t>佛山明河包装有限公司</t>
  </si>
  <si>
    <t>https://detail.1688.com/offer/989284923509.html</t>
  </si>
  <si>
    <t>evidence/2026-09-11-raw-observations.json#/queries/5/result/content/0/text→JSON/data/25</t>
  </si>
  <si>
    <t>948656243263</t>
  </si>
  <si>
    <t>新款防水化妆包手提拉链化妆袋洗漱包化妆品收纳包旅行便携收纳袋</t>
  </si>
  <si>
    <t>https://detail.1688.com/offer/948656243263.html</t>
  </si>
  <si>
    <t>evidence/2026-09-11-raw-observations.json#/queries/5/result/content/0/text→JSON/data/26</t>
  </si>
  <si>
    <t>861315134391</t>
  </si>
  <si>
    <t>新款文艺简约条纹帆布化妆包便携式女生手拿包化妆品拉链收纳包</t>
  </si>
  <si>
    <t>https://detail.1688.com/offer/861315134391.html</t>
  </si>
  <si>
    <t>evidence/2026-09-11-raw-observations.json#/queries/5/result/content/0/text→JSON/data/27</t>
  </si>
  <si>
    <t>998081074528</t>
  </si>
  <si>
    <t>韩版多功能手提化妆包大容量洗漱用品收纳包旅行收纳袋批发</t>
  </si>
  <si>
    <t>https://detail.1688.com/offer/998081074528.html</t>
  </si>
  <si>
    <t>evidence/2026-09-11-raw-observations.json#/queries/5/result/content/0/text→JSON/data/28</t>
  </si>
  <si>
    <t>996227535209</t>
  </si>
  <si>
    <t>硅胶男女大容量化妆包收纳包拉链收纳袋洗漱包高颜值大号姨妈巾包</t>
  </si>
  <si>
    <t>https://detail.1688.com/offer/996227535209.html</t>
  </si>
  <si>
    <t>evidence/2026-09-11-raw-observations.json#/queries/5/result/content/0/text→JSON/data/29</t>
  </si>
  <si>
    <t>745860307839</t>
  </si>
  <si>
    <t>跨境化妆包高颜值大容量收纳包手提防水手提包旅行便携简约洗漱包</t>
  </si>
  <si>
    <t>https://detail.1688.com/offer/745860307839.html</t>
  </si>
  <si>
    <t>evidence/2026-09-11-raw-observations.json#/queries/5/result/content/0/text→JSON/data/30</t>
  </si>
  <si>
    <t>989737946989</t>
  </si>
  <si>
    <t>跨境热销爆款印花化妆包旅行化妆品便携收纳包女式手拿拉链洗漱袋</t>
  </si>
  <si>
    <t>https://detail.1688.com/offer/989737946989.html</t>
  </si>
  <si>
    <t>evidence/2026-09-11-raw-observations.json#/queries/5/result/content/0/text→JSON/data/31</t>
  </si>
  <si>
    <t>929089321169</t>
  </si>
  <si>
    <t>2025新款简约化妆包女ins高级感旅行出差收纳包便携大容量洗漱包</t>
  </si>
  <si>
    <t>https://detail.1688.com/offer/929089321169.html</t>
  </si>
  <si>
    <t>evidence/2026-09-11-raw-observations.json#/queries/5/result/content/0/text→JSON/data/32</t>
  </si>
  <si>
    <t>731450184077</t>
  </si>
  <si>
    <t>衍缝毛巾布化妆包彩色系便携护肤品收纳包小清新毛绒化妆品拉链袋</t>
  </si>
  <si>
    <t>https://detail.1688.com/offer/731450184077.html</t>
  </si>
  <si>
    <t>evidence/2026-09-11-raw-observations.json#/queries/5/result/content/0/text→JSON/data/33</t>
  </si>
  <si>
    <t>742708765467</t>
  </si>
  <si>
    <t>亚马逊新款化妆包手提大容量收纳包外出便携旅行防水洗漱包 批发</t>
  </si>
  <si>
    <t>https://detail.1688.com/offer/742708765467.html</t>
  </si>
  <si>
    <t>evidence/2026-09-11-raw-observations.json#/queries/5/result/content/0/text→JSON/data/34</t>
  </si>
  <si>
    <t>784644435177</t>
  </si>
  <si>
    <t>化妆包大容量女2026新款便携化妆品收纳包旅行手提防水大号洗漱包</t>
  </si>
  <si>
    <t>https://detail.1688.com/offer/784644435177.html</t>
  </si>
  <si>
    <t>evidence/2026-09-11-raw-observations.json#/queries/5/result/content/0/text→JSON/data/35</t>
  </si>
  <si>
    <t>979925360309</t>
  </si>
  <si>
    <t>2025新款段布流苏拉链收纳袋超大容量首饰袋珠宝饰品包装化妆包</t>
  </si>
  <si>
    <t>https://detail.1688.com/offer/979925360309.html</t>
  </si>
  <si>
    <t>evidence/2026-09-11-raw-observations.json#/queries/5/result/content/0/text→JSON/data/36</t>
  </si>
  <si>
    <t>726342408056</t>
  </si>
  <si>
    <t>亚马逊速卖通化妆包帆布空白拉链袋收纳棉跨境便携式手拿洗漱包</t>
  </si>
  <si>
    <t>温州市连捷制袋有限公司</t>
  </si>
  <si>
    <t>https://detail.1688.com/offer/726342408056.html</t>
  </si>
  <si>
    <t>evidence/2026-09-11-raw-observations.json#/queries/5/result/content/0/text→JSON/data/37</t>
  </si>
  <si>
    <t>694467434499</t>
  </si>
  <si>
    <t>跨境化妆包大容量2026新款pu防水女手提旅行便携外出收纳包批发</t>
  </si>
  <si>
    <t>义乌市蔻诗箱包有限公司</t>
  </si>
  <si>
    <t>https://detail.1688.com/offer/694467434499.html</t>
  </si>
  <si>
    <t>evidence/2026-09-11-raw-observations.json#/queries/5/result/content/0/text→JSON/data/38</t>
  </si>
  <si>
    <t>860618811822</t>
  </si>
  <si>
    <t>新款网纱化妆包女便携式高端旅行洗漱收纳包大容量口红小型杂物包</t>
  </si>
  <si>
    <t>义乌市麦旺箱包有限公司</t>
  </si>
  <si>
    <t>https://detail.1688.com/offer/860618811822.html</t>
  </si>
  <si>
    <t>evidence/2026-09-11-raw-observations.json#/queries/5/result/content/0/text→JSON/data/39</t>
  </si>
  <si>
    <t>751792604841</t>
  </si>
  <si>
    <t>现货大型时尚化妆袋清除化妆袋案件旅行化妆包透明金拉链</t>
  </si>
  <si>
    <t>https://detail.1688.com/offer/751792604841.html</t>
  </si>
  <si>
    <t>evidence/2026-09-11-raw-observations.json#/queries/5/result/content/0/text→JSON/data/40</t>
  </si>
  <si>
    <t>957302731149</t>
  </si>
  <si>
    <t>跨境旅行简约化妆包拉链大容量便携收纳袋高级感洗漱包亚马逊定制</t>
  </si>
  <si>
    <t>https://detail.1688.com/offer/957302731149.html</t>
  </si>
  <si>
    <t>evidence/2026-09-11-raw-observations.json#/queries/5/result/content/0/text→JSON/data/41</t>
  </si>
  <si>
    <t>552394754910</t>
  </si>
  <si>
    <t>袜子包装袋饰品配件男女共用丝袜磨砂拉链袋口罩洗漱袋现货批发</t>
  </si>
  <si>
    <t>义乌市秋集包装制品有限公司</t>
  </si>
  <si>
    <t>https://detail.1688.com/offer/552394754910.html</t>
  </si>
  <si>
    <t>evidence/2026-09-11-raw-observations.json#/queries/5/result/content/0/text→JSON/data/42</t>
  </si>
  <si>
    <t>670391352066</t>
  </si>
  <si>
    <t>化妆包2025新款超火ins风大容量女便携旅行防水洗漱包品收纳袋盒</t>
  </si>
  <si>
    <t>https://detail.1688.com/offer/670391352066.html</t>
  </si>
  <si>
    <t>evidence/2026-09-11-raw-observations.json#/queries/5/result/content/0/text→JSON/data/43</t>
  </si>
  <si>
    <t>654958514990</t>
  </si>
  <si>
    <t>大容量简约化妆包女士高颜值小收纳包手提便携化妆刷包包定制logo</t>
  </si>
  <si>
    <t>广州深美皮具有限公司</t>
  </si>
  <si>
    <t>https://detail.1688.com/offer/654958514990.html</t>
  </si>
  <si>
    <t>evidence/2026-09-11-raw-observations.json#/queries/5/result/content/0/text→JSON/data/44</t>
  </si>
  <si>
    <t>950480565310</t>
  </si>
  <si>
    <t>迷你网纱化妆包简约手提便携式口红化妆刷收纳包女随身小收纳包</t>
  </si>
  <si>
    <t>https://detail.1688.com/offer/950480565310.html</t>
  </si>
  <si>
    <t>evidence/2026-09-11-raw-observations.json#/queries/5/result/content/0/text→JSON/data/45</t>
  </si>
  <si>
    <t>905224882870</t>
  </si>
  <si>
    <t>便携化妆包女随身高档防水口红包自动封口包旅游化妆品小众收纳包</t>
  </si>
  <si>
    <t>海口龙华挚城奕商贸行</t>
  </si>
  <si>
    <t>https://detail.1688.com/offer/905224882870.html</t>
  </si>
  <si>
    <t>evidence/2026-09-11-raw-observations.json#/queries/5/result/content/0/text→JSON/data/46</t>
  </si>
  <si>
    <t>914710633709</t>
  </si>
  <si>
    <t>新款网红小香风化妆包手提大容量便携旅行洗漱化妆收纳包厂家批发</t>
  </si>
  <si>
    <t>https://detail.1688.com/offer/914710633709.html</t>
  </si>
  <si>
    <t>evidence/2026-09-11-raw-observations.json#/queries/5/result/content/0/text→JSON/data/47</t>
  </si>
  <si>
    <t>983523900643</t>
  </si>
  <si>
    <t>跨境简约便携网格收纳包双层拉链化妆包便携旅行洗漱包化妆手拿包</t>
  </si>
  <si>
    <t>https://detail.1688.com/offer/983523900643.html</t>
  </si>
  <si>
    <t>evidence/2026-09-11-raw-observations.json#/queries/5/result/content/0/text→JSON/data/48</t>
  </si>
  <si>
    <t>657863073297</t>
  </si>
  <si>
    <t>简约纯色拉链洗漱收纳包方形防水便携整理包双面皮革旅行化妆包</t>
  </si>
  <si>
    <t>https://detail.1688.com/offer/657863073297.html</t>
  </si>
  <si>
    <t>evidence/2026-09-11-raw-observations.json#/queries/5/result/content/0/text→JSON/data/49</t>
  </si>
  <si>
    <t>956214419329</t>
  </si>
  <si>
    <t>跨境黑色网纱PET拉链袋洗漱口红彩妆旅行化妆袋小卡袋首饰收纳袋</t>
  </si>
  <si>
    <t>https://detail.1688.com/offer/956214419329.html</t>
  </si>
  <si>
    <t>evidence/2026-09-11-raw-observations.json#/queries/5/result/content/0/text→JSON/data/50</t>
  </si>
  <si>
    <t>718275962996</t>
  </si>
  <si>
    <t>化妆包女便携式收纳大容量时尚新款高级旅行化妆品防水洗漱收纳袋</t>
  </si>
  <si>
    <t>https://detail.1688.com/offer/718275962996.html</t>
  </si>
  <si>
    <t>evidence/2026-09-11-raw-observations.json#/queries/5/result/content/0/text→JSON/data/51</t>
  </si>
  <si>
    <t>938021565940</t>
  </si>
  <si>
    <t>简约小清新化妆包 可爱少女心蝴蝶结拉链化妆品收纳包 旅行便携包</t>
  </si>
  <si>
    <t>https://detail.1688.com/offer/938021565940.html</t>
  </si>
  <si>
    <t>evidence/2026-09-11-raw-observations.json#/queries/5/result/content/0/text→JSON/data/52</t>
  </si>
  <si>
    <t>602354103649</t>
  </si>
  <si>
    <t>网红化妆包大容量便携新款ins便捷化妆袋旅行洗漱包化妆品收纳包</t>
  </si>
  <si>
    <t>https://detail.1688.com/offer/602354103649.html</t>
  </si>
  <si>
    <t>evidence/2026-09-11-raw-observations.json#/queries/5/result/content/0/text→JSON/data/53</t>
  </si>
  <si>
    <t>777474433061</t>
  </si>
  <si>
    <t>跨境爆卖网纱化妆包小清新植绒花朵收纳包旅行干湿分离便携洗漱包</t>
  </si>
  <si>
    <t>https://detail.1688.com/offer/777474433061.html</t>
  </si>
  <si>
    <t>evidence/2026-09-11-raw-observations.json#/queries/5/result/content/0/text→JSON/data/54</t>
  </si>
  <si>
    <t>944207319657</t>
  </si>
  <si>
    <t>跨境热销泡泡纱化妆包手拿大容量洗漱包简约便携式拉链眉笔收纳包</t>
  </si>
  <si>
    <t>舞钢市博纳箱包有限公司</t>
  </si>
  <si>
    <t>https://detail.1688.com/offer/944207319657.html</t>
  </si>
  <si>
    <t>evidence/2026-09-11-raw-observations.json#/queries/5/result/content/0/text→JSON/data/55</t>
  </si>
  <si>
    <t>1011594711325</t>
  </si>
  <si>
    <t>迷你拉链小化妆袋网纱透明零钱包便携口红钥匙包卡片包透明收纳袋</t>
  </si>
  <si>
    <t>https://detail.1688.com/offer/1011594711325.html</t>
  </si>
  <si>
    <t>evidence/2026-09-11-raw-observations.json#/queries/5/result/content/0/text→JSON/data/56</t>
  </si>
  <si>
    <t>981935632493</t>
  </si>
  <si>
    <t>分区化妆包女大容量2025新款化妆品收纳包便携防水洗漱包化妆箱</t>
  </si>
  <si>
    <t>https://detail.1688.com/offer/981935632493.html</t>
  </si>
  <si>
    <t>evidence/2026-09-11-raw-observations.json#/queries/5/result/content/0/text→JSON/data/57</t>
  </si>
  <si>
    <t>930596509911</t>
  </si>
  <si>
    <t>【2025新款】网纱化妆包口红补妆简约女便携式迷你包内随身收纳袋</t>
  </si>
  <si>
    <t>https://detail.1688.com/offer/930596509911.html</t>
  </si>
  <si>
    <t>evidence/2026-09-11-raw-observations.json#/queries/5/result/content/0/text→JSON/data/58</t>
  </si>
  <si>
    <t>915132064865</t>
  </si>
  <si>
    <t>新款网红小香风化妆包手提化妆品大容量收纳包便携旅游化妆包</t>
  </si>
  <si>
    <t>https://detail.1688.com/offer/915132064865.html</t>
  </si>
  <si>
    <t>evidence/2026-09-11-raw-observations.json#/queries/5/result/content/0/text→JSON/data/59</t>
  </si>
  <si>
    <t>783177024647</t>
  </si>
  <si>
    <t>网纱化妆包大容量三层洗漱包双层收纳包旅行网纱包工具收纳盒便携</t>
  </si>
  <si>
    <t>https://detail.1688.com/offer/783177024647.html</t>
  </si>
  <si>
    <t>evidence/2026-09-11-raw-observations.json#/queries/5/result/content/0/text→JSON/data/60</t>
  </si>
  <si>
    <t>906541618065</t>
  </si>
  <si>
    <t>化妆包女2025新款便携化妆箱旅行化妆刷袋大容量化妆品收纳包高端</t>
  </si>
  <si>
    <t>https://detail.1688.com/offer/906541618065.html</t>
  </si>
  <si>
    <t>evidence/2026-09-11-raw-observations.json#/queries/5/result/content/0/text→JSON/data/61</t>
  </si>
  <si>
    <t>755679222143</t>
  </si>
  <si>
    <t>少女心大容量网纱化妆包便携收纳袋ins风跨境爆款</t>
  </si>
  <si>
    <t>义乌市彬义箱包厂</t>
  </si>
  <si>
    <t>https://detail.1688.com/offer/755679222143.html</t>
  </si>
  <si>
    <t>evidence/2026-09-11-raw-observations.json#/queries/5/result/content/0/text→JSON/data/62</t>
  </si>
  <si>
    <t>624394464528</t>
  </si>
  <si>
    <t>可拆分网纱化妆包便携大容量四合一随身折叠旅行化妆品收纳洗漱包</t>
  </si>
  <si>
    <t>https://detail.1688.com/offer/624394464528.html</t>
  </si>
  <si>
    <t>evidence/2026-09-11-raw-observations.json#/queries/5/result/content/0/text→JSON/data/63</t>
  </si>
  <si>
    <t>1017567618366</t>
  </si>
  <si>
    <t>亚马逊爆款硅胶旅行包美妆收纳包出门便携防水拉链防油小红书同款</t>
  </si>
  <si>
    <t>https://detail.1688.com/offer/1017567618366.html</t>
  </si>
  <si>
    <t>evidence/2026-09-11-raw-observations.json#/queries/5/result/content/0/text→JSON/data/64</t>
  </si>
  <si>
    <t>956898496472</t>
  </si>
  <si>
    <t>简约化妆包拉链大容量便携高级感2025新款旅行洗漱包女跨境亚马逊</t>
  </si>
  <si>
    <t>https://detail.1688.com/offer/956898496472.html</t>
  </si>
  <si>
    <t>evidence/2026-09-11-raw-observations.json#/queries/5/result/content/0/text→JSON/data/65</t>
  </si>
  <si>
    <t>704617424847</t>
  </si>
  <si>
    <t>灰色涤纶化妆拉链包纯色旅行收纳包防水化妆包男女适用洗漱包</t>
  </si>
  <si>
    <t>https://detail.1688.com/offer/704617424847.html</t>
  </si>
  <si>
    <t>evidence/2026-09-11-raw-observations.json#/queries/5/result/content/0/text→JSON/data/66</t>
  </si>
  <si>
    <t>964575413465</t>
  </si>
  <si>
    <t>化妆包2024新款高级感便携旅行手提式洗漱包大容量化妆品收纳包盒</t>
  </si>
  <si>
    <t>https://detail.1688.com/offer/964575413465.html</t>
  </si>
  <si>
    <t>evidence/2026-09-11-raw-observations.json#/queries/5/result/content/0/text→JSON/data/67</t>
  </si>
  <si>
    <t>711956048040</t>
  </si>
  <si>
    <t>便携式化妆包PU材质加厚防水收纳包拉链包美妆工具洗漱用品收纳包</t>
  </si>
  <si>
    <t>https://detail.1688.com/offer/711956048040.html</t>
  </si>
  <si>
    <t>evidence/2026-09-11-raw-observations.json#/queries/5/result/content/0/text→JSON/data/68</t>
  </si>
  <si>
    <t>859918642922</t>
  </si>
  <si>
    <t>厂家批发化妆包高颜值便携大容量收纳包旅行手提伴手礼化妆箱</t>
  </si>
  <si>
    <t>https://detail.1688.com/offer/859918642922.html</t>
  </si>
  <si>
    <t>evidence/2026-09-11-raw-observations.json#/queries/5/result/content/0/text→JSON/data/69</t>
  </si>
  <si>
    <t>866993159133</t>
  </si>
  <si>
    <t>多功能化妆包便携大容量旅行数据线包充电宝数码产品收纳包批发</t>
  </si>
  <si>
    <t>义乌市润卫电子商务有限公司</t>
  </si>
  <si>
    <t>https://detail.1688.com/offer/866993159133.html</t>
  </si>
  <si>
    <t>evidence/2026-09-11-raw-observations.json#/queries/5/result/content/0/text→JSON/data/70</t>
  </si>
  <si>
    <t>841104460066</t>
  </si>
  <si>
    <t>新款化妆包便携护肤品大容量枕头包设计旅行洗漱化妆品ins收纳包</t>
  </si>
  <si>
    <t>https://detail.1688.com/offer/841104460066.html</t>
  </si>
  <si>
    <t>evidence/2026-09-11-raw-observations.json#/queries/5/result/content/0/text→JSON/data/71</t>
  </si>
  <si>
    <t>810503259883</t>
  </si>
  <si>
    <t>新款网红小香风化妆包手提大容量收纳包便携化妆品旅游高级化妆包</t>
  </si>
  <si>
    <t>高安市格美箱包厂</t>
  </si>
  <si>
    <t>https://detail.1688.com/offer/810503259883.html</t>
  </si>
  <si>
    <t>evidence/2026-09-11-raw-observations.json#/queries/5/result/content/0/text→JSON/data/72</t>
  </si>
  <si>
    <t>789144564137</t>
  </si>
  <si>
    <t>新款网纱化妆包大容量旅行外出简约便携洗漱包双层手提化妆收纳袋</t>
  </si>
  <si>
    <t>https://detail.1688.com/offer/789144564137.html</t>
  </si>
  <si>
    <t>evidence/2026-09-11-raw-observations.json#/queries/5/result/content/0/text→JSON/data/73</t>
  </si>
  <si>
    <t>1013388262980</t>
  </si>
  <si>
    <t>化妆包便携外出通勤跨境手提枕头包大容量化妆包旅行出差收纳包女</t>
  </si>
  <si>
    <t>https://detail.1688.com/offer/1013388262980.html</t>
  </si>
  <si>
    <t>evidence/2026-09-11-raw-observations.json#/queries/5/result/content/0/text→JSON/data/74</t>
  </si>
  <si>
    <t>952252376751</t>
  </si>
  <si>
    <t>透明网纱便携大容量化妆品收纳包洗漱袋简约随身防水化妆包</t>
  </si>
  <si>
    <t>https://detail.1688.com/offer/952252376751.html</t>
  </si>
  <si>
    <t>evidence/2026-09-11-raw-observations.json#/queries/5/result/content/0/text→JSON/data/75</t>
  </si>
  <si>
    <t>594883643540</t>
  </si>
  <si>
    <t>厂价供应帆布笔袋拉链棉布化妆包零钱包铅笔文具收纳袋棉布收纳袋</t>
  </si>
  <si>
    <t>https://detail.1688.com/offer/594883643540.html</t>
  </si>
  <si>
    <t>evidence/2026-09-11-raw-observations.json#/queries/5/result/content/0/text→JSON/data/76</t>
  </si>
  <si>
    <t>848907277778</t>
  </si>
  <si>
    <t>新款洗水牛皮纸化妆包环保牛皮纸拉链包牛皮纸收纳包牛皮纸洗漱包</t>
  </si>
  <si>
    <t>https://detail.1688.com/offer/848907277778.html</t>
  </si>
  <si>
    <t>evidence/2026-09-11-raw-observations.json#/queries/5/result/content/0/text→JSON/data/77</t>
  </si>
  <si>
    <t>986081168246</t>
  </si>
  <si>
    <t>新款网红化妆包大容量手提便携防水收纳包袋出差旅行洗漱包高颜值</t>
  </si>
  <si>
    <t>https://detail.1688.com/offer/986081168246.html</t>
  </si>
  <si>
    <t>evidence/2026-09-11-raw-observations.json#/queries/5/result/content/0/text→JSON/data/78</t>
  </si>
  <si>
    <t>660653457432</t>
  </si>
  <si>
    <t>2026新款时尚创意 PU嘴型拉链化妆包 便捷硬壳化妆包大容量收纳包</t>
  </si>
  <si>
    <t>https://detail.1688.com/offer/660653457432.html</t>
  </si>
  <si>
    <t>evidence/2026-09-11-raw-observations.json#/queries/5/result/content/0/text→JSON/data/79</t>
  </si>
  <si>
    <t>726811793397</t>
  </si>
  <si>
    <t>跟妆师化妆包2023新款大容量高级感手提便携防水网红旅行收纳箱</t>
  </si>
  <si>
    <t>https://detail.1688.com/offer/726811793397.html</t>
  </si>
  <si>
    <t>evidence/2026-09-11-raw-observations.json#/queries/5/result/content/0/text→JSON/data/80</t>
  </si>
  <si>
    <t>921070812873</t>
  </si>
  <si>
    <t>爆款奶油风收纳袋便携手拎外出学生化妆包女通勤手提洗漱大容量</t>
  </si>
  <si>
    <t>https://detail.1688.com/offer/921070812873.html</t>
  </si>
  <si>
    <t>evidence/2026-09-11-raw-observations.json#/queries/5/result/content/0/text→JSON/data/81</t>
  </si>
  <si>
    <t>994226616361</t>
  </si>
  <si>
    <t>网纱化妆包女小号轻奢高级感旅行便携网格有隔层分区化妆品收纳包</t>
  </si>
  <si>
    <t>义乌市意荣家居用品有限公司</t>
  </si>
  <si>
    <t>https://detail.1688.com/offer/994226616361.html</t>
  </si>
  <si>
    <t>evidence/2026-09-11-raw-observations.json#/queries/5/result/content/0/text→JSON/data/82</t>
  </si>
  <si>
    <t>988015529607</t>
  </si>
  <si>
    <t>磨砂TPU迷你化妆小包高颜值简约拉链收纳袋旅行便携口红包零钱袋</t>
  </si>
  <si>
    <t>https://detail.1688.com/offer/988015529607.html</t>
  </si>
  <si>
    <t>evidence/2026-09-11-raw-observations.json#/queries/5/result/content/0/text→JSON/data/83</t>
  </si>
  <si>
    <t>920979590912</t>
  </si>
  <si>
    <t>网纱化妆包大容量三件套便携式洗漱包旅行可折叠多功能收纳手提包</t>
  </si>
  <si>
    <t>https://detail.1688.com/offer/920979590912.html</t>
  </si>
  <si>
    <t>evidence/2026-09-11-raw-observations.json#/queries/5/result/content/0/text→JSON/data/84</t>
  </si>
  <si>
    <t>1017974739666</t>
  </si>
  <si>
    <t>跨境新品网纱化妆包大容量高级感手提多功能分区旅行洗漱收纳包女</t>
  </si>
  <si>
    <t>https://detail.1688.com/offer/1017974739666.html</t>
  </si>
  <si>
    <t>evidence/2026-09-11-raw-observations.json#/queries/5/result/content/0/text→JSON/data/85</t>
  </si>
  <si>
    <t>1016619644219</t>
  </si>
  <si>
    <t>跨境新款化妆包亚马逊热卖教师化妆包手拿包洗漱包收纳杂物小布包</t>
  </si>
  <si>
    <t>https://detail.1688.com/offer/1016619644219.html</t>
  </si>
  <si>
    <t>evidence/2026-09-11-raw-observations.json#/queries/5/result/content/0/text→JSON/data/86</t>
  </si>
  <si>
    <t>756361184481</t>
  </si>
  <si>
    <t>便携女小化妆包随身网纱大容量收纳袋ins风超火收纳包化妆袋简约</t>
  </si>
  <si>
    <t>https://detail.1688.com/offer/756361184481.html</t>
  </si>
  <si>
    <t>evidence/2026-09-11-raw-observations.json#/queries/5/result/content/0/text→JSON/data/87</t>
  </si>
  <si>
    <t>926259713200</t>
  </si>
  <si>
    <t>化妆包化妆刷眼线笔收纳袋ins高级感小包便携大容量防水文具笔袋</t>
  </si>
  <si>
    <t>https://detail.1688.com/offer/926259713200.html</t>
  </si>
  <si>
    <t>evidence/2026-09-11-raw-observations.json#/queries/5/result/content/0/text→JSON/data/88</t>
  </si>
  <si>
    <t>691256918327</t>
  </si>
  <si>
    <t>网纱化妆包小号便携旅行随身黑透明大容量女口红化妆刷护肤收纳袋</t>
  </si>
  <si>
    <t>上饶市量大箱包有限公司</t>
  </si>
  <si>
    <t>https://detail.1688.com/offer/691256918327.html</t>
  </si>
  <si>
    <t>evidence/2026-09-11-raw-observations.json#/queries/5/result/content/0/text→JSON/data/89</t>
  </si>
  <si>
    <t>952653370171</t>
  </si>
  <si>
    <t>外贸出差旅游diy收纳包 拉链零钱口红卡帆布袋 耳机化妆包帆布包</t>
  </si>
  <si>
    <t>https://detail.1688.com/offer/952653370171.html</t>
  </si>
  <si>
    <t>evidence/2026-09-11-raw-observations.json#/queries/5/result/content/0/text→JSON/data/90</t>
  </si>
  <si>
    <t>789890256735</t>
  </si>
  <si>
    <t>化妆包女孩带拉链洗漱包旅行化妆品收纳袋便携式化妆刷收纳包</t>
  </si>
  <si>
    <t>东莞森扬盛科技有限公司</t>
  </si>
  <si>
    <t>https://detail.1688.com/offer/789890256735.html</t>
  </si>
  <si>
    <t>evidence/2026-09-11-raw-observations.json#/queries/5/result/content/0/text→JSON/data/91</t>
  </si>
  <si>
    <t>1035612155705</t>
  </si>
  <si>
    <t>https://detail.1688.com/offer/1035612155705.html</t>
  </si>
  <si>
    <t>evidence/2026-09-11-raw-observations.json#/queries/5/result/content/0/text→JSON/data/92</t>
  </si>
  <si>
    <t>859526844280</t>
  </si>
  <si>
    <t>【】爆款专柜化妆包DI家新款洗漱包迪手拿手拎包奥赠品包收纳</t>
  </si>
  <si>
    <t>https://detail.1688.com/offer/859526844280.html</t>
  </si>
  <si>
    <t>evidence/2026-09-11-raw-observations.json#/queries/5/result/content/0/text→JSON/data/93</t>
  </si>
  <si>
    <t>758422945955</t>
  </si>
  <si>
    <t>定制涤纶化妆拉链包纯色旅行收纳包防水化妆包男女用洗漱包可机洗</t>
  </si>
  <si>
    <t>https://detail.1688.com/offer/758422945955.html</t>
  </si>
  <si>
    <t>evidence/2026-09-11-raw-observations.json#/queries/5/result/content/0/text→JSON/data/94</t>
  </si>
  <si>
    <t>705359875539</t>
  </si>
  <si>
    <t>男女适用化妆包 防水旅行收纳包双拉链洗漱包手提PU化妆包</t>
  </si>
  <si>
    <t>https://detail.1688.com/offer/705359875539.html</t>
  </si>
  <si>
    <t>evidence/2026-09-11-raw-observations.json#/queries/5/result/content/0/text→JSON/data/95</t>
  </si>
  <si>
    <t>856394650851</t>
  </si>
  <si>
    <t>分格可立化妆包手提大容量女2025新款便携式护肤品桌面整理收纳袋</t>
  </si>
  <si>
    <t>https://detail.1688.com/offer/856394650851.html</t>
  </si>
  <si>
    <t>evidence/2026-09-11-raw-observations.json#/queries/5/result/content/0/text→JSON/data/96</t>
  </si>
  <si>
    <t>1039233628705</t>
  </si>
  <si>
    <t>小马撞色化妆包伴手礼防水大容量分区小房子手提旅行洗漱收纳包</t>
  </si>
  <si>
    <t>https://detail.1688.com/offer/1039233628705.html</t>
  </si>
  <si>
    <t>evidence/2026-09-11-raw-observations.json#/queries/5/result/content/0/text→JSON/data/97</t>
  </si>
  <si>
    <t>1035666017087</t>
  </si>
  <si>
    <t>跨境亚马逊拉链收纳包女式大容量化妆包便携式印花双面拉链洗漱袋</t>
  </si>
  <si>
    <t>https://detail.1688.com/offer/1035666017087.html</t>
  </si>
  <si>
    <t>evidence/2026-09-11-raw-observations.json#/queries/5/result/content/0/text→JSON/data/98</t>
  </si>
  <si>
    <t>1024421346785</t>
  </si>
  <si>
    <t>新中式化妆包女2026新款高端大容量化妆品收纳包便携式外出超火</t>
  </si>
  <si>
    <t>https://detail.1688.com/offer/1024421346785.html</t>
  </si>
  <si>
    <t>evidence/2026-09-11-raw-observations.json#/queries/5/result/content/0/text→JSON/data/99</t>
  </si>
  <si>
    <t>2026-09-11T13:50:09.354Z</t>
  </si>
  <si>
    <t>理线 魔术贴 扎带</t>
  </si>
  <si>
    <t>594370725177</t>
  </si>
  <si>
    <t>魔术贴理线带耳机充电源线数据线材收纳整理捆绑带魔术贴扎带自粘</t>
  </si>
  <si>
    <t>深圳市合众纺织品有限公司</t>
  </si>
  <si>
    <t>782663602081</t>
  </si>
  <si>
    <t>现货T型猫头魔术贴扎带电脑线电源线理线带尼龙背靠背魔术贴绑带</t>
  </si>
  <si>
    <t>https://detail.1688.com/offer/782663602081.html</t>
  </si>
  <si>
    <t>evidence/2026-09-11-raw-observations.json#/queries/6/result/content/0/text→JSON/data/1</t>
  </si>
  <si>
    <t>898637495203</t>
  </si>
  <si>
    <t>现货背靠背魔术贴扎带t型数据线收纳理线带彩色自粘魔术贴扎带</t>
  </si>
  <si>
    <t>深圳市莱森纺织品有限公司</t>
  </si>
  <si>
    <t>https://detail.1688.com/offer/898637495203.html</t>
  </si>
  <si>
    <t>evidence/2026-09-11-raw-observations.json#/queries/6/result/content/0/text→JSON/data/2</t>
  </si>
  <si>
    <t>972248453741</t>
  </si>
  <si>
    <t>t型猫头背靠背魔术贴粘扣扎带黑色数据线收纳松紧带ab尼龙捆绑</t>
  </si>
  <si>
    <t>深圳市云佳尚若纺织科技有限公司</t>
  </si>
  <si>
    <t>https://detail.1688.com/offer/972248453741.html</t>
  </si>
  <si>
    <t>evidence/2026-09-11-raw-observations.json#/queries/6/result/content/0/text→JSON/data/3</t>
  </si>
  <si>
    <t>950219398396</t>
  </si>
  <si>
    <t>猫头魔术贴扎带批发尼龙自粘背靠背魔术贴捆绑带电源数据线固定带</t>
  </si>
  <si>
    <t>https://detail.1688.com/offer/950219398396.html</t>
  </si>
  <si>
    <t>evidence/2026-09-11-raw-observations.json#/queries/6/result/content/0/text→JSON/data/4</t>
  </si>
  <si>
    <t>621718928073</t>
  </si>
  <si>
    <t>魔术贴扎带T型背靠背猫头魔术贴自粘束线收纳扎带魔术贴定制</t>
  </si>
  <si>
    <t>深圳市得利豪纺织品有限公司</t>
  </si>
  <si>
    <t>https://detail.1688.com/offer/621718928073.html</t>
  </si>
  <si>
    <t>evidence/2026-09-11-raw-observations.json#/queries/6/result/content/0/text→JSON/data/5</t>
  </si>
  <si>
    <t>843707715702</t>
  </si>
  <si>
    <t>背对背猫头魔术贴T型自粘理线带数据线电线捆绑扣扎带彩色束线带</t>
  </si>
  <si>
    <t>深圳市兴久特纺织品有限公司</t>
  </si>
  <si>
    <t>https://detail.1688.com/offer/843707715702.html</t>
  </si>
  <si>
    <t>evidence/2026-09-11-raw-observations.json#/queries/6/result/content/0/text→JSON/data/6</t>
  </si>
  <si>
    <t>661845927028</t>
  </si>
  <si>
    <t>T型猫头魔术贴背胶扎带多色数据线收纳松紧带ab面尼龙自粘捆绑带</t>
  </si>
  <si>
    <t>深圳市屹鑫纺织品有限公司</t>
  </si>
  <si>
    <t>https://detail.1688.com/offer/661845927028.html</t>
  </si>
  <si>
    <t>evidence/2026-09-11-raw-observations.json#/queries/6/result/content/0/text→JSON/data/7</t>
  </si>
  <si>
    <t>677489844661</t>
  </si>
  <si>
    <t>现货黑色魔术贴扎带 电源线电缆数据线收纳绑带 整理束线捆扎带</t>
  </si>
  <si>
    <t>佛山市顺德区仕达塑料制品有限公司</t>
  </si>
  <si>
    <t>https://detail.1688.com/offer/677489844661.html</t>
  </si>
  <si>
    <t>evidence/2026-09-11-raw-observations.json#/queries/6/result/content/0/text→JSON/data/8</t>
  </si>
  <si>
    <t>706353052041</t>
  </si>
  <si>
    <t>源头批发魔术贴 彩色尼龙猫头理线带数据线捆绑带水管T型魔术贴扎</t>
  </si>
  <si>
    <t>深圳市三合纺织品科技有限公司</t>
  </si>
  <si>
    <t>https://detail.1688.com/offer/706353052041.html</t>
  </si>
  <si>
    <t>evidence/2026-09-11-raw-observations.json#/queries/6/result/content/0/text→JSON/data/9</t>
  </si>
  <si>
    <t>729776340343</t>
  </si>
  <si>
    <t>魔术贴扎带尼龙自粘钩毛同体数据线理线绑器背靠背魔术贴植物绑带</t>
  </si>
  <si>
    <t>深圳市爱金纺织品有限公司</t>
  </si>
  <si>
    <t>https://detail.1688.com/offer/729776340343.html</t>
  </si>
  <si>
    <t>evidence/2026-09-11-raw-observations.json#/queries/6/result/content/0/text→JSON/data/10</t>
  </si>
  <si>
    <t>614749187263</t>
  </si>
  <si>
    <t>数据线收纳带彩色理线带背对背束线带背靠背粘扣捆绑带魔术贴扎带</t>
  </si>
  <si>
    <t>深圳市靓酷科技有限公司</t>
  </si>
  <si>
    <t>https://detail.1688.com/offer/614749187263.html</t>
  </si>
  <si>
    <t>evidence/2026-09-11-raw-observations.json#/queries/6/result/content/0/text→JSON/data/11</t>
  </si>
  <si>
    <t>695747962561</t>
  </si>
  <si>
    <t>背对背猫头魔术贴扎带数据线尼龙束线带双面自粘水滴状魔术贴绑带</t>
  </si>
  <si>
    <t>深圳市超力粘扣带有限公司</t>
  </si>
  <si>
    <t>https://detail.1688.com/offer/695747962561.html</t>
  </si>
  <si>
    <t>evidence/2026-09-11-raw-observations.json#/queries/6/result/content/0/text→JSON/data/12</t>
  </si>
  <si>
    <t>635315183873</t>
  </si>
  <si>
    <t>现货魔术贴扎带背靠背数据线自粘理线带 尼龙彩色魔术贴扎带</t>
  </si>
  <si>
    <t>https://detail.1688.com/offer/635315183873.html</t>
  </si>
  <si>
    <t>evidence/2026-09-11-raw-observations.json#/queries/6/result/content/0/text→JSON/data/13</t>
  </si>
  <si>
    <t>649290109478</t>
  </si>
  <si>
    <t>东莞市鸿信纺织有限公司</t>
  </si>
  <si>
    <t>https://detail.1688.com/offer/649290109478.html</t>
  </si>
  <si>
    <t>evidence/2026-09-11-raw-observations.json#/queries/6/result/content/0/text→JSON/data/14</t>
  </si>
  <si>
    <t>600879516345</t>
  </si>
  <si>
    <t>现货彩色魔术贴扎带电脑整理捆绑集绕线器数据线收纳理线带批发</t>
  </si>
  <si>
    <t>https://detail.1688.com/offer/600879516345.html</t>
  </si>
  <si>
    <t>evidence/2026-09-11-raw-observations.json#/queries/6/result/content/0/text→JSON/data/15</t>
  </si>
  <si>
    <t>520521508080</t>
  </si>
  <si>
    <t>T型魔术贴扎带电线收纳理线器猫头数据线绑带网线背靠背绑带批发</t>
  </si>
  <si>
    <t>深圳市新力源纺织品有限公司</t>
  </si>
  <si>
    <t>https://detail.1688.com/offer/520521508080.html</t>
  </si>
  <si>
    <t>evidence/2026-09-11-raw-observations.json#/queries/6/result/content/0/text→JSON/data/16</t>
  </si>
  <si>
    <t>620024431678</t>
  </si>
  <si>
    <t>P型魔术贴扎带绑线带带孔理线电脑电源线数据线粘扣固定捆扎带</t>
  </si>
  <si>
    <t>https://detail.1688.com/offer/620024431678.html</t>
  </si>
  <si>
    <t>evidence/2026-09-11-raw-observations.json#/queries/6/result/content/0/text→JSON/data/17</t>
  </si>
  <si>
    <t>775465194310</t>
  </si>
  <si>
    <t>厂家直销自扎带数据线随意背靠背魔术贴捆绑带绕线整理收纳粘扣</t>
  </si>
  <si>
    <t>深圳市新德昌织造有限公司</t>
  </si>
  <si>
    <t>https://detail.1688.com/offer/775465194310.html</t>
  </si>
  <si>
    <t>evidence/2026-09-11-raw-observations.json#/queries/6/result/content/0/text→JSON/data/18</t>
  </si>
  <si>
    <t>681852040865</t>
  </si>
  <si>
    <t>背靠背魔术贴扎带彩色自粘数据线收纳理线带尼龙魔术贴植物捆绑带</t>
  </si>
  <si>
    <t>深圳市百力和纺织品有限公司</t>
  </si>
  <si>
    <t>https://detail.1688.com/offer/681852040865.html</t>
  </si>
  <si>
    <t>evidence/2026-09-11-raw-observations.json#/queries/6/result/content/0/text→JSON/data/19</t>
  </si>
  <si>
    <t>665440113316</t>
  </si>
  <si>
    <t>魔术贴扎带数据线理线器收纳捆绑绳电脑线固定电视线捆绑带可裁剪</t>
  </si>
  <si>
    <t>深圳市特达顺纺织品有限公司</t>
  </si>
  <si>
    <t>https://detail.1688.com/offer/665440113316.html</t>
  </si>
  <si>
    <t>evidence/2026-09-11-raw-observations.json#/queries/6/result/content/0/text→JSON/data/20</t>
  </si>
  <si>
    <t>618297104127</t>
  </si>
  <si>
    <t>现货随意剪背对背魔术贴束线带背靠背扎带理线带数据线缆捆绑带</t>
  </si>
  <si>
    <t>深圳市鼎亿粘扣带有限公司</t>
  </si>
  <si>
    <t>https://detail.1688.com/offer/618297104127.html</t>
  </si>
  <si>
    <t>evidence/2026-09-11-raw-observations.json#/queries/6/result/content/0/text→JSON/data/21</t>
  </si>
  <si>
    <t>602098905738</t>
  </si>
  <si>
    <t>魔术贴扎带 理线带 尼龙涤纶带 反扣捆绑带 电源线可调节批发现货</t>
  </si>
  <si>
    <t>义乌市彩鹿包装厂</t>
  </si>
  <si>
    <t>https://detail.1688.com/offer/602098905738.html</t>
  </si>
  <si>
    <t>evidence/2026-09-11-raw-observations.json#/queries/6/result/content/0/text→JSON/data/22</t>
  </si>
  <si>
    <t>640488584832</t>
  </si>
  <si>
    <t>背对背魔术贴尼龙束线带理线带 数据线缆扎带同体魔术贴5米卷装</t>
  </si>
  <si>
    <t>深圳市三美粘扣带有限公司</t>
  </si>
  <si>
    <t>https://detail.1688.com/offer/640488584832.html</t>
  </si>
  <si>
    <t>evidence/2026-09-11-raw-observations.json#/queries/6/result/content/0/text→JSON/data/23</t>
  </si>
  <si>
    <t>586456982600</t>
  </si>
  <si>
    <t>背靠背魔术贴扎带 粘扣带理线带货物捆无人机绑带反扣魔术贴扎带</t>
  </si>
  <si>
    <t>深圳市华兴隆纺织品有限公司</t>
  </si>
  <si>
    <t>https://detail.1688.com/offer/586456982600.html</t>
  </si>
  <si>
    <t>evidence/2026-09-11-raw-observations.json#/queries/6/result/content/0/text→JSON/data/24</t>
  </si>
  <si>
    <t>976102308693</t>
  </si>
  <si>
    <t>彩色魔术贴扎带T型猫型数据线收纳理线带勾毛同体背靠背魔术贴</t>
  </si>
  <si>
    <t>https://detail.1688.com/offer/976102308693.html</t>
  </si>
  <si>
    <t>evidence/2026-09-11-raw-observations.json#/queries/6/result/content/0/text→JSON/data/25</t>
  </si>
  <si>
    <t>914725598867</t>
  </si>
  <si>
    <t>子母魔术贴绑带现货扎带捆绑带电线收纳无人机电池反扣魔术贴绑带</t>
  </si>
  <si>
    <t>深圳合兴顺纺织制品有限公司</t>
  </si>
  <si>
    <t>https://detail.1688.com/offer/914725598867.html</t>
  </si>
  <si>
    <t>evidence/2026-09-11-raw-observations.json#/queries/6/result/content/0/text→JSON/data/26</t>
  </si>
  <si>
    <t>630494330818</t>
  </si>
  <si>
    <t>自粘魔术贴扎带背靠背绑带针/T型数据线电缆尼龙理线带彩色捆绑带</t>
  </si>
  <si>
    <t>永信纺织品（深圳）有限公司</t>
  </si>
  <si>
    <t>https://detail.1688.com/offer/630494330818.html</t>
  </si>
  <si>
    <t>evidence/2026-09-11-raw-observations.json#/queries/6/result/content/0/text→JSON/data/27</t>
  </si>
  <si>
    <t>740291005602</t>
  </si>
  <si>
    <t>包胶拉紧器捆绑带</t>
  </si>
  <si>
    <t>临沂沂河新区易安五金工具厂</t>
  </si>
  <si>
    <t>https://detail.1688.com/offer/740291005602.html</t>
  </si>
  <si>
    <t>evidence/2026-09-11-raw-observations.json#/queries/6/result/content/0/text→JSON/data/28</t>
  </si>
  <si>
    <t>824341274767</t>
  </si>
  <si>
    <t>理线器绑线带魔术贴数据线收纳整理充电耳机线束绕线自粘扎带粘扣</t>
  </si>
  <si>
    <t>义乌市三信纺织有限公司</t>
  </si>
  <si>
    <t>https://detail.1688.com/offer/824341274767.html</t>
  </si>
  <si>
    <t>evidence/2026-09-11-raw-observations.json#/queries/6/result/content/0/text→JSON/data/29</t>
  </si>
  <si>
    <t>815992553701</t>
  </si>
  <si>
    <t>猫型魔术贴捆绑带批发T型魔术贴扎带背靠背电线绑带耳机线束收纳</t>
  </si>
  <si>
    <t>深圳市三益粘扣带有限公司</t>
  </si>
  <si>
    <t>https://detail.1688.com/offer/815992553701.html</t>
  </si>
  <si>
    <t>evidence/2026-09-11-raw-observations.json#/queries/6/result/content/0/text→JSON/data/30</t>
  </si>
  <si>
    <t>897397411124</t>
  </si>
  <si>
    <t>魔术贴扎带T型猫头数据线收纳理线带尼龙背靠背捆绑带自粘绑带</t>
  </si>
  <si>
    <t>https://detail.1688.com/offer/897397411124.html</t>
  </si>
  <si>
    <t>evidence/2026-09-11-raw-observations.json#/queries/6/result/content/0/text→JSON/data/31</t>
  </si>
  <si>
    <t>915698582479</t>
  </si>
  <si>
    <t>带扣魔术贴绑带捆绑家用电器电线电缆捆扎数据线充电线收纳捆绑带</t>
  </si>
  <si>
    <t>https://detail.1688.com/offer/915698582479.html</t>
  </si>
  <si>
    <t>evidence/2026-09-11-raw-observations.json#/queries/6/result/content/0/text→JSON/data/32</t>
  </si>
  <si>
    <t>evidence/2026-09-11-raw-observations.json#/queries/6/result/content/0/text→JSON/data/33</t>
  </si>
  <si>
    <t>732648039380</t>
  </si>
  <si>
    <t>日系束线带客厅办公室数据线收纳整理神器便捷式绕线器魔术贴扎带</t>
  </si>
  <si>
    <t>东阳市木源日用品有限公司</t>
  </si>
  <si>
    <t>https://detail.1688.com/offer/732648039380.html</t>
  </si>
  <si>
    <t>evidence/2026-09-11-raw-observations.json#/queries/6/result/content/0/text→JSON/data/34</t>
  </si>
  <si>
    <t>894600319573</t>
  </si>
  <si>
    <t>魔术贴扎带数据线收纳神器桌面电脑电线固定束线网线固定器理线器</t>
  </si>
  <si>
    <t>义乌市颜芮日用品有限公司</t>
  </si>
  <si>
    <t>https://detail.1688.com/offer/894600319573.html</t>
  </si>
  <si>
    <t>evidence/2026-09-11-raw-observations.json#/queries/6/result/content/0/text→JSON/data/35</t>
  </si>
  <si>
    <t>748178021111</t>
  </si>
  <si>
    <t>FaSoLa魔术贴扎带理线器数据线充电线收纳电脑电线束线带固定绑带</t>
  </si>
  <si>
    <t>https://detail.1688.com/offer/748178021111.html</t>
  </si>
  <si>
    <t>evidence/2026-09-11-raw-observations.json#/queries/6/result/content/0/text→JSON/data/36</t>
  </si>
  <si>
    <t>887886911448</t>
  </si>
  <si>
    <t>数据线收纳电脑集束线带电线固定理线器桌面整理魔术贴扎带</t>
  </si>
  <si>
    <t>义乌市车驰电子商务商行</t>
  </si>
  <si>
    <t>https://detail.1688.com/offer/887886911448.html</t>
  </si>
  <si>
    <t>evidence/2026-09-11-raw-observations.json#/queries/6/result/content/0/text→JSON/data/37</t>
  </si>
  <si>
    <t>802441900728</t>
  </si>
  <si>
    <t>猫头魔术贴扎带电线收纳理线器电脑数据线电源网线绑线带粘扣</t>
  </si>
  <si>
    <t>义乌市艾嘉纸制品厂</t>
  </si>
  <si>
    <t>https://detail.1688.com/offer/802441900728.html</t>
  </si>
  <si>
    <t>evidence/2026-09-11-raw-observations.json#/queries/6/result/content/0/text→JSON/data/38</t>
  </si>
  <si>
    <t>971107267862</t>
  </si>
  <si>
    <t>背靠背魔术贴扎带反扣束线猫型尼龙理线带数据线收纳理线绑带粘扣</t>
  </si>
  <si>
    <t>深圳市隆成纺织品有限公司</t>
  </si>
  <si>
    <t>https://detail.1688.com/offer/971107267862.html</t>
  </si>
  <si>
    <t>evidence/2026-09-11-raw-observations.json#/queries/6/result/content/0/text→JSON/data/39</t>
  </si>
  <si>
    <t>971496161438</t>
  </si>
  <si>
    <t>定制 魔术贴T型猫头数据线收纳理线带尼龙自粘绑带背靠背捆绑带</t>
  </si>
  <si>
    <t>深圳市新富成科技有限公司</t>
  </si>
  <si>
    <t>https://detail.1688.com/offer/971496161438.html</t>
  </si>
  <si>
    <t>evidence/2026-09-11-raw-observations.json#/queries/6/result/content/0/text→JSON/data/40</t>
  </si>
  <si>
    <t>826652997453</t>
  </si>
  <si>
    <t>50条魔术贴理线带自粘扎带数据线捆绑带线材整理绕线器收纳带</t>
  </si>
  <si>
    <t>滨城区三米服装辅料商行</t>
  </si>
  <si>
    <t>https://detail.1688.com/offer/826652997453.html</t>
  </si>
  <si>
    <t>evidence/2026-09-11-raw-observations.json#/queries/6/result/content/0/text→JSON/data/41</t>
  </si>
  <si>
    <t>969345834694</t>
  </si>
  <si>
    <t>背靠背魔术贴整卷充电线数据线收纳捆绑勾毛一体扎带线缆收纳</t>
  </si>
  <si>
    <t>https://detail.1688.com/offer/969345834694.html</t>
  </si>
  <si>
    <t>evidence/2026-09-11-raw-observations.json#/queries/6/result/content/0/text→JSON/data/42</t>
  </si>
  <si>
    <t>921057883822</t>
  </si>
  <si>
    <t>https://detail.1688.com/offer/921057883822.html</t>
  </si>
  <si>
    <t>evidence/2026-09-11-raw-observations.json#/queries/6/result/content/0/text→JSON/data/43</t>
  </si>
  <si>
    <t>evidence/2026-09-11-raw-observations.json#/queries/6/result/content/0/text→JSON/data/44</t>
  </si>
  <si>
    <t>671013459323</t>
  </si>
  <si>
    <t>黑色反扣自粘魔术贴扎带电源数据线收纳整理固定捆绑束线绑带仕达</t>
  </si>
  <si>
    <t>https://detail.1688.com/offer/671013459323.html</t>
  </si>
  <si>
    <t>evidence/2026-09-11-raw-observations.json#/queries/6/result/content/0/text→JSON/data/45</t>
  </si>
  <si>
    <t>606194593817</t>
  </si>
  <si>
    <t>魔术贴背靠背扎带双面自粘尼龙绑带数据线整理捆绑带批发</t>
  </si>
  <si>
    <t>深圳市奈思特织造有限公司</t>
  </si>
  <si>
    <t>https://detail.1688.com/offer/606194593817.html</t>
  </si>
  <si>
    <t>evidence/2026-09-11-raw-observations.json#/queries/6/result/content/0/text→JSON/data/46</t>
  </si>
  <si>
    <t>706678788165</t>
  </si>
  <si>
    <t>义乌市芸茄电子商务有限公司</t>
  </si>
  <si>
    <t>https://detail.1688.com/offer/706678788165.html</t>
  </si>
  <si>
    <t>evidence/2026-09-11-raw-observations.json#/queries/6/result/content/0/text→JSON/data/47</t>
  </si>
  <si>
    <t>970796516633</t>
  </si>
  <si>
    <t>理线器魔术贴线路收纳整理神器数据线捆绑网线走线卡扣电线固定器</t>
  </si>
  <si>
    <t>https://detail.1688.com/offer/970796516633.html</t>
  </si>
  <si>
    <t>evidence/2026-09-11-raw-observations.json#/queries/6/result/content/0/text→JSON/data/48</t>
  </si>
  <si>
    <t>638512032936</t>
  </si>
  <si>
    <t>魔术贴扎带尼龙自粘数据线收纳理线带背靠背手撕魔术条贴植物绑带</t>
  </si>
  <si>
    <t>深圳市东三信纺织品有限公司</t>
  </si>
  <si>
    <t>https://detail.1688.com/offer/638512032936.html</t>
  </si>
  <si>
    <t>evidence/2026-09-11-raw-observations.json#/queries/6/result/content/0/text→JSON/data/49</t>
  </si>
  <si>
    <t>638464737370</t>
  </si>
  <si>
    <t>p型魔术贴扎带批发数据线收纳带排插理线带防滑固定魔术贴绑带</t>
  </si>
  <si>
    <t>https://detail.1688.com/offer/638464737370.html</t>
  </si>
  <si>
    <t>evidence/2026-09-11-raw-observations.json#/queries/6/result/content/0/text→JSON/data/50</t>
  </si>
  <si>
    <t>774275333024</t>
  </si>
  <si>
    <t>现货魔术贴水滴状绑带针型魔术贴扎带背靠背魔术贴束线带彩色尼龙</t>
  </si>
  <si>
    <t>https://detail.1688.com/offer/774275333024.html</t>
  </si>
  <si>
    <t>evidence/2026-09-11-raw-observations.json#/queries/6/result/content/0/text→JSON/data/51</t>
  </si>
  <si>
    <t>675185115939</t>
  </si>
  <si>
    <t>尼龙自粘捆绑绑线带数据线背靠背植物绑带勾毛一体粘贴魔术贴扎带</t>
  </si>
  <si>
    <t>东阳市锦锋纺织有限公司</t>
  </si>
  <si>
    <t>https://detail.1688.com/offer/675185115939.html</t>
  </si>
  <si>
    <t>evidence/2026-09-11-raw-observations.json#/queries/6/result/content/0/text→JSON/data/52</t>
  </si>
  <si>
    <t>735501303591</t>
  </si>
  <si>
    <t>自粘魔术贴批发数据线扎带植物固定绑带勾毛一体扎带背靠背魔术贴</t>
  </si>
  <si>
    <t>深圳市锦洋纺织品有限公司</t>
  </si>
  <si>
    <t>https://detail.1688.com/offer/735501303591.html</t>
  </si>
  <si>
    <t>evidence/2026-09-11-raw-observations.json#/queries/6/result/content/0/text→JSON/data/53</t>
  </si>
  <si>
    <t>973617200177</t>
  </si>
  <si>
    <t>弹力魔术贴厂家批发宠物袜扎带防脱落魔术贴数据线绑带魔术贴现货</t>
  </si>
  <si>
    <t>广东美吉星纺织有限公司</t>
  </si>
  <si>
    <t>https://detail.1688.com/offer/973617200177.html</t>
  </si>
  <si>
    <t>evidence/2026-09-11-raw-observations.json#/queries/6/result/content/0/text→JSON/data/54</t>
  </si>
  <si>
    <t>846360181014</t>
  </si>
  <si>
    <t>活扣扎带超长尼龙扎带可拆卸调节可重复使用扎带加宽彩色塑料扎带</t>
  </si>
  <si>
    <t>温州友佳配线器材有限公司</t>
  </si>
  <si>
    <t>https://detail.1688.com/offer/846360181014.html</t>
  </si>
  <si>
    <t>evidence/2026-09-11-raw-observations.json#/queries/6/result/content/0/text→JSON/data/55</t>
  </si>
  <si>
    <t>930428745795</t>
  </si>
  <si>
    <t>可松紧重复使用扎带活扣扎带黑色白色红色黄色蓝色绿色六色混装</t>
  </si>
  <si>
    <t>安徽汇宇塑料制品有限公司</t>
  </si>
  <si>
    <t>https://detail.1688.com/offer/930428745795.html</t>
  </si>
  <si>
    <t>evidence/2026-09-11-raw-observations.json#/queries/6/result/content/0/text→JSON/data/56</t>
  </si>
  <si>
    <t>evidence/2026-09-11-raw-observations.json#/queries/6/result/content/0/text→JSON/data/57</t>
  </si>
  <si>
    <t>912644341754</t>
  </si>
  <si>
    <t>高粘魔术贴绑线带背胶小包装帖理线器数据线收纳神器整理固定</t>
  </si>
  <si>
    <t>东莞市云韧科技有限公司</t>
  </si>
  <si>
    <t>https://detail.1688.com/offer/912644341754.html</t>
  </si>
  <si>
    <t>evidence/2026-09-11-raw-observations.json#/queries/6/result/content/0/text→JSON/data/58</t>
  </si>
  <si>
    <t>778282615276</t>
  </si>
  <si>
    <t>不抓毛双面绒P型魔术贴扎带亲肤不伤线数据线电源线魔术贴绑线带</t>
  </si>
  <si>
    <t>https://detail.1688.com/offer/778282615276.html</t>
  </si>
  <si>
    <t>evidence/2026-09-11-raw-observations.json#/queries/6/result/content/0/text→JSON/data/59</t>
  </si>
  <si>
    <t>694986724745</t>
  </si>
  <si>
    <t>现货T型猫头背靠背魔术贴扎带数据线彩色双面自粘尼龙魔术贴绑带</t>
  </si>
  <si>
    <t>https://detail.1688.com/offer/694986724745.html</t>
  </si>
  <si>
    <t>evidence/2026-09-11-raw-observations.json#/queries/6/result/content/0/text→JSON/data/60</t>
  </si>
  <si>
    <t>777097211478</t>
  </si>
  <si>
    <t>数据线扎带圆头彩色背靠背自粘理线带可印LOGO收纳尼龙魔术贴扎带</t>
  </si>
  <si>
    <t>https://detail.1688.com/offer/777097211478.html</t>
  </si>
  <si>
    <t>evidence/2026-09-11-raw-observations.json#/queries/6/result/content/0/text→JSON/data/61</t>
  </si>
  <si>
    <t>654209514818</t>
  </si>
  <si>
    <t>10条20条30条50条装T型魔术贴扎带尼龙理线背靠背粘扣绑带</t>
  </si>
  <si>
    <t>深圳市协昌纺织制品有限公司</t>
  </si>
  <si>
    <t>https://detail.1688.com/offer/654209514818.html</t>
  </si>
  <si>
    <t>evidence/2026-09-11-raw-observations.json#/queries/6/result/content/0/text→JSON/data/62</t>
  </si>
  <si>
    <t>711356173151</t>
  </si>
  <si>
    <t>猫型背靠背魔术贴扎带数据线理线带魔术贴绑带粘扣带 可重复使用</t>
  </si>
  <si>
    <t>泉州鑫之威织造实业有限公司</t>
  </si>
  <si>
    <t>https://detail.1688.com/offer/711356173151.html</t>
  </si>
  <si>
    <t>evidence/2026-09-11-raw-observations.json#/queries/6/result/content/0/text→JSON/data/63</t>
  </si>
  <si>
    <t>743196332518</t>
  </si>
  <si>
    <t>定制魔术贴扎带批发粘扣带捆绑带数据线收纳带束线带带自粘式</t>
  </si>
  <si>
    <t>https://detail.1688.com/offer/743196332518.html</t>
  </si>
  <si>
    <t>evidence/2026-09-11-raw-observations.json#/queries/6/result/content/0/text→JSON/data/64</t>
  </si>
  <si>
    <t>710147118483</t>
  </si>
  <si>
    <t>定制带扣魔术贴绑带扎带电池电线尼龙自粘彩色反扣魔术贴捆绑带</t>
  </si>
  <si>
    <t>深圳市易和兴纺织品有限公司</t>
  </si>
  <si>
    <t>https://detail.1688.com/offer/710147118483.html</t>
  </si>
  <si>
    <t>evidence/2026-09-11-raw-observations.json#/queries/6/result/content/0/text→JSON/data/65</t>
  </si>
  <si>
    <t>1004247214665</t>
  </si>
  <si>
    <t>挺好尼龙魔术贴条理带勾毛一体绑带可书写电缆标签魔术贴</t>
  </si>
  <si>
    <t>https://detail.1688.com/offer/1004247214665.html</t>
  </si>
  <si>
    <t>evidence/2026-09-11-raw-observations.json#/queries/6/result/content/0/text→JSON/data/66</t>
  </si>
  <si>
    <t>794761990582</t>
  </si>
  <si>
    <t>厂家直销数据线理线带背对背尼龙魔术贴植物绑带魔术贴扎带粘扣带</t>
  </si>
  <si>
    <t>https://detail.1688.com/offer/794761990582.html</t>
  </si>
  <si>
    <t>evidence/2026-09-11-raw-observations.json#/queries/6/result/content/0/text→JSON/data/67</t>
  </si>
  <si>
    <t>596504186844</t>
  </si>
  <si>
    <t>背靠背魔术贴扎带数据线绑带勾毛一体魔术扎带自粘式充电线理线带</t>
  </si>
  <si>
    <t>https://detail.1688.com/offer/596504186844.html</t>
  </si>
  <si>
    <t>evidence/2026-09-11-raw-observations.json#/queries/6/result/content/0/text→JSON/data/68</t>
  </si>
  <si>
    <t>990511237795</t>
  </si>
  <si>
    <t>彩色反扣魔术贴绑带医疗魔术贴绑带线材收纳魔术贴扎带黑色粘扣带</t>
  </si>
  <si>
    <t>深圳市长嘉纺织品有限公司</t>
  </si>
  <si>
    <t>https://detail.1688.com/offer/990511237795.html</t>
  </si>
  <si>
    <t>evidence/2026-09-11-raw-observations.json#/queries/6/result/content/0/text→JSON/data/69</t>
  </si>
  <si>
    <t>968603080790</t>
  </si>
  <si>
    <t>收纳魔术贴弹力绑带耳机数据线扎带理线器捆绑绳扣彩色束线理线带</t>
  </si>
  <si>
    <t>https://detail.1688.com/offer/968603080790.html</t>
  </si>
  <si>
    <t>evidence/2026-09-11-raw-observations.json#/queries/6/result/content/0/text→JSON/data/70</t>
  </si>
  <si>
    <t>971237572713</t>
  </si>
  <si>
    <t>T型猫头魔术贴背胶扎带多色数据线收纳松紧带ab面尼龙自 粘捆绑带</t>
  </si>
  <si>
    <t>深圳市凯富格纺织品有限公司</t>
  </si>
  <si>
    <t>https://detail.1688.com/offer/971237572713.html</t>
  </si>
  <si>
    <t>evidence/2026-09-11-raw-observations.json#/queries/6/result/content/0/text→JSON/data/71</t>
  </si>
  <si>
    <t>925330941215</t>
  </si>
  <si>
    <t>魔术贴扎线带数据线充电线电脑线收纳固定束线器家用理线走线专用</t>
  </si>
  <si>
    <t>https://detail.1688.com/offer/925330941215.html</t>
  </si>
  <si>
    <t>evidence/2026-09-11-raw-observations.json#/queries/6/result/content/0/text→JSON/data/72</t>
  </si>
  <si>
    <t>672259107944</t>
  </si>
  <si>
    <t>背对背猫头魔术贴绑带自粘扣带理线带数据线充电线尼龙束线带扎带</t>
  </si>
  <si>
    <t>https://detail.1688.com/offer/672259107944.html</t>
  </si>
  <si>
    <t>evidence/2026-09-11-raw-observations.json#/queries/6/result/content/0/text→JSON/data/73</t>
  </si>
  <si>
    <t>833805166854</t>
  </si>
  <si>
    <t>背靠背魔术贴扎带尼龙自粘勾毛一体园林植物数据线圣诞节捆绑带</t>
  </si>
  <si>
    <t>https://detail.1688.com/offer/833805166854.html</t>
  </si>
  <si>
    <t>evidence/2026-09-11-raw-observations.json#/queries/6/result/content/0/text→JSON/data/74</t>
  </si>
  <si>
    <t>717743375695</t>
  </si>
  <si>
    <t>背胶魔术贴扎带粘钩理线带自粘固定器DIY理线神器自粘式粘扣</t>
  </si>
  <si>
    <t>https://detail.1688.com/offer/717743375695.html</t>
  </si>
  <si>
    <t>evidence/2026-09-11-raw-observations.json#/queries/6/result/content/0/text→JSON/data/75</t>
  </si>
  <si>
    <t>788015970433</t>
  </si>
  <si>
    <t>工厂定制魔术贴重物绑带电线收纳固定重力绑带挂钩式重型储存绑带</t>
  </si>
  <si>
    <t>https://detail.1688.com/offer/788015970433.html</t>
  </si>
  <si>
    <t>evidence/2026-09-11-raw-observations.json#/queries/6/result/content/0/text→JSON/data/76</t>
  </si>
  <si>
    <t>682557566294</t>
  </si>
  <si>
    <t>背靠背魔术贴扎带电线数据线扎带背对背魔术贴绑带自粘理线带</t>
  </si>
  <si>
    <t>https://detail.1688.com/offer/682557566294.html</t>
  </si>
  <si>
    <t>evidence/2026-09-11-raw-observations.json#/queries/6/result/content/0/text→JSON/data/77</t>
  </si>
  <si>
    <t>908914198119</t>
  </si>
  <si>
    <t>魔术贴理线扎带批发束线绑电线收纳固定器理线器数据线束线器跨境</t>
  </si>
  <si>
    <t>https://detail.1688.com/offer/908914198119.html</t>
  </si>
  <si>
    <t>evidence/2026-09-11-raw-observations.json#/queries/6/result/content/0/text→JSON/data/78</t>
  </si>
  <si>
    <t>888527617616</t>
  </si>
  <si>
    <t>https://detail.1688.com/offer/888527617616.html</t>
  </si>
  <si>
    <t>evidence/2026-09-11-raw-observations.json#/queries/6/result/content/0/text→JSON/data/79</t>
  </si>
  <si>
    <t>911757882286</t>
  </si>
  <si>
    <t>猫头T型魔术贴扎带彩色可印ogo数据电源线收纳自粘尼龙魔术贴绑带</t>
  </si>
  <si>
    <t>https://detail.1688.com/offer/911757882286.html</t>
  </si>
  <si>
    <t>evidence/2026-09-11-raw-observations.json#/queries/6/result/content/0/text→JSON/data/80</t>
  </si>
  <si>
    <t>39911537251</t>
  </si>
  <si>
    <t>魔术贴扎带批发背靠背魔术贴粘扣捆绑带数据线扎带收纳带束线带</t>
  </si>
  <si>
    <t>https://detail.1688.com/offer/39911537251.html</t>
  </si>
  <si>
    <t>evidence/2026-09-11-raw-observations.json#/queries/6/result/content/0/text→JSON/data/81</t>
  </si>
  <si>
    <t>728685085445</t>
  </si>
  <si>
    <t>背靠背魔术贴植物绑带魔术贴扎带尼龙自粘钩毛同体数据线理线绑器</t>
  </si>
  <si>
    <t>https://detail.1688.com/offer/728685085445.html</t>
  </si>
  <si>
    <t>evidence/2026-09-11-raw-observations.json#/queries/6/result/content/0/text→JSON/data/82</t>
  </si>
  <si>
    <t>954818321057</t>
  </si>
  <si>
    <t>魔术贴扎带束线数据线充电线收纳捆绑带绕线集线器整理线固定器牢</t>
  </si>
  <si>
    <t>https://detail.1688.com/offer/954818321057.html</t>
  </si>
  <si>
    <t>evidence/2026-09-11-raw-observations.json#/queries/6/result/content/0/text→JSON/data/83</t>
  </si>
  <si>
    <t>638877098150</t>
  </si>
  <si>
    <t>（厂家定制）彩色logo魔术贴数据线扎带 尼龙背对背魔术贴理线带</t>
  </si>
  <si>
    <t>https://detail.1688.com/offer/638877098150.html</t>
  </si>
  <si>
    <t>evidence/2026-09-11-raw-observations.json#/queries/6/result/content/0/text→JSON/data/84</t>
  </si>
  <si>
    <t>763243886565</t>
  </si>
  <si>
    <t>背对背魔术贴扎带数据线理线带 自粘收纳带t型猫头扎带理线捆绑带</t>
  </si>
  <si>
    <t>https://detail.1688.com/offer/763243886565.html</t>
  </si>
  <si>
    <t>evidence/2026-09-11-raw-observations.json#/queries/6/result/content/0/text→JSON/data/85</t>
  </si>
  <si>
    <t>957459871173</t>
  </si>
  <si>
    <t>背靠背魔术贴扎带理线捆绑带数据线电线收纳理线器魔术贴绑带</t>
  </si>
  <si>
    <t>https://detail.1688.com/offer/957459871173.html</t>
  </si>
  <si>
    <t>evidence/2026-09-11-raw-observations.json#/queries/6/result/content/0/text→JSON/data/86</t>
  </si>
  <si>
    <t>788817706176</t>
  </si>
  <si>
    <t>现货批发背靠背魔术贴扎带 多规格彩色数据线尼龙魔术贴绑带厂家</t>
  </si>
  <si>
    <t>https://detail.1688.com/offer/788817706176.html</t>
  </si>
  <si>
    <t>evidence/2026-09-11-raw-observations.json#/queries/6/result/content/0/text→JSON/data/87</t>
  </si>
  <si>
    <t>862240528440</t>
  </si>
  <si>
    <t>背对背魔术贴扎带数据线电源线绑线带理线收纳缠绕整理带多色尼龙</t>
  </si>
  <si>
    <t>https://detail.1688.com/offer/862240528440.html</t>
  </si>
  <si>
    <t>evidence/2026-09-11-raw-observations.json#/queries/6/result/content/0/text→JSON/data/88</t>
  </si>
  <si>
    <t>748842762659</t>
  </si>
  <si>
    <t>双面彩色魔术贴扎带粘扣理线带背对背魔术贴绑带尼龙背靠背魔术贴</t>
  </si>
  <si>
    <t>https://detail.1688.com/offer/748842762659.html</t>
  </si>
  <si>
    <t>evidence/2026-09-11-raw-observations.json#/queries/6/result/content/0/text→JSON/data/89</t>
  </si>
  <si>
    <t>evidence/2026-09-11-raw-observations.json#/queries/6/result/content/0/text→JSON/data/90</t>
  </si>
  <si>
    <t>882807612491</t>
  </si>
  <si>
    <t>魔术贴扎带束线数据线充电线收纳捆绑带绕线集线器整理线固定绕线</t>
  </si>
  <si>
    <t>https://detail.1688.com/offer/882807612491.html</t>
  </si>
  <si>
    <t>evidence/2026-09-11-raw-observations.json#/queries/6/result/content/0/text→JSON/data/91</t>
  </si>
  <si>
    <t>619409433419</t>
  </si>
  <si>
    <t>工厂现货批发魔术贴扎带背对背粘扣带冲型猫头t形数据线理线带</t>
  </si>
  <si>
    <t>https://detail.1688.com/offer/619409433419.html</t>
  </si>
  <si>
    <t>evidence/2026-09-11-raw-observations.json#/queries/6/result/content/0/text→JSON/data/92</t>
  </si>
  <si>
    <t>1238510255</t>
  </si>
  <si>
    <t>供应猫型背对背魔术贴理线带 直条扎带  T型数据线尼龙魔术贴扎带</t>
  </si>
  <si>
    <t>https://detail.1688.com/offer/1238510255.html</t>
  </si>
  <si>
    <t>evidence/2026-09-11-raw-observations.json#/queries/6/result/content/0/text→JSON/data/93</t>
  </si>
  <si>
    <t>928531952796</t>
  </si>
  <si>
    <t>跨境方扣魔术贴扎带电压魔术贴绑带固定加长款粘扣带电线电缆绑带</t>
  </si>
  <si>
    <t>https://detail.1688.com/offer/928531952796.html</t>
  </si>
  <si>
    <t>evidence/2026-09-11-raw-observations.json#/queries/6/result/content/0/text→JSON/data/94</t>
  </si>
  <si>
    <t>674537202822</t>
  </si>
  <si>
    <t>背靠背魔术贴粘扣带彩色可撕绑带扎带自粘扎线带理线器工厂定制</t>
  </si>
  <si>
    <t>https://detail.1688.com/offer/674537202822.html</t>
  </si>
  <si>
    <t>evidence/2026-09-11-raw-observations.json#/queries/6/result/content/0/text→JSON/data/95</t>
  </si>
  <si>
    <t>670182610639</t>
  </si>
  <si>
    <t>魔术贴扎带电压尼龙反扣扎带束线自粘魔术贴绑带魔术贴扎带扣理线</t>
  </si>
  <si>
    <t>https://detail.1688.com/offer/670182610639.html</t>
  </si>
  <si>
    <t>evidence/2026-09-11-raw-observations.json#/queries/6/result/content/0/text→JSON/data/96</t>
  </si>
  <si>
    <t>950636903874</t>
  </si>
  <si>
    <t>勾毛同体尼龙魔术贴捆绑带魔术贴扎带粘扣带电线自粘带固定带搭扣</t>
  </si>
  <si>
    <t>https://detail.1688.com/offer/950636903874.html</t>
  </si>
  <si>
    <t>evidence/2026-09-11-raw-observations.json#/queries/6/result/content/0/text→JSON/data/97</t>
  </si>
  <si>
    <t>995413347809</t>
  </si>
  <si>
    <t>背靠背魔术贴扎带数据线魔术贴固定绑带自粘理线带收纳专用束线带</t>
  </si>
  <si>
    <t>东莞市茶山喜荣织造厂</t>
  </si>
  <si>
    <t>https://detail.1688.com/offer/995413347809.html</t>
  </si>
  <si>
    <t>evidence/2026-09-11-raw-observations.json#/queries/6/result/content/0/text→JSON/data/98</t>
  </si>
  <si>
    <t>829447718695</t>
  </si>
  <si>
    <t>自粘数据线收纳神器魔术贴扎带理线家居电脑束线充电线固定绑带</t>
  </si>
  <si>
    <t>https://detail.1688.com/offer/829447718695.html</t>
  </si>
  <si>
    <t>evidence/2026-09-11-raw-observations.json#/queries/6/result/content/0/text→JSON/data/99</t>
  </si>
  <si>
    <t>07 · 历史市场原值</t>
  </si>
  <si>
    <t>原始价格和销量故意不进入正式利润/市场规模。sales_calc_time=1970及PH/THB冲突无法证明真实近期需求。</t>
  </si>
  <si>
    <t>记录ID</t>
  </si>
  <si>
    <t>关键词</t>
  </si>
  <si>
    <t>商品ID</t>
  </si>
  <si>
    <t>店铺ID</t>
  </si>
  <si>
    <t>原始标题</t>
  </si>
  <si>
    <t>原始价格</t>
  </si>
  <si>
    <t>币种状态</t>
  </si>
  <si>
    <t>原始销量字段</t>
  </si>
  <si>
    <t>销量计算日</t>
  </si>
  <si>
    <t>评分原值</t>
  </si>
  <si>
    <t>评论数原值</t>
  </si>
  <si>
    <t>本轮可用于放行</t>
  </si>
  <si>
    <t>M-0001</t>
  </si>
  <si>
    <t>storage organizer</t>
  </si>
  <si>
    <t>25675666003</t>
  </si>
  <si>
    <t>74897176</t>
  </si>
  <si>
    <t>Desktop Organizer #163 Multilayer Storage Drawer Crafts Makeup Accessories Medicine (ramdom color)</t>
  </si>
  <si>
    <t>未确认：PH查询，接口字典价格标THB</t>
  </si>
  <si>
    <t>1970-01-01</t>
  </si>
  <si>
    <t>否，待币种/窗口/SKU核实</t>
  </si>
  <si>
    <t>evidence/2026-09-10-raw-observations.json#/market/0/result/content/0/text→JSON/data/0</t>
  </si>
  <si>
    <t>M-0002</t>
  </si>
  <si>
    <t>45914455255</t>
  </si>
  <si>
    <t>727712488</t>
  </si>
  <si>
    <t>COD Foldable Shoe Box Shoe Rack Cabinet Transparent Storage Organizer Installation-Free</t>
  </si>
  <si>
    <t>evidence/2026-09-10-raw-observations.json#/market/0/result/content/0/text→JSON/data/1</t>
  </si>
  <si>
    <t>M-0003</t>
  </si>
  <si>
    <t>42964121227</t>
  </si>
  <si>
    <t>1343835021</t>
  </si>
  <si>
    <t>3pcs 5 Grids Desktop Organizer Storage Box Large Capacity Office Storage Box Cosmetics Desk Desktop Storage</t>
  </si>
  <si>
    <t>evidence/2026-09-10-raw-observations.json#/market/0/result/content/0/text→JSON/data/2</t>
  </si>
  <si>
    <t>M-0004</t>
  </si>
  <si>
    <t>29682979631</t>
  </si>
  <si>
    <t>1491372234</t>
  </si>
  <si>
    <t>6 Grids Desktop Stationery Organizer Makeup Organizer Drawer Jewelry Accessories Storage Box(White)</t>
  </si>
  <si>
    <t>evidence/2026-09-10-raw-observations.json#/market/0/result/content/0/text→JSON/data/3</t>
  </si>
  <si>
    <t>M-0005</t>
  </si>
  <si>
    <t>47101644762</t>
  </si>
  <si>
    <t>813327496</t>
  </si>
  <si>
    <t>Storage Organizer Acrylic Transparents Shoe Box Foldable Shoe Rack Shelf Installation Free</t>
  </si>
  <si>
    <t>evidence/2026-09-10-raw-observations.json#/market/0/result/content/0/text→JSON/data/4</t>
  </si>
  <si>
    <t>M-0006</t>
  </si>
  <si>
    <t>45605408192</t>
  </si>
  <si>
    <t>1175541521</t>
  </si>
  <si>
    <t>8 Grids Money Organizer Box Financial Desktop Cashier Cash Box Drawer Register Coin storage box</t>
  </si>
  <si>
    <t>evidence/2026-09-10-raw-observations.json#/market/0/result/content/0/text→JSON/data/5</t>
  </si>
  <si>
    <t>M-0007</t>
  </si>
  <si>
    <t>51412239867</t>
  </si>
  <si>
    <t>1776503098</t>
  </si>
  <si>
    <t>Long A4 File Organizer Sturdy Plastic Folder for School Homework Sorting Office Data Collection</t>
  </si>
  <si>
    <t>evidence/2026-09-10-raw-observations.json#/market/0/result/content/0/text→JSON/data/6</t>
  </si>
  <si>
    <t>M-0008</t>
  </si>
  <si>
    <t>24447895116</t>
  </si>
  <si>
    <t>1093841757</t>
  </si>
  <si>
    <t>Pen Holder Large Capacity Desktop Organizer Plastic Storage Box Student Stationery Stand Office Desk</t>
  </si>
  <si>
    <t>evidence/2026-09-10-raw-observations.json#/market/0/result/content/0/text→JSON/data/7</t>
  </si>
  <si>
    <t>M-0009</t>
  </si>
  <si>
    <t>42274507221</t>
  </si>
  <si>
    <t>1630671336</t>
  </si>
  <si>
    <t>Long File Organizer 13-Layer Handle Folder Test Paper Document Storage Portable File Folder</t>
  </si>
  <si>
    <t>evidence/2026-09-10-raw-observations.json#/market/0/result/content/0/text→JSON/data/8</t>
  </si>
  <si>
    <t>M-0010</t>
  </si>
  <si>
    <t>25181554000</t>
  </si>
  <si>
    <t>21704787</t>
  </si>
  <si>
    <t>Desktop Storage Rack Organizer for Kitchen Bathroom Office Dorm Cosmetic Stationery Holder</t>
  </si>
  <si>
    <t>evidence/2026-09-10-raw-observations.json#/market/0/result/content/0/text→JSON/data/9</t>
  </si>
  <si>
    <t>M-0011</t>
  </si>
  <si>
    <t>25544554587</t>
  </si>
  <si>
    <t>699515539</t>
  </si>
  <si>
    <t>Reusable Non-woven Drawstring Shoes Handbag Clothes Storage Organizer Dustproof Pouch Bag Dust Cover</t>
  </si>
  <si>
    <t>M-0012</t>
  </si>
  <si>
    <t>25022119838</t>
  </si>
  <si>
    <t>Clear Acrylic File Organizer Sturdy Desk File Organizer Shelf Book Holder Purse Handbag Clutch Divid</t>
  </si>
  <si>
    <t>evidence/2026-09-10-raw-observations.json#/market/0/result/content/0/text→JSON/data/11</t>
  </si>
  <si>
    <t>M-0013</t>
  </si>
  <si>
    <t>25658926415</t>
  </si>
  <si>
    <t>1035189781</t>
  </si>
  <si>
    <t>Desktop Organizer Multifunctional Sorting Storage Box Plastic Living Room Desktop Storage Box</t>
  </si>
  <si>
    <t>evidence/2026-09-10-raw-observations.json#/market/0/result/content/0/text→JSON/data/12</t>
  </si>
  <si>
    <t>M-0014</t>
  </si>
  <si>
    <t>20071256562</t>
  </si>
  <si>
    <t>935419098</t>
  </si>
  <si>
    <t>Utility Tool Box Medical Storage 2 Layers Organizer medicalbox storage</t>
  </si>
  <si>
    <t>evidence/2026-09-10-raw-observations.json#/market/0/result/content/0/text→JSON/data/13</t>
  </si>
  <si>
    <t>M-0015</t>
  </si>
  <si>
    <t>10306051428</t>
  </si>
  <si>
    <t>293250348</t>
  </si>
  <si>
    <t>Stackable Bin Boxes Storage Organizer Supplies Tools Bins and Rack</t>
  </si>
  <si>
    <t>evidence/2026-09-10-raw-observations.json#/market/0/result/content/0/text→JSON/data/14</t>
  </si>
  <si>
    <t>M-0016</t>
  </si>
  <si>
    <t>28353857450</t>
  </si>
  <si>
    <t>1194578174</t>
  </si>
  <si>
    <t>Simple Folding Desktop Storage Rack Shelf Table Organizer Cosmetic Jewelry Bathroom Storage Rack</t>
  </si>
  <si>
    <t>evidence/2026-09-10-raw-observations.json#/market/0/result/content/0/text→JSON/data/15</t>
  </si>
  <si>
    <t>M-0017</t>
  </si>
  <si>
    <t>42000421359</t>
  </si>
  <si>
    <t>1472815956</t>
  </si>
  <si>
    <t>Minimalist Desktop Organizer 3/4 Grid Pencil Remote Control Storage Box Desk Display Stand</t>
  </si>
  <si>
    <t>evidence/2026-09-10-raw-observations.json#/market/0/result/content/0/text→JSON/data/16</t>
  </si>
  <si>
    <t>M-0018</t>
  </si>
  <si>
    <t>23907187308</t>
  </si>
  <si>
    <t>672681309</t>
  </si>
  <si>
    <t>M&amp;A PHC 3 Tier Document Tray/Side Table Organizer Desktop Rack Kitchen Organizer Bedroom Stationary</t>
  </si>
  <si>
    <t>evidence/2026-09-10-raw-observations.json#/market/0/result/content/0/text→JSON/data/17</t>
  </si>
  <si>
    <t>M-0019</t>
  </si>
  <si>
    <t>26844477387</t>
  </si>
  <si>
    <t>1165911754</t>
  </si>
  <si>
    <t>Native Pen Holder/Desktop Organizer</t>
  </si>
  <si>
    <t>evidence/2026-09-10-raw-observations.json#/market/0/result/content/0/text→JSON/data/18</t>
  </si>
  <si>
    <t>M-0020</t>
  </si>
  <si>
    <t>22220399006</t>
  </si>
  <si>
    <t>40733884</t>
  </si>
  <si>
    <t>Four layer+pen holder plastic file rack/desktop storage file /file box reference rack Desk organizer</t>
  </si>
  <si>
    <t>evidence/2026-09-10-raw-observations.json#/market/0/result/content/0/text→JSON/data/19</t>
  </si>
  <si>
    <t>M-0021</t>
  </si>
  <si>
    <t>laundry mesh bag</t>
  </si>
  <si>
    <t>23200216605</t>
  </si>
  <si>
    <t>374468095</t>
  </si>
  <si>
    <t>Mesh Laundry Bag Storage Bag Washing Machine Net Mesh Laundry Washing Bag Clothes Storage Travel</t>
  </si>
  <si>
    <t>evidence/2026-09-10-raw-observations.json#/market/1/result/content/0/text→JSON/data/0</t>
  </si>
  <si>
    <t>M-0022</t>
  </si>
  <si>
    <t>23052398859</t>
  </si>
  <si>
    <t>40871101</t>
  </si>
  <si>
    <t>4in1CLeaning Net Organizer Pouch Mesh Laundry Washing Bags</t>
  </si>
  <si>
    <t>evidence/2026-09-10-raw-observations.json#/market/1/result/content/0/text→JSON/data/1</t>
  </si>
  <si>
    <t>M-0023</t>
  </si>
  <si>
    <t>27528479375</t>
  </si>
  <si>
    <t>1220516363</t>
  </si>
  <si>
    <t>3/7pcs Durable Washing Machine Mesh Laundry Bags with Zipper, Protects Bras, Panties, Socks, Shirts</t>
  </si>
  <si>
    <t>M-0024</t>
  </si>
  <si>
    <t>21233471457</t>
  </si>
  <si>
    <t>542762281</t>
  </si>
  <si>
    <t>Mesh Laundry Bag Set Underwear Bra Washing Bag Polyester Mesh Bag Bathroom Eco-friendly Storage Bag</t>
  </si>
  <si>
    <t>evidence/2026-09-10-raw-observations.json#/market/1/result/content/0/text→JSON/data/3</t>
  </si>
  <si>
    <t>M-0025</t>
  </si>
  <si>
    <t>22362938392</t>
  </si>
  <si>
    <t>455261503</t>
  </si>
  <si>
    <t>Portable Washing Machine Hair Removal Catcher Filter Mesh Cleaning Balls Bag Laundry Accessories</t>
  </si>
  <si>
    <t>evidence/2026-09-10-raw-observations.json#/market/1/result/content/0/text→JSON/data/4</t>
  </si>
  <si>
    <t>M-0026</t>
  </si>
  <si>
    <t>24352986484</t>
  </si>
  <si>
    <t>134347681</t>
  </si>
  <si>
    <t>Washing Machine Hair Pet Hair Filter Cleaning Mesh Bag Remover Laundry Washing Machine Lint Catcher</t>
  </si>
  <si>
    <t>evidence/2026-09-10-raw-observations.json#/market/1/result/content/0/text→JSON/data/5</t>
  </si>
  <si>
    <t>M-0027</t>
  </si>
  <si>
    <t>4591546535</t>
  </si>
  <si>
    <t>419236915</t>
  </si>
  <si>
    <t>Double mesh Imitation turtle shell clothes bra underwear care protection  washing laundry bag pouch</t>
  </si>
  <si>
    <t>evidence/2026-09-10-raw-observations.json#/market/1/result/content/0/text→JSON/data/6</t>
  </si>
  <si>
    <t>M-0028</t>
  </si>
  <si>
    <t>18268285941</t>
  </si>
  <si>
    <t>497890359</t>
  </si>
  <si>
    <t>Large Washing Laundry Bag Mesh Organizer Net Bra Socks Underwear Storage Wash Machine Clothes Cover</t>
  </si>
  <si>
    <t>evidence/2026-09-10-raw-observations.json#/market/1/result/content/0/text→JSON/data/7</t>
  </si>
  <si>
    <t>M-0029</t>
  </si>
  <si>
    <t>18532267841</t>
  </si>
  <si>
    <t>534699753</t>
  </si>
  <si>
    <t>Laundry Washing Mesh Bag Large Washing Net Bag With Zipper Travel Underwear Clothes Organizer Bag</t>
  </si>
  <si>
    <t>evidence/2026-09-10-raw-observations.json#/market/1/result/content/0/text→JSON/data/8</t>
  </si>
  <si>
    <t>M-0030</t>
  </si>
  <si>
    <t>19727845888</t>
  </si>
  <si>
    <t>304969951</t>
  </si>
  <si>
    <t>WeHome Laundry Bag Washing Machine Protection Net Mesh Laundry Bags Clothes Storage Bag</t>
  </si>
  <si>
    <t>evidence/2026-09-10-raw-observations.json#/market/1/result/content/0/text→JSON/data/9</t>
  </si>
  <si>
    <t>M-0031</t>
  </si>
  <si>
    <t>5713719480</t>
  </si>
  <si>
    <t>23231550</t>
  </si>
  <si>
    <t>Folding Laundry Basket, Large CapacityDirty Clothes Basket, Dirty ClothesStorage Basket</t>
  </si>
  <si>
    <t>evidence/2026-09-10-raw-observations.json#/market/1/result/content/0/text→JSON/data/10</t>
  </si>
  <si>
    <t>M-0032</t>
  </si>
  <si>
    <t>20831411813</t>
  </si>
  <si>
    <t>534655487</t>
  </si>
  <si>
    <t>Laundry Mesh Bag Washing Machine Durable Mesh Laundry Bag With Zipper Clothes Organizer Travel</t>
  </si>
  <si>
    <t>evidence/2026-09-10-raw-observations.json#/market/1/result/content/0/text→JSON/data/11</t>
  </si>
  <si>
    <t>M-0033</t>
  </si>
  <si>
    <t>44070271063</t>
  </si>
  <si>
    <t>1588417026</t>
  </si>
  <si>
    <t>Large Collapsible Laundry Basket Pop-Up Mesh Basket with Wide Opening Space-Saving for Dirty Storage</t>
  </si>
  <si>
    <t>evidence/2026-09-10-raw-observations.json#/market/1/result/content/0/text→JSON/data/12</t>
  </si>
  <si>
    <t>M-0034</t>
  </si>
  <si>
    <t>24784379468</t>
  </si>
  <si>
    <t>775147598</t>
  </si>
  <si>
    <t>Large Foldable Nylon Laundry Bag Dirty Clothes Storage Bag Drawstring Closure Home Laundromat Travel</t>
  </si>
  <si>
    <t>evidence/2026-09-10-raw-observations.json#/market/1/result/content/0/text→JSON/data/13</t>
  </si>
  <si>
    <t>M-0035</t>
  </si>
  <si>
    <t>25245329545</t>
  </si>
  <si>
    <t>430895838</t>
  </si>
  <si>
    <t>Laundry Bag Set Thick Mesh and Anti Deformation Laundry Bag for Washing Machines</t>
  </si>
  <si>
    <t>evidence/2026-09-10-raw-observations.json#/market/1/result/content/0/text→JSON/data/14</t>
  </si>
  <si>
    <t>M-0036</t>
  </si>
  <si>
    <t>42123671141</t>
  </si>
  <si>
    <t>1587284926</t>
  </si>
  <si>
    <t>Large Laundry Basket Foldable Waterproof Dirty Clothes Storage Bag Jumbo Clothes Hamper Toy Storage</t>
  </si>
  <si>
    <t>evidence/2026-09-10-raw-observations.json#/market/1/result/content/0/text→JSON/data/15</t>
  </si>
  <si>
    <t>M-0037</t>
  </si>
  <si>
    <t>25030877764</t>
  </si>
  <si>
    <t>1248111876</t>
  </si>
  <si>
    <t>4Size Large Laundry Mesh Bag with Lockable Drawstring Suitable for Big Clothes Household HomeJoy</t>
  </si>
  <si>
    <t>evidence/2026-09-10-raw-observations.json#/market/1/result/content/0/text→JSON/data/16</t>
  </si>
  <si>
    <t>M-0038</t>
  </si>
  <si>
    <t>1666127473</t>
  </si>
  <si>
    <t>35980116</t>
  </si>
  <si>
    <t>Large Thick Dirty Clothes Storage Bag w/ Drawstring Closure Laundry Bag</t>
  </si>
  <si>
    <t>evidence/2026-09-10-raw-observations.json#/market/1/result/content/0/text→JSON/data/17</t>
  </si>
  <si>
    <t>M-0039</t>
  </si>
  <si>
    <t>54961069748</t>
  </si>
  <si>
    <t>1096649442</t>
  </si>
  <si>
    <t>✅PH stock✅Three-Dimensional Laundry Bag Washing Machine Dedicated Anti-Deformation Mesh Bag Large Size Laundry Mesh Bag Bra Underwear Portable Washing Protective Bag</t>
  </si>
  <si>
    <t>evidence/2026-09-10-raw-observations.json#/market/1/result/content/0/text→JSON/data/18</t>
  </si>
  <si>
    <t>M-0040</t>
  </si>
  <si>
    <t>23013884676</t>
  </si>
  <si>
    <t>738440163</t>
  </si>
  <si>
    <t>75L Laundry Hamper, Large Canvas Fabric Lightweight Storage Basket Toy Organizer Laundry Basket</t>
  </si>
  <si>
    <t>evidence/2026-09-10-raw-observations.json#/market/1/result/content/0/text→JSON/data/19</t>
  </si>
  <si>
    <t>M-0041</t>
  </si>
  <si>
    <t>cable organizer</t>
  </si>
  <si>
    <t>26123071594</t>
  </si>
  <si>
    <t>1148810850</t>
  </si>
  <si>
    <t>100pcs Pack Releasable Hook Nylon Cable Tie Organizer Reusable 5*200 (mm) Multipurpose Firm Nylon</t>
  </si>
  <si>
    <t>evidence/2026-09-10-raw-observations.json#/market/2/result/content/0/text→JSON/data/0</t>
  </si>
  <si>
    <t>M-0042</t>
  </si>
  <si>
    <t>43608805783</t>
  </si>
  <si>
    <t>1298064405</t>
  </si>
  <si>
    <t>Data Cable Storage Box Medicine Organizer Desktop Multifunction Charger Cable Unwinder Cable Hub Box</t>
  </si>
  <si>
    <t>evidence/2026-09-10-raw-observations.json#/market/2/result/content/0/text→JSON/data/1</t>
  </si>
  <si>
    <t>M-0043</t>
  </si>
  <si>
    <t>28988658087</t>
  </si>
  <si>
    <t>1055789068</t>
  </si>
  <si>
    <t>200Pcs/10Pack Cable Clips Organizer Drop Wire Holder Cord Management Self-Adhesive Cable Manager</t>
  </si>
  <si>
    <t>evidence/2026-09-10-raw-observations.json#/market/2/result/content/0/text→JSON/data/2</t>
  </si>
  <si>
    <t>M-0044</t>
  </si>
  <si>
    <t>27308021764</t>
  </si>
  <si>
    <t>1209340734</t>
  </si>
  <si>
    <t>Cable Wrap Cord Storage Organizer For Kitchen Appliances Wrapper Cord Wire Rope Storage</t>
  </si>
  <si>
    <t>M-0045</t>
  </si>
  <si>
    <t>24474649589</t>
  </si>
  <si>
    <t>196214868</t>
  </si>
  <si>
    <t>Cable Organizer Clips Cable Management Desktop &amp; Workstation Wire Manager Cord Holder 20Pcs</t>
  </si>
  <si>
    <t>M-0046</t>
  </si>
  <si>
    <t>6593453807</t>
  </si>
  <si>
    <t>337922267</t>
  </si>
  <si>
    <t>20Pcs Cable Organizer Clips Cable Management Desktop &amp; Workstation Wire Manager Cord Holder USB Charging Data Line Winder</t>
  </si>
  <si>
    <t>evidence/2026-09-10-raw-observations.json#/market/2/result/content/0/text→JSON/data/5</t>
  </si>
  <si>
    <t>M-0047</t>
  </si>
  <si>
    <t>24472250730</t>
  </si>
  <si>
    <t>10 / 20 / 50 PCS Cable Clips – Self-Adhesive Cord Management Wire Holder Organizer (Black)</t>
  </si>
  <si>
    <t>evidence/2026-09-10-raw-observations.json#/market/2/result/content/0/text→JSON/data/6</t>
  </si>
  <si>
    <t>M-0048</t>
  </si>
  <si>
    <t>2787881114</t>
  </si>
  <si>
    <t>131196305</t>
  </si>
  <si>
    <t>【24-Month Warranty】Baseus Rainbow Circle Velcro Strap Reusable Cable Tie Fastening Tape Wire Organizer</t>
  </si>
  <si>
    <t>evidence/2026-09-10-raw-observations.json#/market/2/result/content/0/text→JSON/data/7</t>
  </si>
  <si>
    <t>M-0049</t>
  </si>
  <si>
    <t>17409292611</t>
  </si>
  <si>
    <t>407006190</t>
  </si>
  <si>
    <t>20 Pcs Cable Clips Organizer Drop Wire Holder Cord Management Self-Adhesive Cable Manager</t>
  </si>
  <si>
    <t>evidence/2026-09-10-raw-observations.json#/market/2/result/content/0/text→JSON/data/8</t>
  </si>
  <si>
    <t>M-0050</t>
  </si>
  <si>
    <t>14488134409</t>
  </si>
  <si>
    <t>284375657</t>
  </si>
  <si>
    <t>4/8/10/16/30mm Cable Cover Protector Wire Desk Organizer Computer Cord Protective Bite Tube Clip Management Tools Spiral Winder</t>
  </si>
  <si>
    <t>M-0051</t>
  </si>
  <si>
    <t>40208808897</t>
  </si>
  <si>
    <t>1587379074</t>
  </si>
  <si>
    <t>【Buy1 Take3】Data Cable Storage Box Medicine Organizer Multifunction Charger Unwinder Cable Hub Box</t>
  </si>
  <si>
    <t>evidence/2026-09-10-raw-observations.json#/market/2/result/content/0/text→JSON/data/10</t>
  </si>
  <si>
    <t>M-0052</t>
  </si>
  <si>
    <t>22725295734</t>
  </si>
  <si>
    <t>886616630</t>
  </si>
  <si>
    <t>1Pcs Cable Protector Silicone Bobbin Winder Wire Cord Organizer Cover for Apple iphone USB Charger</t>
  </si>
  <si>
    <t>evidence/2026-09-10-raw-observations.json#/market/2/result/content/0/text→JSON/data/11</t>
  </si>
  <si>
    <t>M-0053</t>
  </si>
  <si>
    <t>23929720666</t>
  </si>
  <si>
    <t>643380925</t>
  </si>
  <si>
    <t>Colorful Silicone Cable Organizer – Adjustable, Durable USB Cable Ties for Clutter-Free Living</t>
  </si>
  <si>
    <t>evidence/2026-09-10-raw-observations.json#/market/2/result/content/0/text→JSON/data/12</t>
  </si>
  <si>
    <t>M-0054</t>
  </si>
  <si>
    <t>41914256831</t>
  </si>
  <si>
    <t>1613944290</t>
  </si>
  <si>
    <t>Data Cable Storage Box Medicine Organizer Desktop Multifunction Charger Cable Hub Box</t>
  </si>
  <si>
    <t>evidence/2026-09-10-raw-observations.json#/market/2/result/content/0/text→JSON/data/13</t>
  </si>
  <si>
    <t>M-0055</t>
  </si>
  <si>
    <t>12231203120</t>
  </si>
  <si>
    <t>11599243</t>
  </si>
  <si>
    <t>1 PC Bike Cable S Clip Shifter Brake Cable Organizer Mountain Road Bike MTB Hose Guide Gear Cycles</t>
  </si>
  <si>
    <t>evidence/2026-09-10-raw-observations.json#/market/2/result/content/0/text→JSON/data/14</t>
  </si>
  <si>
    <t>M-0056</t>
  </si>
  <si>
    <t>42418526242</t>
  </si>
  <si>
    <t>945013574</t>
  </si>
  <si>
    <t>2PCS Self Adhesive Cable Holder Double Cable Organizer No Drill Transparent Wall Desk Cord Clip</t>
  </si>
  <si>
    <t>evidence/2026-09-10-raw-observations.json#/market/2/result/content/0/text→JSON/data/15</t>
  </si>
  <si>
    <t>M-0057</t>
  </si>
  <si>
    <t>26826133071</t>
  </si>
  <si>
    <t>1057570791</t>
  </si>
  <si>
    <t>100Pcs Cable Management Assorted Industrial Supply Fasteners Plastic Wire Zip Ties Organiser Nylon Electric Cable Tie</t>
  </si>
  <si>
    <t>evidence/2026-09-10-raw-observations.json#/market/2/result/content/0/text→JSON/data/16</t>
  </si>
  <si>
    <t>M-0058</t>
  </si>
  <si>
    <t>19162687684</t>
  </si>
  <si>
    <t>49776692</t>
  </si>
  <si>
    <t>QYZV Wire Cable Organizer Tidy Management Clips Holder Adhesive Cord Storage Wrapper for Kitchen App</t>
  </si>
  <si>
    <t>evidence/2026-09-10-raw-observations.json#/market/2/result/content/0/text→JSON/data/17</t>
  </si>
  <si>
    <t>M-0059</t>
  </si>
  <si>
    <t>25065681091</t>
  </si>
  <si>
    <t>50109655</t>
  </si>
  <si>
    <t>✅Lucky Nylon Elastic Velcro Buckle Strap Cable Ties Organizer Self-adhesive Reusable Buckle Band</t>
  </si>
  <si>
    <t>evidence/2026-09-10-raw-observations.json#/market/2/result/content/0/text→JSON/data/18</t>
  </si>
  <si>
    <t>M-0060</t>
  </si>
  <si>
    <t>25832089568</t>
  </si>
  <si>
    <t>51683284</t>
  </si>
  <si>
    <t>60PCS Reusable Cable Ties Fastening Wire Organizer Cord Rope Holder Self Adhesive Adjustable Cord Organizer Straps Desk Management</t>
  </si>
  <si>
    <t>evidence/2026-09-10-raw-observations.json#/market/2/result/content/0/text→JSON/data/19</t>
  </si>
  <si>
    <t>M-0061</t>
  </si>
  <si>
    <t>packing cubes</t>
  </si>
  <si>
    <t>26902019183</t>
  </si>
  <si>
    <t>1274006847</t>
  </si>
  <si>
    <t>BAGSMART Set of 6 Compression Packing Cubes Expandable Travel Luggage Organizer Suitcase Storage Bags</t>
  </si>
  <si>
    <t>evidence/2026-09-10-raw-observations.json#/market/3/result/content/0/text→JSON/data/0</t>
  </si>
  <si>
    <t>M-0062</t>
  </si>
  <si>
    <t>28831256370</t>
  </si>
  <si>
    <t>363578284</t>
  </si>
  <si>
    <t>Cake Box 6x6x3 / 6x6x4 / 6x6x5</t>
  </si>
  <si>
    <t>evidence/2026-09-10-raw-observations.json#/market/3/result/content/0/text→JSON/data/1</t>
  </si>
  <si>
    <t>M-0063</t>
  </si>
  <si>
    <t>44412798306</t>
  </si>
  <si>
    <t>1338796953</t>
  </si>
  <si>
    <t>4/5/6Pcs Compression Packing Cubes Luggage Bag Breathable Travel Luggage Organizer Foldable Suitcase</t>
  </si>
  <si>
    <t>evidence/2026-09-10-raw-observations.json#/market/3/result/content/0/text→JSON/data/2</t>
  </si>
  <si>
    <t>M-0064</t>
  </si>
  <si>
    <t>24033110194</t>
  </si>
  <si>
    <t>262529672</t>
  </si>
  <si>
    <t>Packing Box Live selling checkout</t>
  </si>
  <si>
    <t>evidence/2026-09-10-raw-observations.json#/market/3/result/content/0/text→JSON/data/3</t>
  </si>
  <si>
    <t>M-0065</t>
  </si>
  <si>
    <t>24806369137</t>
  </si>
  <si>
    <t>1106371994</t>
  </si>
  <si>
    <t>BAGSMART 6 Set Compression Packing Cubes Durable Luggage Organizer Lightweight Travel Essentials</t>
  </si>
  <si>
    <t>evidence/2026-09-10-raw-observations.json#/market/3/result/content/0/text→JSON/data/4</t>
  </si>
  <si>
    <t>M-0066</t>
  </si>
  <si>
    <t>17096333129</t>
  </si>
  <si>
    <t>284642368</t>
  </si>
  <si>
    <t>TRAVEL CUBES / ORGANIZER</t>
  </si>
  <si>
    <t>evidence/2026-09-10-raw-observations.json#/market/3/result/content/0/text→JSON/data/5</t>
  </si>
  <si>
    <t>M-0067</t>
  </si>
  <si>
    <t>14529056693</t>
  </si>
  <si>
    <t>550121387</t>
  </si>
  <si>
    <t>6PCS Packing Cubes Set Travel Luggage SBS Zip Organisers Clothes Underwear Socks Storage Bag Pouch</t>
  </si>
  <si>
    <t>M-0068</t>
  </si>
  <si>
    <t>5380240548</t>
  </si>
  <si>
    <t>346799484</t>
  </si>
  <si>
    <t>BUNDLE! (2 PCS) PASTILLAS CUBES (60 PIECES PER TUB)</t>
  </si>
  <si>
    <t>evidence/2026-09-10-raw-observations.json#/market/3/result/content/0/text→JSON/data/7</t>
  </si>
  <si>
    <t>M-0069</t>
  </si>
  <si>
    <t>53059609979</t>
  </si>
  <si>
    <t>1813799043</t>
  </si>
  <si>
    <t>Waterproof Travel Clothes Organizer Lightweight Portable Packing Cubes for Luggage Shoe Bag Suitcase Storage</t>
  </si>
  <si>
    <t>evidence/2026-09-10-raw-observations.json#/market/3/result/content/0/text→JSON/data/8</t>
  </si>
  <si>
    <t>M-0070</t>
  </si>
  <si>
    <t>9024724507</t>
  </si>
  <si>
    <t>30530599</t>
  </si>
  <si>
    <t>Diy Beads Letter Beads Cubes Dark Colored 250grams</t>
  </si>
  <si>
    <t>evidence/2026-09-10-raw-observations.json#/market/3/result/content/0/text→JSON/data/9</t>
  </si>
  <si>
    <t>M-0071</t>
  </si>
  <si>
    <t>27234075927</t>
  </si>
  <si>
    <t>150316757</t>
  </si>
  <si>
    <t>Hanging Packing Cubes Portable Travel Closet Collapsible Compression Clothes Organizer with Shelves</t>
  </si>
  <si>
    <t>evidence/2026-09-10-raw-observations.json#/market/3/result/content/0/text→JSON/data/10</t>
  </si>
  <si>
    <t>M-0072</t>
  </si>
  <si>
    <t>50311956665</t>
  </si>
  <si>
    <t>BAGSMART Compression Packing Cubes for Travel, 6 Set Lightweight Luggage Organizer Bags with Neck Pillow Carry on Suitcases, Durable Space Saver Bags Travel Essentials</t>
  </si>
  <si>
    <t>evidence/2026-09-10-raw-observations.json#/market/3/result/content/0/text→JSON/data/11</t>
  </si>
  <si>
    <t>M-0073</t>
  </si>
  <si>
    <t>57102126028</t>
  </si>
  <si>
    <t>1606387413</t>
  </si>
  <si>
    <t>8Pcs Travel Organizer Compression Packing Cubes Travel Pouch Luggage Bag Foldable Portable</t>
  </si>
  <si>
    <t>evidence/2026-09-10-raw-observations.json#/market/3/result/content/0/text→JSON/data/12</t>
  </si>
  <si>
    <t>M-0074</t>
  </si>
  <si>
    <t>8990392112</t>
  </si>
  <si>
    <t>21594805</t>
  </si>
  <si>
    <t>PEAK DESIGN Packing Cube</t>
  </si>
  <si>
    <t>evidence/2026-09-10-raw-observations.json#/market/3/result/content/0/text→JSON/data/13</t>
  </si>
  <si>
    <t>M-0075</t>
  </si>
  <si>
    <t>27574743305</t>
  </si>
  <si>
    <t>2859384</t>
  </si>
  <si>
    <t>PERSONALIZED Compression Packing Cube 2pcs Set Travel Organizer Custom Name Luggage Storage Bag</t>
  </si>
  <si>
    <t>evidence/2026-09-10-raw-observations.json#/market/3/result/content/0/text→JSON/data/14</t>
  </si>
  <si>
    <t>M-0076</t>
  </si>
  <si>
    <t>52705821589</t>
  </si>
  <si>
    <t>1448679530</t>
  </si>
  <si>
    <t>PassionGrip 4Pcs Compression Packing Cubes Foldable Travel Luggage Organizer Breathable Storage Bags</t>
  </si>
  <si>
    <t>evidence/2026-09-10-raw-observations.json#/market/3/result/content/0/text→JSON/data/15</t>
  </si>
  <si>
    <t>M-0077</t>
  </si>
  <si>
    <t>24893086633</t>
  </si>
  <si>
    <t>270773306</t>
  </si>
  <si>
    <t>8Pcs Compression Packing Cubes Luggage Bags Breathable Travel Luggage Organizer Foldable Suitcase</t>
  </si>
  <si>
    <t>evidence/2026-09-10-raw-observations.json#/market/3/result/content/0/text→JSON/data/16</t>
  </si>
  <si>
    <t>M-0078</t>
  </si>
  <si>
    <t>145534622</t>
  </si>
  <si>
    <t>15996244</t>
  </si>
  <si>
    <t>6in1 travel luggage bag clothes organizer</t>
  </si>
  <si>
    <t>evidence/2026-09-10-raw-observations.json#/market/3/result/content/0/text→JSON/data/17</t>
  </si>
  <si>
    <t>M-0079</t>
  </si>
  <si>
    <t>27160305291</t>
  </si>
  <si>
    <t>PEAK DESIGN Ultralight FABRIC Packing Cubes</t>
  </si>
  <si>
    <t>evidence/2026-09-10-raw-observations.json#/market/3/result/content/0/text→JSON/data/18</t>
  </si>
  <si>
    <t>M-0080</t>
  </si>
  <si>
    <t>54564627015</t>
  </si>
  <si>
    <t>1612345379</t>
  </si>
  <si>
    <t>5-in-1 Travel Compression Packing Cubes Waterproof Large Capacity Clothes Storage Bag Portable Luggage Suitcase Organizer for Trip Vacation Value Market</t>
  </si>
  <si>
    <t>evidence/2026-09-10-raw-observations.json#/market/3/result/content/0/text→JSON/data/19</t>
  </si>
  <si>
    <t>M-0081</t>
  </si>
  <si>
    <t>hanging bag organizer</t>
  </si>
  <si>
    <t>41276257375</t>
  </si>
  <si>
    <t>Kitchen Storage Organizer Hanging Bag Wall-Mounted Miscellaneous Space-Saving  Plastic&amp;Trash Bags</t>
  </si>
  <si>
    <t>M-0082</t>
  </si>
  <si>
    <t>24944345450</t>
  </si>
  <si>
    <t>Travel Kit Organizer Bathroom Cosmetic Hanging Toiletry Bag</t>
  </si>
  <si>
    <t>M-0083</t>
  </si>
  <si>
    <t>19293050852</t>
  </si>
  <si>
    <t>544211382</t>
  </si>
  <si>
    <t>Acrylic Handbag Hanger Rack Won‘t Let Bags Deformed Arch Hook Organizer For Bags Hanger</t>
  </si>
  <si>
    <t>evidence/2026-09-10-raw-observations.json#/market/4/result/content/0/text→JSON/data/2</t>
  </si>
  <si>
    <t>M-0084</t>
  </si>
  <si>
    <t>23059176383</t>
  </si>
  <si>
    <t>791676040</t>
  </si>
  <si>
    <t>Bathroom Organizer Rack Wall Mounted Shelf Hanger Multifunction Hanging Basket Bathroom Storage Rack</t>
  </si>
  <si>
    <t>evidence/2026-09-10-raw-observations.json#/market/4/result/content/0/text→JSON/data/3</t>
  </si>
  <si>
    <t>M-0085</t>
  </si>
  <si>
    <t>51452249549</t>
  </si>
  <si>
    <t>1597227346</t>
  </si>
  <si>
    <t>Yomio 2-5 Layers Wall Mounted Hanging Organizer Storage Bag Behind The Door Wardrobe Sundries Bag</t>
  </si>
  <si>
    <t>evidence/2026-09-10-raw-observations.json#/market/4/result/content/0/text→JSON/data/4</t>
  </si>
  <si>
    <t>M-0086</t>
  </si>
  <si>
    <t>27281130339</t>
  </si>
  <si>
    <t>1490459615</t>
  </si>
  <si>
    <t>6 Layers PVC Wall Mounted Organizer Storage Behind the Door Hanging Fabric Wardrobe Toys Storage Bag</t>
  </si>
  <si>
    <t>evidence/2026-09-10-raw-observations.json#/market/4/result/content/0/text→JSON/data/5</t>
  </si>
  <si>
    <t>M-0087</t>
  </si>
  <si>
    <t>27123008711</t>
  </si>
  <si>
    <t>977409452</t>
  </si>
  <si>
    <t>Mommy.Baby Baby Bag Organizer Essentials Storage Bag Mommy Bag Multifunctional Large Capacity Por</t>
  </si>
  <si>
    <t>evidence/2026-09-10-raw-observations.json#/market/4/result/content/0/text→JSON/data/6</t>
  </si>
  <si>
    <t>M-0088</t>
  </si>
  <si>
    <t>40750087822</t>
  </si>
  <si>
    <t>1526366435</t>
  </si>
  <si>
    <t>LUMOS Bathroom Organizer Rack Bedroom Wall Multifunction Hanging Basket Bathroom Storage Rack</t>
  </si>
  <si>
    <t>evidence/2026-09-10-raw-observations.json#/market/4/result/content/0/text→JSON/data/7</t>
  </si>
  <si>
    <t>M-0089</t>
  </si>
  <si>
    <t>24874391240</t>
  </si>
  <si>
    <t>High Quality Acrylic Handbag Hanger Rack Won‘T Let Bags Deformed Arch Hook Organizer Intensification</t>
  </si>
  <si>
    <t>evidence/2026-09-10-raw-observations.json#/market/4/result/content/0/text→JSON/data/8</t>
  </si>
  <si>
    <t>M-0090</t>
  </si>
  <si>
    <t>29107237052</t>
  </si>
  <si>
    <t>1323615968</t>
  </si>
  <si>
    <t>Bathroom Organizer Rack Wall Shelf Mounted Hanger Multifunction Hanging Basket Kitchen Storage Rack</t>
  </si>
  <si>
    <t>evidence/2026-09-10-raw-observations.json#/market/4/result/content/0/text→JSON/data/9</t>
  </si>
  <si>
    <t>M-0091</t>
  </si>
  <si>
    <t>26956184265</t>
  </si>
  <si>
    <t>Holiday Travel Portable Black Nylon Suitcase Hanging Bag with Zinc Alloy Hiking Buckle Strap with External Hook Strap Bag Hanger</t>
  </si>
  <si>
    <t>evidence/2026-09-10-raw-observations.json#/market/4/result/content/0/text→JSON/data/10</t>
  </si>
  <si>
    <t>M-0092</t>
  </si>
  <si>
    <t>23775628116</t>
  </si>
  <si>
    <t>497656372</t>
  </si>
  <si>
    <t>Makeup Bag Travel Organizer Hanging Storage Bag Waterproof Cosmetic Toiletry Bag Large Travel Pouch</t>
  </si>
  <si>
    <t>evidence/2026-09-10-raw-observations.json#/market/4/result/content/0/text→JSON/data/11</t>
  </si>
  <si>
    <t>M-0093</t>
  </si>
  <si>
    <t>6185455937</t>
  </si>
  <si>
    <t>5 layer Closet Wardrobe Hanging Bag Handbag Storage Purse Handbag Purse Tote Organizer Pouch Rack</t>
  </si>
  <si>
    <t>M-0094</t>
  </si>
  <si>
    <t>342009336</t>
  </si>
  <si>
    <t>16946781</t>
  </si>
  <si>
    <t>Portable toiletry ,cismetic organizer hanging bag</t>
  </si>
  <si>
    <t>evidence/2026-09-10-raw-observations.json#/market/4/result/content/0/text→JSON/data/13</t>
  </si>
  <si>
    <t>M-0095</t>
  </si>
  <si>
    <t>40462406643</t>
  </si>
  <si>
    <t>Yomio 2/3/4/5Layers Hanging Storage Bag Wall Mounted Organizer Behind The Door Wardrobe Sundries Bag</t>
  </si>
  <si>
    <t>evidence/2026-09-10-raw-observations.json#/market/4/result/content/0/text→JSON/data/14</t>
  </si>
  <si>
    <t>M-0096</t>
  </si>
  <si>
    <t>25994938824</t>
  </si>
  <si>
    <t>LUMOS Bathroom Organizer Rack Shower Organizer Wall Multifunction Hanging Basket Bathroom Storage</t>
  </si>
  <si>
    <t>evidence/2026-09-10-raw-observations.json#/market/4/result/content/0/text→JSON/data/15</t>
  </si>
  <si>
    <t>M-0097</t>
  </si>
  <si>
    <t>26275496658</t>
  </si>
  <si>
    <t>693701855</t>
  </si>
  <si>
    <t>Norma Wall Mounted Storage Bag Hanging Organizer Behind The Door Wardrobe Sundries Bag Gift Hook</t>
  </si>
  <si>
    <t>evidence/2026-09-10-raw-observations.json#/market/4/result/content/0/text→JSON/data/16</t>
  </si>
  <si>
    <t>M-0098</t>
  </si>
  <si>
    <t>26901266092</t>
  </si>
  <si>
    <t>739548616</t>
  </si>
  <si>
    <t>Hanging Storage Organizer For Headband Hair Bow Clip Ponytail Accessories Wall Display Holder</t>
  </si>
  <si>
    <t>M-0099</t>
  </si>
  <si>
    <t>3178027469</t>
  </si>
  <si>
    <t>26118993</t>
  </si>
  <si>
    <t>BS Travel Kit Organizer Bathroom Cosmetic Hanging Toiletry Bag</t>
  </si>
  <si>
    <t>evidence/2026-09-10-raw-observations.json#/market/4/result/content/0/text→JSON/data/18</t>
  </si>
  <si>
    <t>M-0100</t>
  </si>
  <si>
    <t>24121027331</t>
  </si>
  <si>
    <t>453773485</t>
  </si>
  <si>
    <t>Thebest 8 Hook Solid Wood Hanger Woman Bra Hanger Man Belt Tie Hanger Durable Vest Bag Hanger</t>
  </si>
  <si>
    <t>evidence/2026-09-10-raw-observations.json#/market/4/result/content/0/text→JSON/data/19</t>
  </si>
  <si>
    <t>M-0101</t>
  </si>
  <si>
    <t>pet hair remover</t>
  </si>
  <si>
    <t>12449734094</t>
  </si>
  <si>
    <t>491386795</t>
  </si>
  <si>
    <t>Petcher Madre De Cacao Round Soap 50g Hair Care for Dogs and Cats</t>
  </si>
  <si>
    <t>evidence/2026-09-10-raw-observations.json#/market/5/result/content/0/text→JSON/data/0</t>
  </si>
  <si>
    <t>M-0102</t>
  </si>
  <si>
    <t>41861027947</t>
  </si>
  <si>
    <t>1393841076</t>
  </si>
  <si>
    <t>PETWELL Pet Dry Shampoo Plant-Based Odor-Control Deodorizing Powder for Dogs &amp; Cats 260g</t>
  </si>
  <si>
    <t>evidence/2026-09-10-raw-observations.json#/market/5/result/content/0/text→JSON/data/1</t>
  </si>
  <si>
    <t>M-0103</t>
  </si>
  <si>
    <t>15750813899</t>
  </si>
  <si>
    <t>279498155</t>
  </si>
  <si>
    <t>Sticky Hair Roller Pet Fur Remover Reusable Clothes Dust Fur Cleanning Roller</t>
  </si>
  <si>
    <t>M-0104</t>
  </si>
  <si>
    <t>22342113056</t>
  </si>
  <si>
    <t>770039606</t>
  </si>
  <si>
    <t>Pet hair dryer blower Low Noise Fast Drying Hair Dryer for Pet Pet Grooming Supplies</t>
  </si>
  <si>
    <t>evidence/2026-09-10-raw-observations.json#/market/5/result/content/0/text→JSON/data/3</t>
  </si>
  <si>
    <t>M-0105</t>
  </si>
  <si>
    <t>24517772160</t>
  </si>
  <si>
    <t>709586154</t>
  </si>
  <si>
    <t>Sticky Lint Remover Pet Fur Cleaner Hair Roller Clothes Cleaning Dust Removal Strong Sticky Reusable</t>
  </si>
  <si>
    <t>evidence/2026-09-10-raw-observations.json#/market/5/result/content/0/text→JSON/data/4</t>
  </si>
  <si>
    <t>M-0106</t>
  </si>
  <si>
    <t>43370479237</t>
  </si>
  <si>
    <t>Petcher Pet Enzyme Odor Eliminator – Poop &amp; Pee Litter Deodorizer and Disinfectant for Dogs and Cats</t>
  </si>
  <si>
    <t>evidence/2026-09-10-raw-observations.json#/market/5/result/content/0/text→JSON/data/5</t>
  </si>
  <si>
    <t>M-0107</t>
  </si>
  <si>
    <t>26573242151</t>
  </si>
  <si>
    <t>Sticky Hair Roller Clothes Cleaning Dust Removal Strong Sticky Reusable Sticky Pet Fur Cleaner Hair</t>
  </si>
  <si>
    <t>evidence/2026-09-10-raw-observations.json#/market/5/result/content/0/text→JSON/data/6</t>
  </si>
  <si>
    <t>M-0108</t>
  </si>
  <si>
    <t>16882282723</t>
  </si>
  <si>
    <t>Petcher 9-in-1 Madre De Cacao Pet Shampoo and Hygiene Care Bundle for Dogs and Cats</t>
  </si>
  <si>
    <t>evidence/2026-09-10-raw-observations.json#/market/5/result/content/0/text→JSON/data/7</t>
  </si>
  <si>
    <t>M-0109</t>
  </si>
  <si>
    <t>43203436995</t>
  </si>
  <si>
    <t>1514040825</t>
  </si>
  <si>
    <t>PETVIGOR Pet Skin Treatment Spray For Dog And Cat Skin Disease Treatment Itch Relief Cat Hair Loss</t>
  </si>
  <si>
    <t>evidence/2026-09-10-raw-observations.json#/market/5/result/content/0/text→JSON/data/8</t>
  </si>
  <si>
    <t>M-0110</t>
  </si>
  <si>
    <t>14981690741</t>
  </si>
  <si>
    <t>75742431</t>
  </si>
  <si>
    <t>Pet City Portable Roller Pet Hair Removal Brush Lint Roller Cleaner Refills Replaced Clothes Brush</t>
  </si>
  <si>
    <t>evidence/2026-09-10-raw-observations.json#/market/5/result/content/0/text→JSON/data/9</t>
  </si>
  <si>
    <t>M-0111</t>
  </si>
  <si>
    <t>13398170257</t>
  </si>
  <si>
    <t>607294709</t>
  </si>
  <si>
    <t>Pet Hair Comb Sticky Lint Roller Hair Roller Fur Cleaner Clothes Cleaning Dust Removal</t>
  </si>
  <si>
    <t>evidence/2026-09-10-raw-observations.json#/market/5/result/content/0/text→JSON/data/10</t>
  </si>
  <si>
    <t>M-0112</t>
  </si>
  <si>
    <t>20856453806</t>
  </si>
  <si>
    <t>690697001</t>
  </si>
  <si>
    <t>【superior quality 】Lint Remover Hair Ball Trimmer Sweater Remover Trimmer With small brush insid</t>
  </si>
  <si>
    <t>evidence/2026-09-10-raw-observations.json#/market/5/result/content/0/text→JSON/data/11</t>
  </si>
  <si>
    <t>M-0113</t>
  </si>
  <si>
    <t>44807038580</t>
  </si>
  <si>
    <t>481889667</t>
  </si>
  <si>
    <t>VGUARD Pet Odor Eliminator / Deodorizer – Deep Cleaning Stain Remover w/Long-Lasting Fresh Fragrance</t>
  </si>
  <si>
    <t>evidence/2026-09-10-raw-observations.json#/market/5/result/content/0/text→JSON/data/12</t>
  </si>
  <si>
    <t>M-0114</t>
  </si>
  <si>
    <t>19581276550</t>
  </si>
  <si>
    <t>443458949</t>
  </si>
  <si>
    <t>Pet New Land Pet Dog Cat Shampoo 500ml</t>
  </si>
  <si>
    <t>evidence/2026-09-10-raw-observations.json#/market/5/result/content/0/text→JSON/data/13</t>
  </si>
  <si>
    <t>M-0115</t>
  </si>
  <si>
    <t>19238762292</t>
  </si>
  <si>
    <t>Petcher Madre De Cacao Pet Shampoo 1/2 Gallon with Free Soap for Dogs and Cats</t>
  </si>
  <si>
    <t>evidence/2026-09-10-raw-observations.json#/market/5/result/content/0/text→JSON/data/14</t>
  </si>
  <si>
    <t>M-0116</t>
  </si>
  <si>
    <t>43164949794</t>
  </si>
  <si>
    <t>Pet hair remover; static electricity pet hair removal gloves; double-sided brush; dehairing brush; sticky hair remover; dog comb; hair scraper.</t>
  </si>
  <si>
    <t>evidence/2026-09-10-raw-observations.json#/market/5/result/content/0/text→JSON/data/15</t>
  </si>
  <si>
    <t>M-0117</t>
  </si>
  <si>
    <t>48004313341</t>
  </si>
  <si>
    <t>1719506330</t>
  </si>
  <si>
    <t>Pet Wipes Alcohol Free 100 pcs/Pack Remove Tear Sterilization and Cleaning Pet Skin</t>
  </si>
  <si>
    <t>evidence/2026-09-10-raw-observations.json#/market/5/result/content/0/text→JSON/data/16</t>
  </si>
  <si>
    <t>M-0118</t>
  </si>
  <si>
    <t>45009914577</t>
  </si>
  <si>
    <t>1630116870</t>
  </si>
  <si>
    <t>4 In 1 Pet Shampoo Anti Tick Flea Remover Antifungal for Dogs Cats Clean Soft Coat</t>
  </si>
  <si>
    <t>evidence/2026-09-10-raw-observations.json#/market/5/result/content/0/text→JSON/data/17</t>
  </si>
  <si>
    <t>M-0119</t>
  </si>
  <si>
    <t>13976121510</t>
  </si>
  <si>
    <t>279496809</t>
  </si>
  <si>
    <t>Lint Remover Sticky Roller Pet Fur Cleaning Roller Pet Hair Fur Remover Roller Clothing Sticky Rolle</t>
  </si>
  <si>
    <t>evidence/2026-09-10-raw-observations.json#/market/5/result/content/0/text→JSON/data/18</t>
  </si>
  <si>
    <t>M-0120</t>
  </si>
  <si>
    <t>14551973510</t>
  </si>
  <si>
    <t>Sticky Pet Fur Cleaner Hair Roller dog/cat hair roller Clothes Dust Removal Strong Sticky Reusable</t>
  </si>
  <si>
    <t>evidence/2026-09-10-raw-observations.json#/market/5/result/content/0/text→JSON/data/19</t>
  </si>
  <si>
    <t>M-0121</t>
  </si>
  <si>
    <t>sink strainer</t>
  </si>
  <si>
    <t>42360740960</t>
  </si>
  <si>
    <t>1568174192</t>
  </si>
  <si>
    <t>Sink Hanging Strainer Multifunctional Basket Detachable Kitchen Garbage Filter Quickly Drain Clean</t>
  </si>
  <si>
    <t>evidence/2026-09-10-raw-observations.json#/market/6/result/content/0/text→JSON/data/0</t>
  </si>
  <si>
    <t>M-0122</t>
  </si>
  <si>
    <t>56451544076</t>
  </si>
  <si>
    <t>1567803726</t>
  </si>
  <si>
    <t>Anti-Clogging Drain Cover Rotating Mesh Design Filter Bug Proof Sink Strainer Bathroom Kitching</t>
  </si>
  <si>
    <t>evidence/2026-09-10-raw-observations.json#/market/6/result/content/0/text→JSON/data/1</t>
  </si>
  <si>
    <t>M-0123</t>
  </si>
  <si>
    <t>23440230187</t>
  </si>
  <si>
    <t>521916684</t>
  </si>
  <si>
    <t>Sink Anti-Clogging Silicone Floor Drain Bathroom Drain Hair Anti-Clogging Filter Sewer Mouth Filter</t>
  </si>
  <si>
    <t>evidence/2026-09-10-raw-observations.json#/market/6/result/content/0/text→JSON/data/2</t>
  </si>
  <si>
    <t>M-0124</t>
  </si>
  <si>
    <t>16496459941</t>
  </si>
  <si>
    <t>602608657</t>
  </si>
  <si>
    <t>Nipiin Kitchen Sink Drain Basket Sink Strainer Stainless Steel Triangle Basket Sink Food Strainer</t>
  </si>
  <si>
    <t>evidence/2026-09-10-raw-observations.json#/market/6/result/content/0/text→JSON/data/3</t>
  </si>
  <si>
    <t>M-0125</t>
  </si>
  <si>
    <t>28788761682</t>
  </si>
  <si>
    <t>Sink Hanging Strainer Multifunctional Basket  Detachable Kitchen Garbage Filter Quickly Drain Clean</t>
  </si>
  <si>
    <t>evidence/2026-09-10-raw-observations.json#/market/6/result/content/0/text→JSON/data/4</t>
  </si>
  <si>
    <t>M-0126</t>
  </si>
  <si>
    <t>26656395027</t>
  </si>
  <si>
    <t>1200844016</t>
  </si>
  <si>
    <t>Stainless Steel Oil Container Can Kitchen Oil Filter Pot Household Oil Strainer with filter</t>
  </si>
  <si>
    <t>evidence/2026-09-10-raw-observations.json#/market/6/result/content/0/text→JSON/data/5</t>
  </si>
  <si>
    <t>M-0127</t>
  </si>
  <si>
    <t>2930720461</t>
  </si>
  <si>
    <t>144287446</t>
  </si>
  <si>
    <t>DVX Kitchen Strainer with Handle, Stainless Steel Mesh Sieve for Draining, Rinsing and Filtering</t>
  </si>
  <si>
    <t>evidence/2026-09-10-raw-observations.json#/market/6/result/content/0/text→JSON/data/6</t>
  </si>
  <si>
    <t>M-0128</t>
  </si>
  <si>
    <t>27225516923</t>
  </si>
  <si>
    <t>1283444686</t>
  </si>
  <si>
    <t>Kitchen Sink Drain Pipe Strainer Hose Filter Stainless Steel Prevent Backflow And Odor Pipe Sewer</t>
  </si>
  <si>
    <t>evidence/2026-09-10-raw-observations.json#/market/6/result/content/0/text→JSON/data/7</t>
  </si>
  <si>
    <t>M-0129</t>
  </si>
  <si>
    <t>27508852112</t>
  </si>
  <si>
    <t>Extendable Drain Basket Fruits Vegetables Plastic Filter Sponge Dish Sink Rack Flexible Strainer</t>
  </si>
  <si>
    <t>evidence/2026-09-10-raw-observations.json#/market/6/result/content/0/text→JSON/data/8</t>
  </si>
  <si>
    <t>M-0130</t>
  </si>
  <si>
    <t>24206736601</t>
  </si>
  <si>
    <t>1093485436</t>
  </si>
  <si>
    <t>CHICAGO Stainless Steel Floor STRAINER with Basket (4x4)</t>
  </si>
  <si>
    <t>evidence/2026-09-10-raw-observations.json#/market/6/result/content/0/text→JSON/data/9</t>
  </si>
  <si>
    <t>M-0131</t>
  </si>
  <si>
    <t>28190491419</t>
  </si>
  <si>
    <t>1082284946</t>
  </si>
  <si>
    <t>Kitchen Bathroom Sink Drain Strainer Stainless Steel Floor Drain Filter Mesh Basket Filter Hair Trap</t>
  </si>
  <si>
    <t>evidence/2026-09-10-raw-observations.json#/market/6/result/content/0/text→JSON/data/10</t>
  </si>
  <si>
    <t>M-0132</t>
  </si>
  <si>
    <t>19694647631</t>
  </si>
  <si>
    <t>970194884</t>
  </si>
  <si>
    <t>Silicone Anti-Clogging Sink Drain Filter Square Floor Sink Strainer for Shower Drain Cover</t>
  </si>
  <si>
    <t>M-0133</t>
  </si>
  <si>
    <t>26936972554</t>
  </si>
  <si>
    <t>1511696142</t>
  </si>
  <si>
    <t>Stainless Steel Frying Oil Strainer Steam Rack Oil Drainer Mesh Colander Filter Kitchen Accessories</t>
  </si>
  <si>
    <t>evidence/2026-09-10-raw-observations.json#/market/6/result/content/0/text→JSON/data/12</t>
  </si>
  <si>
    <t>M-0134</t>
  </si>
  <si>
    <t>21536614513</t>
  </si>
  <si>
    <t>97288003</t>
  </si>
  <si>
    <t>【In Stock】Net Sink Strainer Corner Sink Filter Drain Net Bag Garbage Filter Kitchen Sink Net</t>
  </si>
  <si>
    <t>evidence/2026-09-10-raw-observations.json#/market/6/result/content/0/text→JSON/data/13</t>
  </si>
  <si>
    <t>M-0135</t>
  </si>
  <si>
    <t>27513482233</t>
  </si>
  <si>
    <t>682412220</t>
  </si>
  <si>
    <t>1pcs Sink Filter Hair Catcher, Floor Drain Anti-Clog Hair Filter Mesh, Silicone Shower Drain Cover</t>
  </si>
  <si>
    <t>evidence/2026-09-10-raw-observations.json#/market/6/result/content/0/text→JSON/data/14</t>
  </si>
  <si>
    <t>M-0136</t>
  </si>
  <si>
    <t>27301331805</t>
  </si>
  <si>
    <t>436050599</t>
  </si>
  <si>
    <t>Stainless steel Floor Strainer With Basket 4 Inch 6 Inch</t>
  </si>
  <si>
    <t>evidence/2026-09-10-raw-observations.json#/market/6/result/content/0/text→JSON/data/15</t>
  </si>
  <si>
    <t>M-0137</t>
  </si>
  <si>
    <t>24881665281</t>
  </si>
  <si>
    <t>378176081</t>
  </si>
  <si>
    <t>Kitchen Sink Strainer Stainless Steel Drain Hole Strainer Sink Drain Strainer Sink Hopper Filter</t>
  </si>
  <si>
    <t>evidence/2026-09-10-raw-observations.json#/market/6/result/content/0/text→JSON/data/16</t>
  </si>
  <si>
    <t>M-0138</t>
  </si>
  <si>
    <t>8790228798</t>
  </si>
  <si>
    <t>307852387</t>
  </si>
  <si>
    <t>Sink Strainer Stainless Steel 72MM/90MM/115MM</t>
  </si>
  <si>
    <t>evidence/2026-09-10-raw-observations.json#/market/6/result/content/0/text→JSON/data/17</t>
  </si>
  <si>
    <t>M-0139</t>
  </si>
  <si>
    <t>8359448221</t>
  </si>
  <si>
    <t>201834730</t>
  </si>
  <si>
    <t>Stainless Sink Strainer 2.5 In Sink Strainer with 4 In Tail Piece</t>
  </si>
  <si>
    <t>evidence/2026-09-10-raw-observations.json#/market/6/result/content/0/text→JSON/data/18</t>
  </si>
  <si>
    <t>M-0140</t>
  </si>
  <si>
    <t>3690211796</t>
  </si>
  <si>
    <t>17347931</t>
  </si>
  <si>
    <t>Retractable Sink Water Filter Rack Drain Basket Stainless Steel Kitchen Sink Dish Drainer Counter</t>
  </si>
  <si>
    <t>evidence/2026-09-10-raw-observations.json#/market/6/result/content/0/text→JSON/data/19</t>
  </si>
  <si>
    <t>M-0141</t>
  </si>
  <si>
    <t>2026-09-11T13:48:29.510Z</t>
  </si>
  <si>
    <t>closet hanging organizer</t>
  </si>
  <si>
    <t>16595257849</t>
  </si>
  <si>
    <t>998991383</t>
  </si>
  <si>
    <t>Creative 5-in-1 Pants Hanger Stainless Steel Clothes Trouser Racks Closet Space Saving Organizer</t>
  </si>
  <si>
    <t>M-0142</t>
  </si>
  <si>
    <t>28988478574</t>
  </si>
  <si>
    <t>1425936893</t>
  </si>
  <si>
    <t>Wooden Stylish Organizer for Home Hanging Wall Shelf-Wall-Mounted Storage &amp; Display,Space Partition</t>
  </si>
  <si>
    <t>evidence/2026-09-11-raw-observations.json#/queries/0/result/content/0/text→JSON/data/1</t>
  </si>
  <si>
    <t>M-0143</t>
  </si>
  <si>
    <t>evidence/2026-09-11-raw-observations.json#/queries/0/result/content/0/text→JSON/data/2</t>
  </si>
  <si>
    <t>M-0144</t>
  </si>
  <si>
    <t>29510450358</t>
  </si>
  <si>
    <t>745640497</t>
  </si>
  <si>
    <t>Pegboard Peg Board Organizer Accessories Shelf Wall Hanging Rack Shelves Storage Home Decoration</t>
  </si>
  <si>
    <t>evidence/2026-09-11-raw-observations.json#/queries/0/result/content/0/text→JSON/data/3</t>
  </si>
  <si>
    <t>M-0145</t>
  </si>
  <si>
    <t>17373997551</t>
  </si>
  <si>
    <t>697661524</t>
  </si>
  <si>
    <t>2026 New 50pcs Non Slip Velvet Suit Clothes Hangers Wardrobe Home Closet Organizer</t>
  </si>
  <si>
    <t>evidence/2026-09-11-raw-observations.json#/queries/0/result/content/0/text→JSON/data/4</t>
  </si>
  <si>
    <t>M-0146</t>
  </si>
  <si>
    <t>22564178118</t>
  </si>
  <si>
    <t>1133504558</t>
  </si>
  <si>
    <t>5Pcs Pants Hangers S Shape Trousers Hangers Stainless Steel Clothes Hangers Closet Storage Organizer for Pants Jeans Scarf</t>
  </si>
  <si>
    <t>evidence/2026-09-11-raw-observations.json#/queries/0/result/content/0/text→JSON/data/5</t>
  </si>
  <si>
    <t>M-0147</t>
  </si>
  <si>
    <t>28740303369</t>
  </si>
  <si>
    <t>375375228</t>
  </si>
  <si>
    <t>Drill Free Aluminum Door Hanger Door Rear Clothes Hanging Hook Bedroom Bathroom Organizer Rack</t>
  </si>
  <si>
    <t>M-0148</t>
  </si>
  <si>
    <t>evidence/2026-09-11-raw-observations.json#/queries/0/result/content/0/text→JSON/data/7</t>
  </si>
  <si>
    <t>M-0149</t>
  </si>
  <si>
    <t>evidence/2026-09-11-raw-observations.json#/queries/0/result/content/0/text→JSON/data/8</t>
  </si>
  <si>
    <t>M-0150</t>
  </si>
  <si>
    <t>29836589942</t>
  </si>
  <si>
    <t>1124169656</t>
  </si>
  <si>
    <t>10 Pcs 5 Layers Multi-Functional Non-Slip Pants Hanger Space Saving Closet Organizer Storage</t>
  </si>
  <si>
    <t>evidence/2026-09-11-raw-observations.json#/queries/0/result/content/0/text→JSON/data/9</t>
  </si>
  <si>
    <t>M-0151</t>
  </si>
  <si>
    <t>26083676427</t>
  </si>
  <si>
    <t>1505222588</t>
  </si>
  <si>
    <t>50PCS High Quality Plastic Clothes Hanger Non-slip Heavy Clothes Hanger for Closet Storage</t>
  </si>
  <si>
    <t>evidence/2026-09-11-raw-observations.json#/queries/0/result/content/0/text→JSON/data/10</t>
  </si>
  <si>
    <t>M-0152</t>
  </si>
  <si>
    <t>evidence/2026-09-11-raw-observations.json#/queries/0/result/content/0/text→JSON/data/11</t>
  </si>
  <si>
    <t>M-0153</t>
  </si>
  <si>
    <t>41274986167</t>
  </si>
  <si>
    <t>50107932</t>
  </si>
  <si>
    <t>3 Layers Storage Rack Shelf Wall Hanging Organizer For Bathroom</t>
  </si>
  <si>
    <t>evidence/2026-09-11-raw-observations.json#/queries/0/result/content/0/text→JSON/data/12</t>
  </si>
  <si>
    <t>M-0154</t>
  </si>
  <si>
    <t>evidence/2026-09-11-raw-observations.json#/queries/0/result/content/0/text→JSON/data/13</t>
  </si>
  <si>
    <t>M-0155</t>
  </si>
  <si>
    <t>43306697837</t>
  </si>
  <si>
    <t>1344635572</t>
  </si>
  <si>
    <t>Hanging Wall File Organizer for Documents Paper  Underwear Storage Use in Office Classroom or Closet</t>
  </si>
  <si>
    <t>M-0156</t>
  </si>
  <si>
    <t>56601074241</t>
  </si>
  <si>
    <t>Kitchen Hanging Bag Storage Organizer Wall-Mounted Miscellaneous Space-Saving  Plastic&amp;Trash Bags</t>
  </si>
  <si>
    <t>evidence/2026-09-11-raw-observations.json#/queries/0/result/content/0/text→JSON/data/15</t>
  </si>
  <si>
    <t>M-0157</t>
  </si>
  <si>
    <t>7863017758</t>
  </si>
  <si>
    <t>35132736</t>
  </si>
  <si>
    <t>Door Back ShoeRack Wall Mounted Slipper Organize  Storage Stand hanging shoerack lagayan ng tsinelas</t>
  </si>
  <si>
    <t>evidence/2026-09-11-raw-observations.json#/queries/0/result/content/0/text→JSON/data/16</t>
  </si>
  <si>
    <t>M-0158</t>
  </si>
  <si>
    <t>41726021890</t>
  </si>
  <si>
    <t>1607229342</t>
  </si>
  <si>
    <t>63CM Wall Mounted Shoe Rack Slipper Organizer 3-IN-1 Bathroom Kitchen Door No-drill Hanging rack</t>
  </si>
  <si>
    <t>evidence/2026-09-11-raw-observations.json#/queries/0/result/content/0/text→JSON/data/17</t>
  </si>
  <si>
    <t>M-0159</t>
  </si>
  <si>
    <t>29051638997</t>
  </si>
  <si>
    <t>1266776472</t>
  </si>
  <si>
    <t>(LONG &amp; SHORT) HANGING RACK DISPLAY | SHOE ORGANIZER | SHOE RACK</t>
  </si>
  <si>
    <t>evidence/2026-09-11-raw-observations.json#/queries/0/result/content/0/text→JSON/data/18</t>
  </si>
  <si>
    <t>M-0160</t>
  </si>
  <si>
    <t>12536138081</t>
  </si>
  <si>
    <t>370984810</t>
  </si>
  <si>
    <t>Clothes Hanger with Clip / Sipitan 10clips Hanger hanger clip 1PCS HIGH QUALITY--A</t>
  </si>
  <si>
    <t>M-0161</t>
  </si>
  <si>
    <t>2026-09-11T13:49:01.661Z</t>
  </si>
  <si>
    <t>travel jewelry organizer</t>
  </si>
  <si>
    <t>9160201507</t>
  </si>
  <si>
    <t>105LThick Oxford cloth clothes sundries quilt pillow Closet storage bag pouch organizer travel bag</t>
  </si>
  <si>
    <t>evidence/2026-09-11-raw-observations.json#/queries/1/result/content/0/text→JSON/data/0</t>
  </si>
  <si>
    <t>M-0162</t>
  </si>
  <si>
    <t>24111098364</t>
  </si>
  <si>
    <t>719992959</t>
  </si>
  <si>
    <t>10 In 1 Travel Organizer Travel Pouch Travel Luggage Bag Organizer Storage Set Foldable Resealable</t>
  </si>
  <si>
    <t>evidence/2026-09-11-raw-observations.json#/queries/1/result/content/0/text→JSON/data/1</t>
  </si>
  <si>
    <t>M-0163</t>
  </si>
  <si>
    <t>18175161859</t>
  </si>
  <si>
    <t>33879950</t>
  </si>
  <si>
    <t>Luxury Accessories Jewelry Organizer Box for Engagement Wedding Anniversary Gift for RING Necklace</t>
  </si>
  <si>
    <t>evidence/2026-09-11-raw-observations.json#/queries/1/result/content/0/text→JSON/data/2</t>
  </si>
  <si>
    <t>M-0164</t>
  </si>
  <si>
    <t>210822393</t>
  </si>
  <si>
    <t>6 in 1 traveling  luggage bag in bag clothes organizer</t>
  </si>
  <si>
    <t>evidence/2026-09-11-raw-observations.json#/queries/1/result/content/0/text→JSON/data/3</t>
  </si>
  <si>
    <t>M-0165</t>
  </si>
  <si>
    <t>24825651987</t>
  </si>
  <si>
    <t>131601188</t>
  </si>
  <si>
    <t>Cosmetic Bag Organizer Make Up Bag Large Portable Travel Toiletry Bag Storage Bag</t>
  </si>
  <si>
    <t>evidence/2026-09-11-raw-observations.json#/queries/1/result/content/0/text→JSON/data/4</t>
  </si>
  <si>
    <t>M-0166</t>
  </si>
  <si>
    <t>23246574768</t>
  </si>
  <si>
    <t>999944254</t>
  </si>
  <si>
    <t>Travel Bag for Woman Large Capacity Hand Carry Big Size Organizer Bag for Travel Clothes</t>
  </si>
  <si>
    <t>evidence/2026-09-11-raw-observations.json#/queries/1/result/content/0/text→JSON/data/5</t>
  </si>
  <si>
    <t>M-0167</t>
  </si>
  <si>
    <t>evidence/2026-09-11-raw-observations.json#/queries/1/result/content/0/text→JSON/data/6</t>
  </si>
  <si>
    <t>M-0168</t>
  </si>
  <si>
    <t>25525886150</t>
  </si>
  <si>
    <t>1229056552</t>
  </si>
  <si>
    <t>Travel Pouch Cosmetics Makeup Bag | Wash Toiletries Organizer | Mesh Net Mesh Cosmetic Storage Bag</t>
  </si>
  <si>
    <t>M-0169</t>
  </si>
  <si>
    <t>25261100055</t>
  </si>
  <si>
    <t>10 In 1 Travel Organizer Thickened Zip Lock Travel Pouch Travel Luggage Bag Pouch Organizer Storage</t>
  </si>
  <si>
    <t>evidence/2026-09-11-raw-observations.json#/queries/1/result/content/0/text→JSON/data/8</t>
  </si>
  <si>
    <t>M-0170</t>
  </si>
  <si>
    <t>23864233924</t>
  </si>
  <si>
    <t>1207181673</t>
  </si>
  <si>
    <t>5 Layer Transparent Round Jewelry Organizer Box Storage Gifts</t>
  </si>
  <si>
    <t>evidence/2026-09-11-raw-observations.json#/queries/1/result/content/0/text→JSON/data/9</t>
  </si>
  <si>
    <t>M-0171</t>
  </si>
  <si>
    <t>evidence/2026-09-11-raw-observations.json#/queries/1/result/content/0/text→JSON/data/10</t>
  </si>
  <si>
    <t>M-0172</t>
  </si>
  <si>
    <t>27176774246</t>
  </si>
  <si>
    <t>727721630</t>
  </si>
  <si>
    <t>Travel Cosmetic Toiletries Organizer Large Capacity Waterproof Hanging Storage Bag for Makeup and Toiletry</t>
  </si>
  <si>
    <t>evidence/2026-09-11-raw-observations.json#/queries/1/result/content/0/text→JSON/data/11</t>
  </si>
  <si>
    <t>M-0173</t>
  </si>
  <si>
    <t>27810028091</t>
  </si>
  <si>
    <t>38727052</t>
  </si>
  <si>
    <t>Portable Travel Jewellery Jewelry Earrings Ring Pendant Accessories Storage Box Organizer Case</t>
  </si>
  <si>
    <t>M-0174</t>
  </si>
  <si>
    <t>26535260041</t>
  </si>
  <si>
    <t>Foldable Travel Organizer Bags Socks Underwear Storage Bag Pouch Organizer luggage suitcase</t>
  </si>
  <si>
    <t>evidence/2026-09-11-raw-observations.json#/queries/1/result/content/0/text→JSON/data/13</t>
  </si>
  <si>
    <t>M-0175</t>
  </si>
  <si>
    <t>1167432595</t>
  </si>
  <si>
    <t>evidence/2026-09-11-raw-observations.json#/queries/1/result/content/0/text→JSON/data/14</t>
  </si>
  <si>
    <t>M-0176</t>
  </si>
  <si>
    <t>23954859081</t>
  </si>
  <si>
    <t>727692147</t>
  </si>
  <si>
    <t>7 In 1 /10 In 1Travel Organizer Bags Cosmetic Bag Foldable Waterproof Luggage Storage Bag Set Travel Storage Suitcase Bag</t>
  </si>
  <si>
    <t>evidence/2026-09-11-raw-observations.json#/queries/1/result/content/0/text→JSON/data/15</t>
  </si>
  <si>
    <t>M-0177</t>
  </si>
  <si>
    <t>25305669141</t>
  </si>
  <si>
    <t>514999607</t>
  </si>
  <si>
    <t>Double Layer Travel Organizer Portable Cable Storage Pouch Gadget Bag Waterproof COD</t>
  </si>
  <si>
    <t>M-0178</t>
  </si>
  <si>
    <t>22219965994</t>
  </si>
  <si>
    <t>148902509</t>
  </si>
  <si>
    <t>Cable Wires / Charger / accessories Case organizer travel size wallet type wire organizing mini bag</t>
  </si>
  <si>
    <t>evidence/2026-09-11-raw-observations.json#/queries/1/result/content/0/text→JSON/data/17</t>
  </si>
  <si>
    <t>M-0179</t>
  </si>
  <si>
    <t>52863649576</t>
  </si>
  <si>
    <t>1809279180</t>
  </si>
  <si>
    <t>Weekly Pill Organizer 7 Compartment Pill Box Portable Capsule Medicine Tablet Travel Storage Case</t>
  </si>
  <si>
    <t>evidence/2026-09-11-raw-observations.json#/queries/1/result/content/0/text→JSON/data/18</t>
  </si>
  <si>
    <t>M-0180</t>
  </si>
  <si>
    <t>24140580159</t>
  </si>
  <si>
    <t>1244792170</t>
  </si>
  <si>
    <t>Portable Travel Makeup Bag PU Leather Comestic Bag Toiletry Wash Organizer For Travel Fashion Ins</t>
  </si>
  <si>
    <t>evidence/2026-09-11-raw-observations.json#/queries/1/result/content/0/text→JSON/data/19</t>
  </si>
  <si>
    <t>M-0181</t>
  </si>
  <si>
    <t>2026-09-11T13:49:09.303Z</t>
  </si>
  <si>
    <t>cable management sleeve</t>
  </si>
  <si>
    <t>12774660440</t>
  </si>
  <si>
    <t>667022691</t>
  </si>
  <si>
    <t>【Not For Sale】Silicone Spiral Data Cable Protection Sleeve Cover Pelindung Kabel Wire Data Spiral</t>
  </si>
  <si>
    <t>evidence/2026-09-11-raw-observations.json#/queries/2/result/content/0/text→JSON/data/0</t>
  </si>
  <si>
    <t>M-0182</t>
  </si>
  <si>
    <t>50404012039</t>
  </si>
  <si>
    <t>1714124861</t>
  </si>
  <si>
    <t>530/328/164PCS Insulation Heat Shrink Tube Assortment Wire Cable Sleeve Kit heat shrink tube Repair</t>
  </si>
  <si>
    <t>evidence/2026-09-11-raw-observations.json#/queries/2/result/content/0/text→JSON/data/1</t>
  </si>
  <si>
    <t>M-0183</t>
  </si>
  <si>
    <t>15378401905</t>
  </si>
  <si>
    <t>748706594</t>
  </si>
  <si>
    <t>164/328/530Pcs Heat Shrink Tubing Insulation Shrinkable Tube 2:1 Wire Cable Sleeve Kit</t>
  </si>
  <si>
    <t>evidence/2026-09-11-raw-observations.json#/queries/2/result/content/0/text→JSON/data/2</t>
  </si>
  <si>
    <t>M-0184</t>
  </si>
  <si>
    <t>evidence/2026-09-11-raw-observations.json#/queries/2/result/content/0/text→JSON/data/3</t>
  </si>
  <si>
    <t>M-0185</t>
  </si>
  <si>
    <t>6564415298</t>
  </si>
  <si>
    <t>284375565</t>
  </si>
  <si>
    <t>10m Heat Shrink Tube/ Heat Shrinkable Sleeving Wire Cable Kit φ1MM ~ 20MM</t>
  </si>
  <si>
    <t>evidence/2026-09-11-raw-observations.json#/queries/2/result/content/0/text→JSON/data/4</t>
  </si>
  <si>
    <t>M-0186</t>
  </si>
  <si>
    <t>21665031345</t>
  </si>
  <si>
    <t>343334872</t>
  </si>
  <si>
    <t>(per mtr) 12mm-50mm Heat shrinkable Tube Shrink Pipe Protection Electrical Connection Cable and Wire</t>
  </si>
  <si>
    <t>evidence/2026-09-11-raw-observations.json#/queries/2/result/content/0/text→JSON/data/5</t>
  </si>
  <si>
    <t>M-0187</t>
  </si>
  <si>
    <t>evidence/2026-09-11-raw-observations.json#/queries/2/result/content/0/text→JSON/data/6</t>
  </si>
  <si>
    <t>M-0188</t>
  </si>
  <si>
    <t>20461094638</t>
  </si>
  <si>
    <t>890806392</t>
  </si>
  <si>
    <t>Open Slot Cable Duct Management Raceway 1m*30*30/50*50mm</t>
  </si>
  <si>
    <t>evidence/2026-09-11-raw-observations.json#/queries/2/result/content/0/text→JSON/data/7</t>
  </si>
  <si>
    <t>M-0189</t>
  </si>
  <si>
    <t>23677996829</t>
  </si>
  <si>
    <t>688606080</t>
  </si>
  <si>
    <t>Fiber Sleeve Fiber Heat Shrink Tube 100/50 pcs Fiber Pipe Fusion Splicer Protection Sleeve</t>
  </si>
  <si>
    <t>evidence/2026-09-11-raw-observations.json#/queries/2/result/content/0/text→JSON/data/8</t>
  </si>
  <si>
    <t>M-0190</t>
  </si>
  <si>
    <t>19274099128</t>
  </si>
  <si>
    <t>890279864</t>
  </si>
  <si>
    <t>Custom Make Single Sleeved Pet Mechanical Keyboard Coiled USB To Type C Mini Micro Spiral Cable Colorful Gx12 Aviation Socket</t>
  </si>
  <si>
    <t>evidence/2026-09-11-raw-observations.json#/queries/2/result/content/0/text→JSON/data/9</t>
  </si>
  <si>
    <t>M-0191</t>
  </si>
  <si>
    <t>22135470144</t>
  </si>
  <si>
    <t>969657190</t>
  </si>
  <si>
    <t>20M Braid Sleeving PET Braided Expandable Auto Line Management Insulated Cable Sleeve Pipe Protective Sheath Tube Wire Wrap</t>
  </si>
  <si>
    <t>M-0192</t>
  </si>
  <si>
    <t>47150127244</t>
  </si>
  <si>
    <t>1644162430</t>
  </si>
  <si>
    <t>Under Desk Cable Management Tray Wire Organizer Under Table Cord Organizer Cable Tray Computer Cord</t>
  </si>
  <si>
    <t>evidence/2026-09-11-raw-observations.json#/queries/2/result/content/0/text→JSON/data/11</t>
  </si>
  <si>
    <t>M-0193</t>
  </si>
  <si>
    <t>28681696600</t>
  </si>
  <si>
    <t>1378374468</t>
  </si>
  <si>
    <t>Cable Wire Cord Organizer Winder Cable Management Clip Cable Wrap Cord Storage Kitchen Organizer</t>
  </si>
  <si>
    <t>evidence/2026-09-11-raw-observations.json#/queries/2/result/content/0/text→JSON/data/12</t>
  </si>
  <si>
    <t>M-0194</t>
  </si>
  <si>
    <t>19579062326</t>
  </si>
  <si>
    <t>682614836</t>
  </si>
  <si>
    <t>Fiber Protection Box for Fiber Heat Shrink Tube Sleeves 2-Core Joint Tray 2 In 2 Outlet</t>
  </si>
  <si>
    <t>evidence/2026-09-11-raw-observations.json#/queries/2/result/content/0/text→JSON/data/13</t>
  </si>
  <si>
    <t>M-0195</t>
  </si>
  <si>
    <t>52557948983</t>
  </si>
  <si>
    <t>1776577296</t>
  </si>
  <si>
    <t>Thumb-shaped Cable Organizer Desktop Wire Manager Cord Holder Storage For Earphone Mouse Bobbin Winder</t>
  </si>
  <si>
    <t>evidence/2026-09-11-raw-observations.json#/queries/2/result/content/0/text→JSON/data/14</t>
  </si>
  <si>
    <t>M-0196</t>
  </si>
  <si>
    <t>10294914321</t>
  </si>
  <si>
    <t>733561652</t>
  </si>
  <si>
    <t>Suitable for Iphone/Android Spiral Data Cable Creative Protective Sleeve Charger/Headphone Winder</t>
  </si>
  <si>
    <t>evidence/2026-09-11-raw-observations.json#/queries/2/result/content/0/text→JSON/data/15</t>
  </si>
  <si>
    <t>M-0197</t>
  </si>
  <si>
    <t>3009304155</t>
  </si>
  <si>
    <t>16277387</t>
  </si>
  <si>
    <t>5pcs/3pcs Android/Type C iCable Protector Cable Wire Organizer Winder Heat Shrink Tube Sleeve</t>
  </si>
  <si>
    <t>evidence/2026-09-11-raw-observations.json#/queries/2/result/content/0/text→JSON/data/16</t>
  </si>
  <si>
    <t>M-0198</t>
  </si>
  <si>
    <t>25286970958</t>
  </si>
  <si>
    <t>1157080722</t>
  </si>
  <si>
    <t>ABS Table Grommet Office Hardware Matt Rectangle Wire Cable Grommet Square Table Desk Grommet</t>
  </si>
  <si>
    <t>M-0199</t>
  </si>
  <si>
    <t>13343887632</t>
  </si>
  <si>
    <t>468981226</t>
  </si>
  <si>
    <t>PET Nylon Braided Sleeve Tube 1mm - 18mm Width Car Audio Cable Wire Sleeving</t>
  </si>
  <si>
    <t>evidence/2026-09-11-raw-observations.json#/queries/2/result/content/0/text→JSON/data/18</t>
  </si>
  <si>
    <t>M-0200</t>
  </si>
  <si>
    <t>20569033063</t>
  </si>
  <si>
    <t>264585346</t>
  </si>
  <si>
    <t>50 Pcs Reusable Cable Tie, Cable Management Tape, Cable Management Organizer with Hook and Loop Design</t>
  </si>
  <si>
    <t>M-0201</t>
  </si>
  <si>
    <t>2026-09-11T13:49:14.285Z</t>
  </si>
  <si>
    <t>travel accessories organizer</t>
  </si>
  <si>
    <t>evidence/2026-09-11-raw-observations.json#/queries/3/result/content/0/text→JSON/data/0</t>
  </si>
  <si>
    <t>M-0202</t>
  </si>
  <si>
    <t>evidence/2026-09-11-raw-observations.json#/queries/3/result/content/0/text→JSON/data/1</t>
  </si>
  <si>
    <t>M-0203</t>
  </si>
  <si>
    <t>evidence/2026-09-11-raw-observations.json#/queries/3/result/content/0/text→JSON/data/2</t>
  </si>
  <si>
    <t>M-0204</t>
  </si>
  <si>
    <t>evidence/2026-09-11-raw-observations.json#/queries/3/result/content/0/text→JSON/data/3</t>
  </si>
  <si>
    <t>M-0205</t>
  </si>
  <si>
    <t>evidence/2026-09-11-raw-observations.json#/queries/3/result/content/0/text→JSON/data/4</t>
  </si>
  <si>
    <t>M-0206</t>
  </si>
  <si>
    <t>3907834177</t>
  </si>
  <si>
    <t>anko Travel Shoe Pouch Organizer Storage BagTravel Shoe Pouch Organizer Storage Bag</t>
  </si>
  <si>
    <t>evidence/2026-09-11-raw-observations.json#/queries/3/result/content/0/text→JSON/data/5</t>
  </si>
  <si>
    <t>M-0207</t>
  </si>
  <si>
    <t>evidence/2026-09-11-raw-observations.json#/queries/3/result/content/0/text→JSON/data/6</t>
  </si>
  <si>
    <t>M-0208</t>
  </si>
  <si>
    <t>29363692852</t>
  </si>
  <si>
    <t>Large capacity Waterproof Portable Cosmetic Makeup Skin Care Beach Wash Travel Bag Pouch Organizer</t>
  </si>
  <si>
    <t>evidence/2026-09-11-raw-observations.json#/queries/3/result/content/0/text→JSON/data/7</t>
  </si>
  <si>
    <t>M-0209</t>
  </si>
  <si>
    <t>evidence/2026-09-11-raw-observations.json#/queries/3/result/content/0/text→JSON/data/8</t>
  </si>
  <si>
    <t>M-0210</t>
  </si>
  <si>
    <t>evidence/2026-09-11-raw-observations.json#/queries/3/result/content/0/text→JSON/data/9</t>
  </si>
  <si>
    <t>M-0211</t>
  </si>
  <si>
    <t>evidence/2026-09-11-raw-observations.json#/queries/3/result/content/0/text→JSON/data/10</t>
  </si>
  <si>
    <t>M-0212</t>
  </si>
  <si>
    <t>evidence/2026-09-11-raw-observations.json#/queries/3/result/content/0/text→JSON/data/11</t>
  </si>
  <si>
    <t>M-0213</t>
  </si>
  <si>
    <t>evidence/2026-09-11-raw-observations.json#/queries/3/result/content/0/text→JSON/data/12</t>
  </si>
  <si>
    <t>M-0214</t>
  </si>
  <si>
    <t>evidence/2026-09-11-raw-observations.json#/queries/3/result/content/0/text→JSON/data/13</t>
  </si>
  <si>
    <t>M-0215</t>
  </si>
  <si>
    <t>evidence/2026-09-11-raw-observations.json#/queries/3/result/content/0/text→JSON/data/14</t>
  </si>
  <si>
    <t>M-0216</t>
  </si>
  <si>
    <t>12732459151</t>
  </si>
  <si>
    <t>264860905</t>
  </si>
  <si>
    <t>Tooth Brush Holder Bathroom Organizer-Z641</t>
  </si>
  <si>
    <t>evidence/2026-09-11-raw-observations.json#/queries/3/result/content/0/text→JSON/data/15</t>
  </si>
  <si>
    <t>M-0217</t>
  </si>
  <si>
    <t>evidence/2026-09-11-raw-observations.json#/queries/3/result/content/0/text→JSON/data/16</t>
  </si>
  <si>
    <t>M-0218</t>
  </si>
  <si>
    <t>18315342843</t>
  </si>
  <si>
    <t>378376062</t>
  </si>
  <si>
    <t>Transparent Portable Cosmetic Make Up Jewelry Storage Box Organizer(No Installation Required)</t>
  </si>
  <si>
    <t>evidence/2026-09-11-raw-observations.json#/queries/3/result/content/0/text→JSON/data/17</t>
  </si>
  <si>
    <t>M-0219</t>
  </si>
  <si>
    <t>evidence/2026-09-11-raw-observations.json#/queries/3/result/content/0/text→JSON/data/18</t>
  </si>
  <si>
    <t>M-0220</t>
  </si>
  <si>
    <t>22605566723</t>
  </si>
  <si>
    <t>258609910</t>
  </si>
  <si>
    <t>TRAVEL POUCH CLEAR ORGANIZERS(16x21)</t>
  </si>
  <si>
    <t>evidence/2026-09-11-raw-observations.json#/queries/3/result/content/0/text→JSON/data/19</t>
  </si>
  <si>
    <t>08 · 数据问题</t>
  </si>
  <si>
    <t>历史问题逐条保留；重复记录是跨查询重复观测，不能误说重复订单。来源不一致要解决，不静默改币种或日期。</t>
  </si>
  <si>
    <t>问题ID</t>
  </si>
  <si>
    <t>类型</t>
  </si>
  <si>
    <t>字段</t>
  </si>
  <si>
    <t>原始值</t>
  </si>
  <si>
    <t>影响</t>
  </si>
  <si>
    <t>来源</t>
  </si>
  <si>
    <t>修复动作</t>
  </si>
  <si>
    <t>EX-0001</t>
  </si>
  <si>
    <t>事实</t>
  </si>
  <si>
    <t>sales_calc_time</t>
  </si>
  <si>
    <t>无法确认30天窗口，阻断需求/趋势/集中度</t>
  </si>
  <si>
    <t>outputs/shopee-plan-2026-09-10/raw-observations.json#/market/0/result/content/0/text→JSON/data/0/sales_calc_time</t>
  </si>
  <si>
    <t>重取同一明确窗口销量；原值保留</t>
  </si>
  <si>
    <t>未解决</t>
  </si>
  <si>
    <t>EX-0002</t>
  </si>
  <si>
    <t>outputs/shopee-plan-2026-09-10/raw-observations.json#/market/0/result/content/0/text→JSON/data/1/sales_calc_time</t>
  </si>
  <si>
    <t>EX-0003</t>
  </si>
  <si>
    <t>outputs/shopee-plan-2026-09-10/raw-observations.json#/market/0/result/content/0/text→JSON/data/2/sales_calc_time</t>
  </si>
  <si>
    <t>EX-0004</t>
  </si>
  <si>
    <t>outputs/shopee-plan-2026-09-10/raw-observations.json#/market/0/result/content/0/text→JSON/data/3/sales_calc_time</t>
  </si>
  <si>
    <t>EX-0005</t>
  </si>
  <si>
    <t>outputs/shopee-plan-2026-09-10/raw-observations.json#/market/0/result/content/0/text→JSON/data/4/sales_calc_time</t>
  </si>
  <si>
    <t>EX-0006</t>
  </si>
  <si>
    <t>outputs/shopee-plan-2026-09-10/raw-observations.json#/market/0/result/content/0/text→JSON/data/5/sales_calc_time</t>
  </si>
  <si>
    <t>EX-0007</t>
  </si>
  <si>
    <t>outputs/shopee-plan-2026-09-10/raw-observations.json#/market/0/result/content/0/text→JSON/data/6/sales_calc_time</t>
  </si>
  <si>
    <t>EX-0008</t>
  </si>
  <si>
    <t>outputs/shopee-plan-2026-09-10/raw-observations.json#/market/0/result/content/0/text→JSON/data/7/sales_calc_time</t>
  </si>
  <si>
    <t>EX-0009</t>
  </si>
  <si>
    <t>outputs/shopee-plan-2026-09-10/raw-observations.json#/market/0/result/content/0/text→JSON/data/8/sales_calc_time</t>
  </si>
  <si>
    <t>EX-0010</t>
  </si>
  <si>
    <t>outputs/shopee-plan-2026-09-10/raw-observations.json#/market/0/result/content/0/text→JSON/data/9/sales_calc_time</t>
  </si>
  <si>
    <t>EX-0011</t>
  </si>
  <si>
    <t>outputs/shopee-plan-2026-09-10/raw-observations.json#/market/0/result/content/0/text→JSON/data/10/sales_calc_time</t>
  </si>
  <si>
    <t>EX-0012</t>
  </si>
  <si>
    <t>outputs/shopee-plan-2026-09-10/raw-observations.json#/market/0/result/content/0/text→JSON/data/11/sales_calc_time</t>
  </si>
  <si>
    <t>EX-0013</t>
  </si>
  <si>
    <t>outputs/shopee-plan-2026-09-10/raw-observations.json#/market/0/result/content/0/text→JSON/data/12/sales_calc_time</t>
  </si>
  <si>
    <t>EX-0014</t>
  </si>
  <si>
    <t>outputs/shopee-plan-2026-09-10/raw-observations.json#/market/0/result/content/0/text→JSON/data/13/sales_calc_time</t>
  </si>
  <si>
    <t>EX-0015</t>
  </si>
  <si>
    <t>outputs/shopee-plan-2026-09-10/raw-observations.json#/market/0/result/content/0/text→JSON/data/14/sales_calc_time</t>
  </si>
  <si>
    <t>EX-0016</t>
  </si>
  <si>
    <t>outputs/shopee-plan-2026-09-10/raw-observations.json#/market/0/result/content/0/text→JSON/data/15/sales_calc_time</t>
  </si>
  <si>
    <t>EX-0017</t>
  </si>
  <si>
    <t>outputs/shopee-plan-2026-09-10/raw-observations.json#/market/0/result/content/0/text→JSON/data/16/sales_calc_time</t>
  </si>
  <si>
    <t>EX-0018</t>
  </si>
  <si>
    <t>outputs/shopee-plan-2026-09-10/raw-observations.json#/market/0/result/content/0/text→JSON/data/17/sales_calc_time</t>
  </si>
  <si>
    <t>EX-0019</t>
  </si>
  <si>
    <t>outputs/shopee-plan-2026-09-10/raw-observations.json#/market/0/result/content/0/text→JSON/data/18/sales_calc_time</t>
  </si>
  <si>
    <t>EX-0020</t>
  </si>
  <si>
    <t>outputs/shopee-plan-2026-09-10/raw-observations.json#/market/0/result/content/0/text→JSON/data/19/sales_calc_time</t>
  </si>
  <si>
    <t>EX-0021</t>
  </si>
  <si>
    <t>site / doc.price</t>
  </si>
  <si>
    <t>PH / Current selling price (in THB).</t>
  </si>
  <si>
    <t>阻断价格分布、销售额与利润</t>
  </si>
  <si>
    <t>outputs/shopee-plan-2026-09-10/raw-observations.json#/market/0/result/content/0/text→JSON/doc/price</t>
  </si>
  <si>
    <t>官方商品页/导出币种与服务商书面释义交叉核实</t>
  </si>
  <si>
    <t>EX-0022</t>
  </si>
  <si>
    <t>outputs/shopee-plan-2026-09-10/raw-observations.json#/market/1/result/content/0/text→JSON/data/0/sales_calc_time</t>
  </si>
  <si>
    <t>EX-0023</t>
  </si>
  <si>
    <t>outputs/shopee-plan-2026-09-10/raw-observations.json#/market/1/result/content/0/text→JSON/data/1/sales_calc_time</t>
  </si>
  <si>
    <t>EX-0024</t>
  </si>
  <si>
    <t>outputs/shopee-plan-2026-09-10/raw-observations.json#/market/1/result/content/0/text→JSON/data/2/sales_calc_time</t>
  </si>
  <si>
    <t>EX-0025</t>
  </si>
  <si>
    <t>outputs/shopee-plan-2026-09-10/raw-observations.json#/market/1/result/content/0/text→JSON/data/3/sales_calc_time</t>
  </si>
  <si>
    <t>EX-0026</t>
  </si>
  <si>
    <t>outputs/shopee-plan-2026-09-10/raw-observations.json#/market/1/result/content/0/text→JSON/data/4/sales_calc_time</t>
  </si>
  <si>
    <t>EX-0027</t>
  </si>
  <si>
    <t>outputs/shopee-plan-2026-09-10/raw-observations.json#/market/1/result/content/0/text→JSON/data/5/sales_calc_time</t>
  </si>
  <si>
    <t>EX-0028</t>
  </si>
  <si>
    <t>outputs/shopee-plan-2026-09-10/raw-observations.json#/market/1/result/content/0/text→JSON/data/6/sales_calc_time</t>
  </si>
  <si>
    <t>EX-0029</t>
  </si>
  <si>
    <t>outputs/shopee-plan-2026-09-10/raw-observations.json#/market/1/result/content/0/text→JSON/data/7/sales_calc_time</t>
  </si>
  <si>
    <t>EX-0030</t>
  </si>
  <si>
    <t>outputs/shopee-plan-2026-09-10/raw-observations.json#/market/1/result/content/0/text→JSON/data/8/sales_calc_time</t>
  </si>
  <si>
    <t>EX-0031</t>
  </si>
  <si>
    <t>outputs/shopee-plan-2026-09-10/raw-observations.json#/market/1/result/content/0/text→JSON/data/9/sales_calc_time</t>
  </si>
  <si>
    <t>EX-0032</t>
  </si>
  <si>
    <t>outputs/shopee-plan-2026-09-10/raw-observations.json#/market/1/result/content/0/text→JSON/data/10/sales_calc_time</t>
  </si>
  <si>
    <t>EX-0033</t>
  </si>
  <si>
    <t>outputs/shopee-plan-2026-09-10/raw-observations.json#/market/1/result/content/0/text→JSON/data/11/sales_calc_time</t>
  </si>
  <si>
    <t>EX-0034</t>
  </si>
  <si>
    <t>outputs/shopee-plan-2026-09-10/raw-observations.json#/market/1/result/content/0/text→JSON/data/12/sales_calc_time</t>
  </si>
  <si>
    <t>EX-0035</t>
  </si>
  <si>
    <t>outputs/shopee-plan-2026-09-10/raw-observations.json#/market/1/result/content/0/text→JSON/data/13/sales_calc_time</t>
  </si>
  <si>
    <t>EX-0036</t>
  </si>
  <si>
    <t>outputs/shopee-plan-2026-09-10/raw-observations.json#/market/1/result/content/0/text→JSON/data/14/sales_calc_time</t>
  </si>
  <si>
    <t>EX-0037</t>
  </si>
  <si>
    <t>outputs/shopee-plan-2026-09-10/raw-observations.json#/market/1/result/content/0/text→JSON/data/15/sales_calc_time</t>
  </si>
  <si>
    <t>EX-0038</t>
  </si>
  <si>
    <t>outputs/shopee-plan-2026-09-10/raw-observations.json#/market/1/result/content/0/text→JSON/data/16/sales_calc_time</t>
  </si>
  <si>
    <t>EX-0039</t>
  </si>
  <si>
    <t>outputs/shopee-plan-2026-09-10/raw-observations.json#/market/1/result/content/0/text→JSON/data/17/sales_calc_time</t>
  </si>
  <si>
    <t>EX-0040</t>
  </si>
  <si>
    <t>outputs/shopee-plan-2026-09-10/raw-observations.json#/market/1/result/content/0/text→JSON/data/18/sales_calc_time</t>
  </si>
  <si>
    <t>EX-0041</t>
  </si>
  <si>
    <t>outputs/shopee-plan-2026-09-10/raw-observations.json#/market/1/result/content/0/text→JSON/data/19/sales_calc_time</t>
  </si>
  <si>
    <t>EX-0042</t>
  </si>
  <si>
    <t>outputs/shopee-plan-2026-09-10/raw-observations.json#/market/1/result/content/0/text→JSON/doc/price</t>
  </si>
  <si>
    <t>EX-0043</t>
  </si>
  <si>
    <t>outputs/shopee-plan-2026-09-10/raw-observations.json#/market/2/result/content/0/text→JSON/data/0/sales_calc_time</t>
  </si>
  <si>
    <t>EX-0044</t>
  </si>
  <si>
    <t>outputs/shopee-plan-2026-09-10/raw-observations.json#/market/2/result/content/0/text→JSON/data/1/sales_calc_time</t>
  </si>
  <si>
    <t>EX-0045</t>
  </si>
  <si>
    <t>outputs/shopee-plan-2026-09-10/raw-observations.json#/market/2/result/content/0/text→JSON/data/2/sales_calc_time</t>
  </si>
  <si>
    <t>EX-0046</t>
  </si>
  <si>
    <t>outputs/shopee-plan-2026-09-10/raw-observations.json#/market/2/result/content/0/text→JSON/data/3/sales_calc_time</t>
  </si>
  <si>
    <t>EX-0047</t>
  </si>
  <si>
    <t>outputs/shopee-plan-2026-09-10/raw-observations.json#/market/2/result/content/0/text→JSON/data/4/sales_calc_time</t>
  </si>
  <si>
    <t>EX-0048</t>
  </si>
  <si>
    <t>outputs/shopee-plan-2026-09-10/raw-observations.json#/market/2/result/content/0/text→JSON/data/5/sales_calc_time</t>
  </si>
  <si>
    <t>EX-0049</t>
  </si>
  <si>
    <t>outputs/shopee-plan-2026-09-10/raw-observations.json#/market/2/result/content/0/text→JSON/data/6/sales_calc_time</t>
  </si>
  <si>
    <t>EX-0050</t>
  </si>
  <si>
    <t>outputs/shopee-plan-2026-09-10/raw-observations.json#/market/2/result/content/0/text→JSON/data/7/sales_calc_time</t>
  </si>
  <si>
    <t>EX-0051</t>
  </si>
  <si>
    <t>outputs/shopee-plan-2026-09-10/raw-observations.json#/market/2/result/content/0/text→JSON/data/8/sales_calc_time</t>
  </si>
  <si>
    <t>EX-0052</t>
  </si>
  <si>
    <t>outputs/shopee-plan-2026-09-10/raw-observations.json#/market/2/result/content/0/text→JSON/data/9/sales_calc_time</t>
  </si>
  <si>
    <t>EX-0053</t>
  </si>
  <si>
    <t>outputs/shopee-plan-2026-09-10/raw-observations.json#/market/2/result/content/0/text→JSON/data/10/sales_calc_time</t>
  </si>
  <si>
    <t>EX-0054</t>
  </si>
  <si>
    <t>outputs/shopee-plan-2026-09-10/raw-observations.json#/market/2/result/content/0/text→JSON/data/11/sales_calc_time</t>
  </si>
  <si>
    <t>EX-0055</t>
  </si>
  <si>
    <t>outputs/shopee-plan-2026-09-10/raw-observations.json#/market/2/result/content/0/text→JSON/data/12/sales_calc_time</t>
  </si>
  <si>
    <t>EX-0056</t>
  </si>
  <si>
    <t>outputs/shopee-plan-2026-09-10/raw-observations.json#/market/2/result/content/0/text→JSON/data/13/sales_calc_time</t>
  </si>
  <si>
    <t>EX-0057</t>
  </si>
  <si>
    <t>outputs/shopee-plan-2026-09-10/raw-observations.json#/market/2/result/content/0/text→JSON/data/14/sales_calc_time</t>
  </si>
  <si>
    <t>EX-0058</t>
  </si>
  <si>
    <t>outputs/shopee-plan-2026-09-10/raw-observations.json#/market/2/result/content/0/text→JSON/data/15/sales_calc_time</t>
  </si>
  <si>
    <t>EX-0059</t>
  </si>
  <si>
    <t>outputs/shopee-plan-2026-09-10/raw-observations.json#/market/2/result/content/0/text→JSON/data/16/sales_calc_time</t>
  </si>
  <si>
    <t>EX-0060</t>
  </si>
  <si>
    <t>outputs/shopee-plan-2026-09-10/raw-observations.json#/market/2/result/content/0/text→JSON/data/17/sales_calc_time</t>
  </si>
  <si>
    <t>EX-0061</t>
  </si>
  <si>
    <t>outputs/shopee-plan-2026-09-10/raw-observations.json#/market/2/result/content/0/text→JSON/data/18/sales_calc_time</t>
  </si>
  <si>
    <t>EX-0062</t>
  </si>
  <si>
    <t>outputs/shopee-plan-2026-09-10/raw-observations.json#/market/2/result/content/0/text→JSON/data/19/sales_calc_time</t>
  </si>
  <si>
    <t>EX-0063</t>
  </si>
  <si>
    <t>outputs/shopee-plan-2026-09-10/raw-observations.json#/market/2/result/content/0/text→JSON/doc/price</t>
  </si>
  <si>
    <t>EX-0064</t>
  </si>
  <si>
    <t>outputs/shopee-plan-2026-09-10/raw-observations.json#/market/3/result/content/0/text→JSON/data/0/sales_calc_time</t>
  </si>
  <si>
    <t>EX-0065</t>
  </si>
  <si>
    <t>outputs/shopee-plan-2026-09-10/raw-observations.json#/market/3/result/content/0/text→JSON/data/1/sales_calc_time</t>
  </si>
  <si>
    <t>EX-0066</t>
  </si>
  <si>
    <t>outputs/shopee-plan-2026-09-10/raw-observations.json#/market/3/result/content/0/text→JSON/data/2/sales_calc_time</t>
  </si>
  <si>
    <t>EX-0067</t>
  </si>
  <si>
    <t>outputs/shopee-plan-2026-09-10/raw-observations.json#/market/3/result/content/0/text→JSON/data/3/sales_calc_time</t>
  </si>
  <si>
    <t>EX-0068</t>
  </si>
  <si>
    <t>outputs/shopee-plan-2026-09-10/raw-observations.json#/market/3/result/content/0/text→JSON/data/4/sales_calc_time</t>
  </si>
  <si>
    <t>EX-0069</t>
  </si>
  <si>
    <t>outputs/shopee-plan-2026-09-10/raw-observations.json#/market/3/result/content/0/text→JSON/data/5/sales_calc_time</t>
  </si>
  <si>
    <t>EX-0070</t>
  </si>
  <si>
    <t>outputs/shopee-plan-2026-09-10/raw-observations.json#/market/3/result/content/0/text→JSON/data/6/sales_calc_time</t>
  </si>
  <si>
    <t>EX-0071</t>
  </si>
  <si>
    <t>outputs/shopee-plan-2026-09-10/raw-observations.json#/market/3/result/content/0/text→JSON/data/7/sales_calc_time</t>
  </si>
  <si>
    <t>EX-0072</t>
  </si>
  <si>
    <t>outputs/shopee-plan-2026-09-10/raw-observations.json#/market/3/result/content/0/text→JSON/data/8/sales_calc_time</t>
  </si>
  <si>
    <t>EX-0073</t>
  </si>
  <si>
    <t>outputs/shopee-plan-2026-09-10/raw-observations.json#/market/3/result/content/0/text→JSON/data/9/sales_calc_time</t>
  </si>
  <si>
    <t>EX-0074</t>
  </si>
  <si>
    <t>outputs/shopee-plan-2026-09-10/raw-observations.json#/market/3/result/content/0/text→JSON/data/10/sales_calc_time</t>
  </si>
  <si>
    <t>EX-0075</t>
  </si>
  <si>
    <t>outputs/shopee-plan-2026-09-10/raw-observations.json#/market/3/result/content/0/text→JSON/data/11/sales_calc_time</t>
  </si>
  <si>
    <t>EX-0076</t>
  </si>
  <si>
    <t>outputs/shopee-plan-2026-09-10/raw-observations.json#/market/3/result/content/0/text→JSON/data/12/sales_calc_time</t>
  </si>
  <si>
    <t>EX-0077</t>
  </si>
  <si>
    <t>outputs/shopee-plan-2026-09-10/raw-observations.json#/market/3/result/content/0/text→JSON/data/13/sales_calc_time</t>
  </si>
  <si>
    <t>EX-0078</t>
  </si>
  <si>
    <t>outputs/shopee-plan-2026-09-10/raw-observations.json#/market/3/result/content/0/text→JSON/data/14/sales_calc_time</t>
  </si>
  <si>
    <t>EX-0079</t>
  </si>
  <si>
    <t>outputs/shopee-plan-2026-09-10/raw-observations.json#/market/3/result/content/0/text→JSON/data/15/sales_calc_time</t>
  </si>
  <si>
    <t>EX-0080</t>
  </si>
  <si>
    <t>outputs/shopee-plan-2026-09-10/raw-observations.json#/market/3/result/content/0/text→JSON/data/16/sales_calc_time</t>
  </si>
  <si>
    <t>EX-0081</t>
  </si>
  <si>
    <t>outputs/shopee-plan-2026-09-10/raw-observations.json#/market/3/result/content/0/text→JSON/data/17/sales_calc_time</t>
  </si>
  <si>
    <t>EX-0082</t>
  </si>
  <si>
    <t>outputs/shopee-plan-2026-09-10/raw-observations.json#/market/3/result/content/0/text→JSON/data/18/sales_calc_time</t>
  </si>
  <si>
    <t>EX-0083</t>
  </si>
  <si>
    <t>outputs/shopee-plan-2026-09-10/raw-observations.json#/market/3/result/content/0/text→JSON/data/19/sales_calc_time</t>
  </si>
  <si>
    <t>EX-0084</t>
  </si>
  <si>
    <t>outputs/shopee-plan-2026-09-10/raw-observations.json#/market/3/result/content/0/text→JSON/doc/price</t>
  </si>
  <si>
    <t>EX-0085</t>
  </si>
  <si>
    <t>outputs/shopee-plan-2026-09-10/raw-observations.json#/market/4/result/content/0/text→JSON/data/0/sales_calc_time</t>
  </si>
  <si>
    <t>EX-0086</t>
  </si>
  <si>
    <t>outputs/shopee-plan-2026-09-10/raw-observations.json#/market/4/result/content/0/text→JSON/data/1/sales_calc_time</t>
  </si>
  <si>
    <t>EX-0087</t>
  </si>
  <si>
    <t>outputs/shopee-plan-2026-09-10/raw-observations.json#/market/4/result/content/0/text→JSON/data/2/sales_calc_time</t>
  </si>
  <si>
    <t>EX-0088</t>
  </si>
  <si>
    <t>outputs/shopee-plan-2026-09-10/raw-observations.json#/market/4/result/content/0/text→JSON/data/3/sales_calc_time</t>
  </si>
  <si>
    <t>EX-0089</t>
  </si>
  <si>
    <t>outputs/shopee-plan-2026-09-10/raw-observations.json#/market/4/result/content/0/text→JSON/data/4/sales_calc_time</t>
  </si>
  <si>
    <t>EX-0090</t>
  </si>
  <si>
    <t>outputs/shopee-plan-2026-09-10/raw-observations.json#/market/4/result/content/0/text→JSON/data/5/sales_calc_time</t>
  </si>
  <si>
    <t>EX-0091</t>
  </si>
  <si>
    <t>outputs/shopee-plan-2026-09-10/raw-observations.json#/market/4/result/content/0/text→JSON/data/6/sales_calc_time</t>
  </si>
  <si>
    <t>EX-0092</t>
  </si>
  <si>
    <t>outputs/shopee-plan-2026-09-10/raw-observations.json#/market/4/result/content/0/text→JSON/data/7/sales_calc_time</t>
  </si>
  <si>
    <t>EX-0093</t>
  </si>
  <si>
    <t>outputs/shopee-plan-2026-09-10/raw-observations.json#/market/4/result/content/0/text→JSON/data/8/sales_calc_time</t>
  </si>
  <si>
    <t>EX-0094</t>
  </si>
  <si>
    <t>outputs/shopee-plan-2026-09-10/raw-observations.json#/market/4/result/content/0/text→JSON/data/9/sales_calc_time</t>
  </si>
  <si>
    <t>EX-0095</t>
  </si>
  <si>
    <t>outputs/shopee-plan-2026-09-10/raw-observations.json#/market/4/result/content/0/text→JSON/data/10/sales_calc_time</t>
  </si>
  <si>
    <t>EX-0096</t>
  </si>
  <si>
    <t>outputs/shopee-plan-2026-09-10/raw-observations.json#/market/4/result/content/0/text→JSON/data/11/sales_calc_time</t>
  </si>
  <si>
    <t>EX-0097</t>
  </si>
  <si>
    <t>outputs/shopee-plan-2026-09-10/raw-observations.json#/market/4/result/content/0/text→JSON/data/12/sales_calc_time</t>
  </si>
  <si>
    <t>EX-0098</t>
  </si>
  <si>
    <t>outputs/shopee-plan-2026-09-10/raw-observations.json#/market/4/result/content/0/text→JSON/data/13/sales_calc_time</t>
  </si>
  <si>
    <t>EX-0099</t>
  </si>
  <si>
    <t>outputs/shopee-plan-2026-09-10/raw-observations.json#/market/4/result/content/0/text→JSON/data/14/sales_calc_time</t>
  </si>
  <si>
    <t>EX-0100</t>
  </si>
  <si>
    <t>outputs/shopee-plan-2026-09-10/raw-observations.json#/market/4/result/content/0/text→JSON/data/15/sales_calc_time</t>
  </si>
  <si>
    <t>EX-0101</t>
  </si>
  <si>
    <t>outputs/shopee-plan-2026-09-10/raw-observations.json#/market/4/result/content/0/text→JSON/data/16/sales_calc_time</t>
  </si>
  <si>
    <t>EX-0102</t>
  </si>
  <si>
    <t>outputs/shopee-plan-2026-09-10/raw-observations.json#/market/4/result/content/0/text→JSON/data/17/sales_calc_time</t>
  </si>
  <si>
    <t>EX-0103</t>
  </si>
  <si>
    <t>outputs/shopee-plan-2026-09-10/raw-observations.json#/market/4/result/content/0/text→JSON/data/18/sales_calc_time</t>
  </si>
  <si>
    <t>EX-0104</t>
  </si>
  <si>
    <t>outputs/shopee-plan-2026-09-10/raw-observations.json#/market/4/result/content/0/text→JSON/data/19/sales_calc_time</t>
  </si>
  <si>
    <t>EX-0105</t>
  </si>
  <si>
    <t>outputs/shopee-plan-2026-09-10/raw-observations.json#/market/4/result/content/0/text→JSON/doc/price</t>
  </si>
  <si>
    <t>EX-0106</t>
  </si>
  <si>
    <t>outputs/shopee-plan-2026-09-10/raw-observations.json#/market/5/result/content/0/text→JSON/data/0/sales_calc_time</t>
  </si>
  <si>
    <t>EX-0107</t>
  </si>
  <si>
    <t>outputs/shopee-plan-2026-09-10/raw-observations.json#/market/5/result/content/0/text→JSON/data/1/sales_calc_time</t>
  </si>
  <si>
    <t>EX-0108</t>
  </si>
  <si>
    <t>outputs/shopee-plan-2026-09-10/raw-observations.json#/market/5/result/content/0/text→JSON/data/2/sales_calc_time</t>
  </si>
  <si>
    <t>EX-0109</t>
  </si>
  <si>
    <t>outputs/shopee-plan-2026-09-10/raw-observations.json#/market/5/result/content/0/text→JSON/data/3/sales_calc_time</t>
  </si>
  <si>
    <t>EX-0110</t>
  </si>
  <si>
    <t>outputs/shopee-plan-2026-09-10/raw-observations.json#/market/5/result/content/0/text→JSON/data/4/sales_calc_time</t>
  </si>
  <si>
    <t>EX-0111</t>
  </si>
  <si>
    <t>outputs/shopee-plan-2026-09-10/raw-observations.json#/market/5/result/content/0/text→JSON/data/5/sales_calc_time</t>
  </si>
  <si>
    <t>EX-0112</t>
  </si>
  <si>
    <t>outputs/shopee-plan-2026-09-10/raw-observations.json#/market/5/result/content/0/text→JSON/data/6/sales_calc_time</t>
  </si>
  <si>
    <t>EX-0113</t>
  </si>
  <si>
    <t>outputs/shopee-plan-2026-09-10/raw-observations.json#/market/5/result/content/0/text→JSON/data/7/sales_calc_time</t>
  </si>
  <si>
    <t>EX-0114</t>
  </si>
  <si>
    <t>outputs/shopee-plan-2026-09-10/raw-observations.json#/market/5/result/content/0/text→JSON/data/8/sales_calc_time</t>
  </si>
  <si>
    <t>EX-0115</t>
  </si>
  <si>
    <t>outputs/shopee-plan-2026-09-10/raw-observations.json#/market/5/result/content/0/text→JSON/data/9/sales_calc_time</t>
  </si>
  <si>
    <t>EX-0116</t>
  </si>
  <si>
    <t>outputs/shopee-plan-2026-09-10/raw-observations.json#/market/5/result/content/0/text→JSON/data/10/sales_calc_time</t>
  </si>
  <si>
    <t>EX-0117</t>
  </si>
  <si>
    <t>outputs/shopee-plan-2026-09-10/raw-observations.json#/market/5/result/content/0/text→JSON/data/11/sales_calc_time</t>
  </si>
  <si>
    <t>EX-0118</t>
  </si>
  <si>
    <t>outputs/shopee-plan-2026-09-10/raw-observations.json#/market/5/result/content/0/text→JSON/data/12/sales_calc_time</t>
  </si>
  <si>
    <t>EX-0119</t>
  </si>
  <si>
    <t>outputs/shopee-plan-2026-09-10/raw-observations.json#/market/5/result/content/0/text→JSON/data/13/sales_calc_time</t>
  </si>
  <si>
    <t>EX-0120</t>
  </si>
  <si>
    <t>outputs/shopee-plan-2026-09-10/raw-observations.json#/market/5/result/content/0/text→JSON/data/14/sales_calc_time</t>
  </si>
  <si>
    <t>EX-0121</t>
  </si>
  <si>
    <t>outputs/shopee-plan-2026-09-10/raw-observations.json#/market/5/result/content/0/text→JSON/data/15/sales_calc_time</t>
  </si>
  <si>
    <t>EX-0122</t>
  </si>
  <si>
    <t>outputs/shopee-plan-2026-09-10/raw-observations.json#/market/5/result/content/0/text→JSON/data/16/sales_calc_time</t>
  </si>
  <si>
    <t>EX-0123</t>
  </si>
  <si>
    <t>outputs/shopee-plan-2026-09-10/raw-observations.json#/market/5/result/content/0/text→JSON/data/17/sales_calc_time</t>
  </si>
  <si>
    <t>EX-0124</t>
  </si>
  <si>
    <t>outputs/shopee-plan-2026-09-10/raw-observations.json#/market/5/result/content/0/text→JSON/data/18/sales_calc_time</t>
  </si>
  <si>
    <t>EX-0125</t>
  </si>
  <si>
    <t>outputs/shopee-plan-2026-09-10/raw-observations.json#/market/5/result/content/0/text→JSON/data/19/sales_calc_time</t>
  </si>
  <si>
    <t>EX-0126</t>
  </si>
  <si>
    <t>outputs/shopee-plan-2026-09-10/raw-observations.json#/market/5/result/content/0/text→JSON/doc/price</t>
  </si>
  <si>
    <t>EX-0127</t>
  </si>
  <si>
    <t>outputs/shopee-plan-2026-09-10/raw-observations.json#/market/6/result/content/0/text→JSON/data/0/sales_calc_time</t>
  </si>
  <si>
    <t>EX-0128</t>
  </si>
  <si>
    <t>outputs/shopee-plan-2026-09-10/raw-observations.json#/market/6/result/content/0/text→JSON/data/1/sales_calc_time</t>
  </si>
  <si>
    <t>EX-0129</t>
  </si>
  <si>
    <t>outputs/shopee-plan-2026-09-10/raw-observations.json#/market/6/result/content/0/text→JSON/data/2/sales_calc_time</t>
  </si>
  <si>
    <t>EX-0130</t>
  </si>
  <si>
    <t>outputs/shopee-plan-2026-09-10/raw-observations.json#/market/6/result/content/0/text→JSON/data/3/sales_calc_time</t>
  </si>
  <si>
    <t>EX-0131</t>
  </si>
  <si>
    <t>outputs/shopee-plan-2026-09-10/raw-observations.json#/market/6/result/content/0/text→JSON/data/4/sales_calc_time</t>
  </si>
  <si>
    <t>EX-0132</t>
  </si>
  <si>
    <t>outputs/shopee-plan-2026-09-10/raw-observations.json#/market/6/result/content/0/text→JSON/data/5/sales_calc_time</t>
  </si>
  <si>
    <t>EX-0133</t>
  </si>
  <si>
    <t>outputs/shopee-plan-2026-09-10/raw-observations.json#/market/6/result/content/0/text→JSON/data/6/sales_calc_time</t>
  </si>
  <si>
    <t>EX-0134</t>
  </si>
  <si>
    <t>outputs/shopee-plan-2026-09-10/raw-observations.json#/market/6/result/content/0/text→JSON/data/7/sales_calc_time</t>
  </si>
  <si>
    <t>EX-0135</t>
  </si>
  <si>
    <t>outputs/shopee-plan-2026-09-10/raw-observations.json#/market/6/result/content/0/text→JSON/data/8/sales_calc_time</t>
  </si>
  <si>
    <t>EX-0136</t>
  </si>
  <si>
    <t>outputs/shopee-plan-2026-09-10/raw-observations.json#/market/6/result/content/0/text→JSON/data/9/sales_calc_time</t>
  </si>
  <si>
    <t>EX-0137</t>
  </si>
  <si>
    <t>outputs/shopee-plan-2026-09-10/raw-observations.json#/market/6/result/content/0/text→JSON/data/10/sales_calc_time</t>
  </si>
  <si>
    <t>EX-0138</t>
  </si>
  <si>
    <t>outputs/shopee-plan-2026-09-10/raw-observations.json#/market/6/result/content/0/text→JSON/data/11/sales_calc_time</t>
  </si>
  <si>
    <t>EX-0139</t>
  </si>
  <si>
    <t>outputs/shopee-plan-2026-09-10/raw-observations.json#/market/6/result/content/0/text→JSON/data/12/sales_calc_time</t>
  </si>
  <si>
    <t>EX-0140</t>
  </si>
  <si>
    <t>outputs/shopee-plan-2026-09-10/raw-observations.json#/market/6/result/content/0/text→JSON/data/13/sales_calc_time</t>
  </si>
  <si>
    <t>EX-0141</t>
  </si>
  <si>
    <t>outputs/shopee-plan-2026-09-10/raw-observations.json#/market/6/result/content/0/text→JSON/data/14/sales_calc_time</t>
  </si>
  <si>
    <t>EX-0142</t>
  </si>
  <si>
    <t>outputs/shopee-plan-2026-09-10/raw-observations.json#/market/6/result/content/0/text→JSON/data/15/sales_calc_time</t>
  </si>
  <si>
    <t>EX-0143</t>
  </si>
  <si>
    <t>outputs/shopee-plan-2026-09-10/raw-observations.json#/market/6/result/content/0/text→JSON/data/16/sales_calc_time</t>
  </si>
  <si>
    <t>EX-0144</t>
  </si>
  <si>
    <t>outputs/shopee-plan-2026-09-10/raw-observations.json#/market/6/result/content/0/text→JSON/data/17/sales_calc_time</t>
  </si>
  <si>
    <t>EX-0145</t>
  </si>
  <si>
    <t>outputs/shopee-plan-2026-09-10/raw-observations.json#/market/6/result/content/0/text→JSON/data/18/sales_calc_time</t>
  </si>
  <si>
    <t>EX-0146</t>
  </si>
  <si>
    <t>outputs/shopee-plan-2026-09-10/raw-observations.json#/market/6/result/content/0/text→JSON/data/19/sales_calc_time</t>
  </si>
  <si>
    <t>EX-0147</t>
  </si>
  <si>
    <t>outputs/shopee-plan-2026-09-10/raw-observations.json#/market/6/result/content/0/text→JSON/doc/price</t>
  </si>
  <si>
    <t>EX-0148</t>
  </si>
  <si>
    <t>outputs/shopee-daily-2026-09-11/raw-observations.json#/queries/0/result/content/0/text→JSON/data/0/sales_calc_time</t>
  </si>
  <si>
    <t>EX-0149</t>
  </si>
  <si>
    <t>outputs/shopee-daily-2026-09-11/raw-observations.json#/queries/0/result/content/0/text→JSON/data/1/sales_calc_time</t>
  </si>
  <si>
    <t>EX-0150</t>
  </si>
  <si>
    <t>outputs/shopee-daily-2026-09-11/raw-observations.json#/queries/0/result/content/0/text→JSON/data/2/sales_calc_time</t>
  </si>
  <si>
    <t>EX-0151</t>
  </si>
  <si>
    <t>outputs/shopee-daily-2026-09-11/raw-observations.json#/queries/0/result/content/0/text→JSON/data/3/sales_calc_time</t>
  </si>
  <si>
    <t>EX-0152</t>
  </si>
  <si>
    <t>outputs/shopee-daily-2026-09-11/raw-observations.json#/queries/0/result/content/0/text→JSON/data/4/sales_calc_time</t>
  </si>
  <si>
    <t>EX-0153</t>
  </si>
  <si>
    <t>outputs/shopee-daily-2026-09-11/raw-observations.json#/queries/0/result/content/0/text→JSON/data/5/sales_calc_time</t>
  </si>
  <si>
    <t>EX-0154</t>
  </si>
  <si>
    <t>outputs/shopee-daily-2026-09-11/raw-observations.json#/queries/0/result/content/0/text→JSON/data/6/sales_calc_time</t>
  </si>
  <si>
    <t>EX-0155</t>
  </si>
  <si>
    <t>outputs/shopee-daily-2026-09-11/raw-observations.json#/queries/0/result/content/0/text→JSON/data/7/sales_calc_time</t>
  </si>
  <si>
    <t>EX-0156</t>
  </si>
  <si>
    <t>outputs/shopee-daily-2026-09-11/raw-observations.json#/queries/0/result/content/0/text→JSON/data/8/sales_calc_time</t>
  </si>
  <si>
    <t>EX-0157</t>
  </si>
  <si>
    <t>outputs/shopee-daily-2026-09-11/raw-observations.json#/queries/0/result/content/0/text→JSON/data/9/sales_calc_time</t>
  </si>
  <si>
    <t>EX-0158</t>
  </si>
  <si>
    <t>outputs/shopee-daily-2026-09-11/raw-observations.json#/queries/0/result/content/0/text→JSON/data/10/sales_calc_time</t>
  </si>
  <si>
    <t>EX-0159</t>
  </si>
  <si>
    <t>outputs/shopee-daily-2026-09-11/raw-observations.json#/queries/0/result/content/0/text→JSON/data/11/sales_calc_time</t>
  </si>
  <si>
    <t>EX-0160</t>
  </si>
  <si>
    <t>outputs/shopee-daily-2026-09-11/raw-observations.json#/queries/0/result/content/0/text→JSON/data/12/sales_calc_time</t>
  </si>
  <si>
    <t>EX-0161</t>
  </si>
  <si>
    <t>outputs/shopee-daily-2026-09-11/raw-observations.json#/queries/0/result/content/0/text→JSON/data/13/sales_calc_time</t>
  </si>
  <si>
    <t>EX-0162</t>
  </si>
  <si>
    <t>outputs/shopee-daily-2026-09-11/raw-observations.json#/queries/0/result/content/0/text→JSON/data/14/sales_calc_time</t>
  </si>
  <si>
    <t>EX-0163</t>
  </si>
  <si>
    <t>outputs/shopee-daily-2026-09-11/raw-observations.json#/queries/0/result/content/0/text→JSON/data/15/sales_calc_time</t>
  </si>
  <si>
    <t>EX-0164</t>
  </si>
  <si>
    <t>outputs/shopee-daily-2026-09-11/raw-observations.json#/queries/0/result/content/0/text→JSON/data/16/sales_calc_time</t>
  </si>
  <si>
    <t>EX-0165</t>
  </si>
  <si>
    <t>outputs/shopee-daily-2026-09-11/raw-observations.json#/queries/0/result/content/0/text→JSON/data/17/sales_calc_time</t>
  </si>
  <si>
    <t>EX-0166</t>
  </si>
  <si>
    <t>outputs/shopee-daily-2026-09-11/raw-observations.json#/queries/0/result/content/0/text→JSON/data/18/sales_calc_time</t>
  </si>
  <si>
    <t>EX-0167</t>
  </si>
  <si>
    <t>outputs/shopee-daily-2026-09-11/raw-observations.json#/queries/0/result/content/0/text→JSON/data/19/sales_calc_time</t>
  </si>
  <si>
    <t>EX-0168</t>
  </si>
  <si>
    <t>outputs/shopee-daily-2026-09-11/raw-observations.json#/queries/0/result/content/0/text→JSON/doc/price</t>
  </si>
  <si>
    <t>EX-0169</t>
  </si>
  <si>
    <t>outputs/shopee-daily-2026-09-11/raw-observations.json#/queries/1/result/content/0/text→JSON/data/0/sales_calc_time</t>
  </si>
  <si>
    <t>EX-0170</t>
  </si>
  <si>
    <t>outputs/shopee-daily-2026-09-11/raw-observations.json#/queries/1/result/content/0/text→JSON/data/1/sales_calc_time</t>
  </si>
  <si>
    <t>EX-0171</t>
  </si>
  <si>
    <t>outputs/shopee-daily-2026-09-11/raw-observations.json#/queries/1/result/content/0/text→JSON/data/2/sales_calc_time</t>
  </si>
  <si>
    <t>EX-0172</t>
  </si>
  <si>
    <t>outputs/shopee-daily-2026-09-11/raw-observations.json#/queries/1/result/content/0/text→JSON/data/3/sales_calc_time</t>
  </si>
  <si>
    <t>EX-0173</t>
  </si>
  <si>
    <t>outputs/shopee-daily-2026-09-11/raw-observations.json#/queries/1/result/content/0/text→JSON/data/4/sales_calc_time</t>
  </si>
  <si>
    <t>EX-0174</t>
  </si>
  <si>
    <t>outputs/shopee-daily-2026-09-11/raw-observations.json#/queries/1/result/content/0/text→JSON/data/5/sales_calc_time</t>
  </si>
  <si>
    <t>EX-0175</t>
  </si>
  <si>
    <t>outputs/shopee-daily-2026-09-11/raw-observations.json#/queries/1/result/content/0/text→JSON/data/6/sales_calc_time</t>
  </si>
  <si>
    <t>EX-0176</t>
  </si>
  <si>
    <t>outputs/shopee-daily-2026-09-11/raw-observations.json#/queries/1/result/content/0/text→JSON/data/7/sales_calc_time</t>
  </si>
  <si>
    <t>EX-0177</t>
  </si>
  <si>
    <t>outputs/shopee-daily-2026-09-11/raw-observations.json#/queries/1/result/content/0/text→JSON/data/8/sales_calc_time</t>
  </si>
  <si>
    <t>EX-0178</t>
  </si>
  <si>
    <t>outputs/shopee-daily-2026-09-11/raw-observations.json#/queries/1/result/content/0/text→JSON/data/9/sales_calc_time</t>
  </si>
  <si>
    <t>EX-0179</t>
  </si>
  <si>
    <t>outputs/shopee-daily-2026-09-11/raw-observations.json#/queries/1/result/content/0/text→JSON/data/10/sales_calc_time</t>
  </si>
  <si>
    <t>EX-0180</t>
  </si>
  <si>
    <t>outputs/shopee-daily-2026-09-11/raw-observations.json#/queries/1/result/content/0/text→JSON/data/11/sales_calc_time</t>
  </si>
  <si>
    <t>EX-0181</t>
  </si>
  <si>
    <t>outputs/shopee-daily-2026-09-11/raw-observations.json#/queries/1/result/content/0/text→JSON/data/12/sales_calc_time</t>
  </si>
  <si>
    <t>EX-0182</t>
  </si>
  <si>
    <t>outputs/shopee-daily-2026-09-11/raw-observations.json#/queries/1/result/content/0/text→JSON/data/13/sales_calc_time</t>
  </si>
  <si>
    <t>EX-0183</t>
  </si>
  <si>
    <t>outputs/shopee-daily-2026-09-11/raw-observations.json#/queries/1/result/content/0/text→JSON/data/14/sales_calc_time</t>
  </si>
  <si>
    <t>EX-0184</t>
  </si>
  <si>
    <t>outputs/shopee-daily-2026-09-11/raw-observations.json#/queries/1/result/content/0/text→JSON/data/15/sales_calc_time</t>
  </si>
  <si>
    <t>EX-0185</t>
  </si>
  <si>
    <t>outputs/shopee-daily-2026-09-11/raw-observations.json#/queries/1/result/content/0/text→JSON/data/16/sales_calc_time</t>
  </si>
  <si>
    <t>EX-0186</t>
  </si>
  <si>
    <t>outputs/shopee-daily-2026-09-11/raw-observations.json#/queries/1/result/content/0/text→JSON/data/17/sales_calc_time</t>
  </si>
  <si>
    <t>EX-0187</t>
  </si>
  <si>
    <t>outputs/shopee-daily-2026-09-11/raw-observations.json#/queries/1/result/content/0/text→JSON/data/18/sales_calc_time</t>
  </si>
  <si>
    <t>EX-0188</t>
  </si>
  <si>
    <t>outputs/shopee-daily-2026-09-11/raw-observations.json#/queries/1/result/content/0/text→JSON/data/19/sales_calc_time</t>
  </si>
  <si>
    <t>EX-0189</t>
  </si>
  <si>
    <t>outputs/shopee-daily-2026-09-11/raw-observations.json#/queries/1/result/content/0/text→JSON/doc/price</t>
  </si>
  <si>
    <t>EX-0190</t>
  </si>
  <si>
    <t>outputs/shopee-daily-2026-09-11/raw-observations.json#/queries/2/result/content/0/text→JSON/data/0/sales_calc_time</t>
  </si>
  <si>
    <t>EX-0191</t>
  </si>
  <si>
    <t>outputs/shopee-daily-2026-09-11/raw-observations.json#/queries/2/result/content/0/text→JSON/data/1/sales_calc_time</t>
  </si>
  <si>
    <t>EX-0192</t>
  </si>
  <si>
    <t>outputs/shopee-daily-2026-09-11/raw-observations.json#/queries/2/result/content/0/text→JSON/data/2/sales_calc_time</t>
  </si>
  <si>
    <t>EX-0193</t>
  </si>
  <si>
    <t>outputs/shopee-daily-2026-09-11/raw-observations.json#/queries/2/result/content/0/text→JSON/data/3/sales_calc_time</t>
  </si>
  <si>
    <t>EX-0194</t>
  </si>
  <si>
    <t>outputs/shopee-daily-2026-09-11/raw-observations.json#/queries/2/result/content/0/text→JSON/data/4/sales_calc_time</t>
  </si>
  <si>
    <t>EX-0195</t>
  </si>
  <si>
    <t>outputs/shopee-daily-2026-09-11/raw-observations.json#/queries/2/result/content/0/text→JSON/data/5/sales_calc_time</t>
  </si>
  <si>
    <t>EX-0196</t>
  </si>
  <si>
    <t>outputs/shopee-daily-2026-09-11/raw-observations.json#/queries/2/result/content/0/text→JSON/data/6/sales_calc_time</t>
  </si>
  <si>
    <t>EX-0197</t>
  </si>
  <si>
    <t>outputs/shopee-daily-2026-09-11/raw-observations.json#/queries/2/result/content/0/text→JSON/data/7/sales_calc_time</t>
  </si>
  <si>
    <t>EX-0198</t>
  </si>
  <si>
    <t>outputs/shopee-daily-2026-09-11/raw-observations.json#/queries/2/result/content/0/text→JSON/data/8/sales_calc_time</t>
  </si>
  <si>
    <t>EX-0199</t>
  </si>
  <si>
    <t>outputs/shopee-daily-2026-09-11/raw-observations.json#/queries/2/result/content/0/text→JSON/data/9/sales_calc_time</t>
  </si>
  <si>
    <t>EX-0200</t>
  </si>
  <si>
    <t>outputs/shopee-daily-2026-09-11/raw-observations.json#/queries/2/result/content/0/text→JSON/data/10/sales_calc_time</t>
  </si>
  <si>
    <t>EX-0201</t>
  </si>
  <si>
    <t>outputs/shopee-daily-2026-09-11/raw-observations.json#/queries/2/result/content/0/text→JSON/data/11/sales_calc_time</t>
  </si>
  <si>
    <t>EX-0202</t>
  </si>
  <si>
    <t>outputs/shopee-daily-2026-09-11/raw-observations.json#/queries/2/result/content/0/text→JSON/data/12/sales_calc_time</t>
  </si>
  <si>
    <t>EX-0203</t>
  </si>
  <si>
    <t>outputs/shopee-daily-2026-09-11/raw-observations.json#/queries/2/result/content/0/text→JSON/data/13/sales_calc_time</t>
  </si>
  <si>
    <t>EX-0204</t>
  </si>
  <si>
    <t>outputs/shopee-daily-2026-09-11/raw-observations.json#/queries/2/result/content/0/text→JSON/data/14/sales_calc_time</t>
  </si>
  <si>
    <t>EX-0205</t>
  </si>
  <si>
    <t>outputs/shopee-daily-2026-09-11/raw-observations.json#/queries/2/result/content/0/text→JSON/data/15/sales_calc_time</t>
  </si>
  <si>
    <t>EX-0206</t>
  </si>
  <si>
    <t>outputs/shopee-daily-2026-09-11/raw-observations.json#/queries/2/result/content/0/text→JSON/data/16/sales_calc_time</t>
  </si>
  <si>
    <t>EX-0207</t>
  </si>
  <si>
    <t>outputs/shopee-daily-2026-09-11/raw-observations.json#/queries/2/result/content/0/text→JSON/data/17/sales_calc_time</t>
  </si>
  <si>
    <t>EX-0208</t>
  </si>
  <si>
    <t>outputs/shopee-daily-2026-09-11/raw-observations.json#/queries/2/result/content/0/text→JSON/data/18/sales_calc_time</t>
  </si>
  <si>
    <t>EX-0209</t>
  </si>
  <si>
    <t>outputs/shopee-daily-2026-09-11/raw-observations.json#/queries/2/result/content/0/text→JSON/data/19/sales_calc_time</t>
  </si>
  <si>
    <t>EX-0210</t>
  </si>
  <si>
    <t>outputs/shopee-daily-2026-09-11/raw-observations.json#/queries/2/result/content/0/text→JSON/doc/price</t>
  </si>
  <si>
    <t>EX-0211</t>
  </si>
  <si>
    <t>outputs/shopee-daily-2026-09-11/raw-observations.json#/queries/3/result/content/0/text→JSON/data/0/sales_calc_time</t>
  </si>
  <si>
    <t>EX-0212</t>
  </si>
  <si>
    <t>outputs/shopee-daily-2026-09-11/raw-observations.json#/queries/3/result/content/0/text→JSON/data/1/sales_calc_time</t>
  </si>
  <si>
    <t>EX-0213</t>
  </si>
  <si>
    <t>outputs/shopee-daily-2026-09-11/raw-observations.json#/queries/3/result/content/0/text→JSON/data/2/sales_calc_time</t>
  </si>
  <si>
    <t>EX-0214</t>
  </si>
  <si>
    <t>outputs/shopee-daily-2026-09-11/raw-observations.json#/queries/3/result/content/0/text→JSON/data/3/sales_calc_time</t>
  </si>
  <si>
    <t>EX-0215</t>
  </si>
  <si>
    <t>outputs/shopee-daily-2026-09-11/raw-observations.json#/queries/3/result/content/0/text→JSON/data/4/sales_calc_time</t>
  </si>
  <si>
    <t>EX-0216</t>
  </si>
  <si>
    <t>outputs/shopee-daily-2026-09-11/raw-observations.json#/queries/3/result/content/0/text→JSON/data/5/sales_calc_time</t>
  </si>
  <si>
    <t>EX-0217</t>
  </si>
  <si>
    <t>outputs/shopee-daily-2026-09-11/raw-observations.json#/queries/3/result/content/0/text→JSON/data/6/sales_calc_time</t>
  </si>
  <si>
    <t>EX-0218</t>
  </si>
  <si>
    <t>outputs/shopee-daily-2026-09-11/raw-observations.json#/queries/3/result/content/0/text→JSON/data/7/sales_calc_time</t>
  </si>
  <si>
    <t>EX-0219</t>
  </si>
  <si>
    <t>outputs/shopee-daily-2026-09-11/raw-observations.json#/queries/3/result/content/0/text→JSON/data/8/sales_calc_time</t>
  </si>
  <si>
    <t>EX-0220</t>
  </si>
  <si>
    <t>outputs/shopee-daily-2026-09-11/raw-observations.json#/queries/3/result/content/0/text→JSON/data/9/sales_calc_time</t>
  </si>
  <si>
    <t>EX-0221</t>
  </si>
  <si>
    <t>outputs/shopee-daily-2026-09-11/raw-observations.json#/queries/3/result/content/0/text→JSON/data/10/sales_calc_time</t>
  </si>
  <si>
    <t>EX-0222</t>
  </si>
  <si>
    <t>outputs/shopee-daily-2026-09-11/raw-observations.json#/queries/3/result/content/0/text→JSON/data/11/sales_calc_time</t>
  </si>
  <si>
    <t>EX-0223</t>
  </si>
  <si>
    <t>outputs/shopee-daily-2026-09-11/raw-observations.json#/queries/3/result/content/0/text→JSON/data/12/sales_calc_time</t>
  </si>
  <si>
    <t>EX-0224</t>
  </si>
  <si>
    <t>outputs/shopee-daily-2026-09-11/raw-observations.json#/queries/3/result/content/0/text→JSON/data/13/sales_calc_time</t>
  </si>
  <si>
    <t>EX-0225</t>
  </si>
  <si>
    <t>outputs/shopee-daily-2026-09-11/raw-observations.json#/queries/3/result/content/0/text→JSON/data/14/sales_calc_time</t>
  </si>
  <si>
    <t>EX-0226</t>
  </si>
  <si>
    <t>outputs/shopee-daily-2026-09-11/raw-observations.json#/queries/3/result/content/0/text→JSON/data/15/sales_calc_time</t>
  </si>
  <si>
    <t>EX-0227</t>
  </si>
  <si>
    <t>outputs/shopee-daily-2026-09-11/raw-observations.json#/queries/3/result/content/0/text→JSON/data/16/sales_calc_time</t>
  </si>
  <si>
    <t>EX-0228</t>
  </si>
  <si>
    <t>outputs/shopee-daily-2026-09-11/raw-observations.json#/queries/3/result/content/0/text→JSON/data/17/sales_calc_time</t>
  </si>
  <si>
    <t>EX-0229</t>
  </si>
  <si>
    <t>outputs/shopee-daily-2026-09-11/raw-observations.json#/queries/3/result/content/0/text→JSON/data/18/sales_calc_time</t>
  </si>
  <si>
    <t>EX-0230</t>
  </si>
  <si>
    <t>outputs/shopee-daily-2026-09-11/raw-observations.json#/queries/3/result/content/0/text→JSON/data/19/sales_calc_time</t>
  </si>
  <si>
    <t>EX-0231</t>
  </si>
  <si>
    <t>outputs/shopee-daily-2026-09-11/raw-observations.json#/queries/3/result/content/0/text→JSON/doc/price</t>
  </si>
  <si>
    <t>EX-0232</t>
  </si>
  <si>
    <t>SKU级报价/成本</t>
  </si>
  <si>
    <t>无法计算真实候选利润或最高可接受报价</t>
  </si>
  <si>
    <t>outputs/shopee-plan-2026-09-10/candidates.json#/0</t>
  </si>
  <si>
    <t>同规格供应商报价、计费重与完整费用凭证</t>
  </si>
  <si>
    <t>EX-0233</t>
  </si>
  <si>
    <t>outputs/shopee-plan-2026-09-10/candidates.json#/1</t>
  </si>
  <si>
    <t>EX-0234</t>
  </si>
  <si>
    <t>outputs/shopee-plan-2026-09-10/candidates.json#/2</t>
  </si>
  <si>
    <t>EX-0235</t>
  </si>
  <si>
    <t>outputs/shopee-plan-2026-09-10/candidates.json#/3</t>
  </si>
  <si>
    <t>EX-0236</t>
  </si>
  <si>
    <t>outputs/shopee-plan-2026-09-10/candidates.json#/4</t>
  </si>
  <si>
    <t>EX-0237</t>
  </si>
  <si>
    <t>outputs/shopee-plan-2026-09-10/candidates.json#/5</t>
  </si>
  <si>
    <t>EX-0238</t>
  </si>
  <si>
    <t>outputs/shopee-plan-2026-09-10/candidates.json#/6</t>
  </si>
  <si>
    <t>EX-0239</t>
  </si>
  <si>
    <t>outputs/shopee-plan-2026-09-10/candidates.json#/7</t>
  </si>
  <si>
    <t>EX-0240</t>
  </si>
  <si>
    <t>outputs/shopee-plan-2026-09-10/candidates.json#/8</t>
  </si>
  <si>
    <t>EX-0241</t>
  </si>
  <si>
    <t>outputs/shopee-plan-2026-09-10/candidates.json#/9</t>
  </si>
  <si>
    <t>EX-0242</t>
  </si>
  <si>
    <t>outputs/shopee-plan-2026-09-10/candidates.json#/10</t>
  </si>
  <si>
    <t>EX-0243</t>
  </si>
  <si>
    <t>outputs/shopee-plan-2026-09-10/candidates.json#/11</t>
  </si>
  <si>
    <t>EX-0244</t>
  </si>
  <si>
    <t>outputs/shopee-daily-2026-09-11/candidates.json#/0</t>
  </si>
  <si>
    <t>EX-0245</t>
  </si>
  <si>
    <t>outputs/shopee-daily-2026-09-11/candidates.json#/1</t>
  </si>
  <si>
    <t>EX-0246</t>
  </si>
  <si>
    <t>outputs/shopee-daily-2026-09-11/candidates.json#/2</t>
  </si>
  <si>
    <t>EX-0247</t>
  </si>
  <si>
    <t>outputs/shopee-daily-2026-09-11/candidates.json#/3</t>
  </si>
  <si>
    <t>EX-0248</t>
  </si>
  <si>
    <t>outputs/shopee-daily-2026-09-11/candidates.json#/4</t>
  </si>
  <si>
    <t>EX-0249</t>
  </si>
  <si>
    <t>outputs/shopee-daily-2026-09-11/candidates.json#/5</t>
  </si>
  <si>
    <t>EX-0250</t>
  </si>
  <si>
    <t>outputs/shopee-daily-2026-09-11/candidates.json#/6</t>
  </si>
  <si>
    <t>EX-0251</t>
  </si>
  <si>
    <t>outputs/shopee-daily-2026-09-11/candidates.json#/7</t>
  </si>
  <si>
    <t>EX-0252</t>
  </si>
  <si>
    <t>outputs/shopee-daily-2026-09-11/candidates.json#/8</t>
  </si>
  <si>
    <t>EX-0253</t>
  </si>
  <si>
    <t>outputs/shopee-daily-2026-09-11/candidates.json#/9</t>
  </si>
  <si>
    <t>EX-0254</t>
  </si>
  <si>
    <t>product_id</t>
  </si>
  <si>
    <t>跨查询重复观测，不能计作独立新品；跨日期不视为重复订单</t>
  </si>
  <si>
    <t>outputs/shopee-daily-2026-09-11/raw-observations.json#/queries/0/result/content/0/text→JSON/data/2/product_id</t>
  </si>
  <si>
    <t>按商品ID+期间+规格去重；首见来源 outputs/shopee-plan-2026-09-10/raw-observations.json#/market/4/result/content/0/text→JSON/data/3</t>
  </si>
  <si>
    <t>EX-0255</t>
  </si>
  <si>
    <t>outputs/shopee-daily-2026-09-11/raw-observations.json#/queries/0/result/content/0/text→JSON/data/7/product_id</t>
  </si>
  <si>
    <t>按商品ID+期间+规格去重；首见来源 outputs/shopee-plan-2026-09-10/raw-observations.json#/market/4/result/content/0/text→JSON/data/12</t>
  </si>
  <si>
    <t>EX-0256</t>
  </si>
  <si>
    <t>outputs/shopee-daily-2026-09-11/raw-observations.json#/queries/0/result/content/0/text→JSON/data/8/product_id</t>
  </si>
  <si>
    <t>按商品ID+期间+规格去重；首见来源 outputs/shopee-plan-2026-09-10/raw-observations.json#/market/4/result/content/0/text→JSON/data/13</t>
  </si>
  <si>
    <t>EX-0257</t>
  </si>
  <si>
    <t>outputs/shopee-daily-2026-09-11/raw-observations.json#/queries/0/result/content/0/text→JSON/data/11/product_id</t>
  </si>
  <si>
    <t>按商品ID+期间+规格去重；首见来源 outputs/shopee-plan-2026-09-10/raw-observations.json#/market/4/result/content/0/text→JSON/data/16</t>
  </si>
  <si>
    <t>EX-0258</t>
  </si>
  <si>
    <t>outputs/shopee-daily-2026-09-11/raw-observations.json#/queries/0/result/content/0/text→JSON/data/13/product_id</t>
  </si>
  <si>
    <t>按商品ID+期间+规格去重；首见来源 outputs/shopee-plan-2026-09-10/raw-observations.json#/market/4/result/content/0/text→JSON/data/17</t>
  </si>
  <si>
    <t>EX-0259</t>
  </si>
  <si>
    <t>outputs/shopee-daily-2026-09-11/raw-observations.json#/queries/1/result/content/0/text→JSON/data/6/product_id</t>
  </si>
  <si>
    <t>EX-0260</t>
  </si>
  <si>
    <t>outputs/shopee-daily-2026-09-11/raw-observations.json#/queries/1/result/content/0/text→JSON/data/10/product_id</t>
  </si>
  <si>
    <t>按商品ID+期间+规格去重；首见来源 outputs/shopee-plan-2026-09-10/raw-observations.json#/market/4/result/content/0/text→JSON/data/18</t>
  </si>
  <si>
    <t>EX-0261</t>
  </si>
  <si>
    <t>outputs/shopee-daily-2026-09-11/raw-observations.json#/queries/2/result/content/0/text→JSON/data/3/product_id</t>
  </si>
  <si>
    <t>按商品ID+期间+规格去重；首见来源 outputs/shopee-plan-2026-09-10/raw-observations.json#/market/2/result/content/0/text→JSON/data/4</t>
  </si>
  <si>
    <t>EX-0262</t>
  </si>
  <si>
    <t>outputs/shopee-daily-2026-09-11/raw-observations.json#/queries/2/result/content/0/text→JSON/data/6/product_id</t>
  </si>
  <si>
    <t>按商品ID+期间+规格去重；首见来源 outputs/shopee-plan-2026-09-10/raw-observations.json#/market/2/result/content/0/text→JSON/data/9</t>
  </si>
  <si>
    <t>EX-0263</t>
  </si>
  <si>
    <t>outputs/shopee-daily-2026-09-11/raw-observations.json#/queries/3/result/content/0/text→JSON/data/0/product_id</t>
  </si>
  <si>
    <t>按商品ID+期间+规格去重；首见来源 outputs/shopee-daily-2026-09-11/raw-observations.json#/queries/1/result/content/0/text→JSON/data/0</t>
  </si>
  <si>
    <t>EX-0264</t>
  </si>
  <si>
    <t>outputs/shopee-daily-2026-09-11/raw-observations.json#/queries/3/result/content/0/text→JSON/data/1/product_id</t>
  </si>
  <si>
    <t>按商品ID+期间+规格去重；首见来源 outputs/shopee-daily-2026-09-11/raw-observations.json#/queries/1/result/content/0/text→JSON/data/1</t>
  </si>
  <si>
    <t>EX-0265</t>
  </si>
  <si>
    <t>outputs/shopee-daily-2026-09-11/raw-observations.json#/queries/3/result/content/0/text→JSON/data/2/product_id</t>
  </si>
  <si>
    <t>按商品ID+期间+规格去重；首见来源 outputs/shopee-daily-2026-09-11/raw-observations.json#/queries/1/result/content/0/text→JSON/data/3</t>
  </si>
  <si>
    <t>EX-0266</t>
  </si>
  <si>
    <t>outputs/shopee-daily-2026-09-11/raw-observations.json#/queries/3/result/content/0/text→JSON/data/3/product_id</t>
  </si>
  <si>
    <t>按商品ID+期间+规格去重；首见来源 outputs/shopee-daily-2026-09-11/raw-observations.json#/queries/1/result/content/0/text→JSON/data/4</t>
  </si>
  <si>
    <t>EX-0267</t>
  </si>
  <si>
    <t>outputs/shopee-daily-2026-09-11/raw-observations.json#/queries/3/result/content/0/text→JSON/data/4/product_id</t>
  </si>
  <si>
    <t>按商品ID+期间+规格去重；首见来源 outputs/shopee-daily-2026-09-11/raw-observations.json#/queries/1/result/content/0/text→JSON/data/5</t>
  </si>
  <si>
    <t>EX-0268</t>
  </si>
  <si>
    <t>outputs/shopee-daily-2026-09-11/raw-observations.json#/queries/3/result/content/0/text→JSON/data/6/product_id</t>
  </si>
  <si>
    <t>按商品ID+期间+规格去重；首见来源 outputs/shopee-daily-2026-09-11/raw-observations.json#/queries/1/result/content/0/text→JSON/data/7</t>
  </si>
  <si>
    <t>EX-0269</t>
  </si>
  <si>
    <t>outputs/shopee-daily-2026-09-11/raw-observations.json#/queries/3/result/content/0/text→JSON/data/8/product_id</t>
  </si>
  <si>
    <t>按商品ID+期间+规格去重；首见来源 outputs/shopee-daily-2026-09-11/raw-observations.json#/queries/1/result/content/0/text→JSON/data/8</t>
  </si>
  <si>
    <t>EX-0270</t>
  </si>
  <si>
    <t>outputs/shopee-daily-2026-09-11/raw-observations.json#/queries/3/result/content/0/text→JSON/data/9/product_id</t>
  </si>
  <si>
    <t>EX-0271</t>
  </si>
  <si>
    <t>outputs/shopee-daily-2026-09-11/raw-observations.json#/queries/3/result/content/0/text→JSON/data/10/product_id</t>
  </si>
  <si>
    <t>按商品ID+期间+规格去重；首见来源 outputs/shopee-daily-2026-09-11/raw-observations.json#/queries/1/result/content/0/text→JSON/data/11</t>
  </si>
  <si>
    <t>EX-0272</t>
  </si>
  <si>
    <t>outputs/shopee-daily-2026-09-11/raw-observations.json#/queries/3/result/content/0/text→JSON/data/11/product_id</t>
  </si>
  <si>
    <t>按商品ID+期间+规格去重；首见来源 outputs/shopee-daily-2026-09-11/raw-observations.json#/queries/1/result/content/0/text→JSON/data/12</t>
  </si>
  <si>
    <t>EX-0273</t>
  </si>
  <si>
    <t>outputs/shopee-daily-2026-09-11/raw-observations.json#/queries/3/result/content/0/text→JSON/data/12/product_id</t>
  </si>
  <si>
    <t>按商品ID+期间+规格去重；首见来源 outputs/shopee-daily-2026-09-11/raw-observations.json#/queries/1/result/content/0/text→JSON/data/13</t>
  </si>
  <si>
    <t>EX-0274</t>
  </si>
  <si>
    <t>outputs/shopee-daily-2026-09-11/raw-observations.json#/queries/3/result/content/0/text→JSON/data/13/product_id</t>
  </si>
  <si>
    <t>按商品ID+期间+规格去重；首见来源 outputs/shopee-daily-2026-09-11/raw-observations.json#/queries/1/result/content/0/text→JSON/data/14</t>
  </si>
  <si>
    <t>EX-0275</t>
  </si>
  <si>
    <t>outputs/shopee-daily-2026-09-11/raw-observations.json#/queries/3/result/content/0/text→JSON/data/14/product_id</t>
  </si>
  <si>
    <t>按商品ID+期间+规格去重；首见来源 outputs/shopee-daily-2026-09-11/raw-observations.json#/queries/1/result/content/0/text→JSON/data/15</t>
  </si>
  <si>
    <t>EX-0276</t>
  </si>
  <si>
    <t>outputs/shopee-daily-2026-09-11/raw-observations.json#/queries/3/result/content/0/text→JSON/data/16/product_id</t>
  </si>
  <si>
    <t>按商品ID+期间+规格去重；首见来源 outputs/shopee-daily-2026-09-11/raw-observations.json#/queries/1/result/content/0/text→JSON/data/16</t>
  </si>
  <si>
    <t>EX-0277</t>
  </si>
  <si>
    <t>outputs/shopee-daily-2026-09-11/raw-observations.json#/queries/3/result/content/0/text→JSON/data/18/product_id</t>
  </si>
  <si>
    <t>按商品ID+期间+规格去重；首见来源 outputs/shopee-daily-2026-09-11/raw-observations.json#/queries/1/result/content/0/text→JSON/data/17</t>
  </si>
  <si>
    <t>EX-0278</t>
  </si>
  <si>
    <t>2026-09-14 summary.status</t>
  </si>
  <si>
    <t>source_quota_exhausted</t>
  </si>
  <si>
    <t>本轮没有新增样本，不表示市场需求为零</t>
  </si>
  <si>
    <t>outputs/shopee-daily-2026-09-14/summary.json#/status</t>
  </si>
  <si>
    <t>取得正常可用数据后重新采集</t>
  </si>
  <si>
    <t>EX-0279</t>
  </si>
  <si>
    <t>verified / version</t>
  </si>
  <si>
    <t>false / DEMO-1</t>
  </si>
  <si>
    <t>历史12%/5.6%/0.125等不作为本店生产参数</t>
  </si>
  <si>
    <t>mvp/seed.py#default_settings.rules</t>
  </si>
  <si>
    <t>用本店通知、合同与结算结果确定</t>
  </si>
  <si>
    <t>EX-0280</t>
  </si>
  <si>
    <t>交易费舍入</t>
  </si>
  <si>
    <t>旧程序PHP两位小数；O01 §23.1取整比索</t>
  </si>
  <si>
    <t>不能用旧测试证明实际结算一致</t>
  </si>
  <si>
    <t>mvp/engine.py#evaluate; O01 §23.1</t>
  </si>
  <si>
    <t>新表逐费项配置舍入；以适用通知与账单对账</t>
  </si>
  <si>
    <t>EX-0281</t>
  </si>
  <si>
    <t>人工确认算例</t>
  </si>
  <si>
    <t>用户明确表示没有</t>
  </si>
  <si>
    <t>无法声称通过真实订单对账</t>
  </si>
  <si>
    <t>本任务用户补充：没有案例</t>
  </si>
  <si>
    <t>使用隔离测试验证数学；真实数据提供后逐笔对账</t>
  </si>
  <si>
    <t>NEW-001</t>
  </si>
  <si>
    <t>本轮接口事实</t>
  </si>
  <si>
    <t>Sorftime查询</t>
  </si>
  <si>
    <t>MCP使用次数已达到上限，请升级您的套餐</t>
  </si>
  <si>
    <t>无法取得新市场与货源数据；并不表示需求为0</t>
  </si>
  <si>
    <t>本轮工具调用；source-log.json</t>
  </si>
  <si>
    <t>恢复已有服务权限/额度，或取得合法来源导出；未购买套餐</t>
  </si>
  <si>
    <t>NEW-002</t>
  </si>
  <si>
    <t>本轮访问限制</t>
  </si>
  <si>
    <t>1688详情读取</t>
  </si>
  <si>
    <t>网页读取失败；浏览器站点安全策略阻止</t>
  </si>
  <si>
    <t>无法取得当前SKU、阶梯价和现货证据</t>
  </si>
  <si>
    <t>source-log.json</t>
  </si>
  <si>
    <t>提供用户合法取得的SKU报价与包装物流证据；不绕过限制</t>
  </si>
  <si>
    <t>09 · 市场与官方证据</t>
  </si>
  <si>
    <t>官方宏观数据说明市场背景，不证明任何单品可以盈利。所有比例口径保留；第三方搜索结果不作为正式当前报价。</t>
  </si>
  <si>
    <t>来源ID</t>
  </si>
  <si>
    <t>主题</t>
  </si>
  <si>
    <t>本轮读取结果</t>
  </si>
  <si>
    <t>结论性质</t>
  </si>
  <si>
    <t>适用限制</t>
  </si>
  <si>
    <t>来源链接/文件</t>
  </si>
  <si>
    <t>读取日期</t>
  </si>
  <si>
    <t>O01</t>
  </si>
  <si>
    <t>菲律宾数字经济背景</t>
  </si>
  <si>
    <t>PSA 2026-04-30发布：2025年数字经济GVA为2.74万亿PHP，占GDP9.8%，按现价较2024年增长5.4%。</t>
  </si>
  <si>
    <t>官方事实</t>
  </si>
  <si>
    <t>这是全国数字经济增加值，不是Shopee GMV。不能据此推出单品需求或利润。</t>
  </si>
  <si>
    <t>https://psa.gov.ph/system/files/sad/Press%20Release_2025%20PDESA_0.pdf</t>
  </si>
  <si>
    <t>2026-09-15</t>
  </si>
  <si>
    <t>O02</t>
  </si>
  <si>
    <t>全国电商增加值</t>
  </si>
  <si>
    <t>PSA图表列2025年电商GVA为8804.6亿PHP，占数字经济32.2%。</t>
  </si>
  <si>
    <t>这是电商增加值口径，不是交易总额，不代表Shopee独有份额。</t>
  </si>
  <si>
    <t>https://psa.gov.ph/sites/default/files/infographics/Infographic_2025%20PDESA.pdf</t>
  </si>
  <si>
    <t>O03</t>
  </si>
  <si>
    <t>Shopee禁限售</t>
  </si>
  <si>
    <t>当前公开政策把合法合规责任放在卖家；禁止/限制清单非穷尽且会更新。</t>
  </si>
  <si>
    <t>官方规则</t>
  </si>
  <si>
    <t>逐SKU对照；药物、受限设备等排除；无列表命中不代表已批准。</t>
  </si>
  <si>
    <t>https://help.shopee.ph/portal/4/article/77276</t>
  </si>
  <si>
    <t>O04</t>
  </si>
  <si>
    <t>BPS强制认证</t>
  </si>
  <si>
    <t>BPS要求受管制产品按PS/ICC方案具备相应标识。</t>
  </si>
  <si>
    <t>概述页写87，明细页编号到111；统计口径/更新可能不同，不写固定数量作为准入条件，以实际类别/规格清单为准。</t>
  </si>
  <si>
    <t>https://bps.dti.gov.ph/product-certification/list-of-products-under-mandatory-certification</t>
  </si>
  <si>
    <t>O05</t>
  </si>
  <si>
    <t>菲律宾跨境收费</t>
  </si>
  <si>
    <t>条款§23普通交易费列2.24%含VAT且取整比索；处理费每成功订单₱5、每月前50成功单豁免；境外卖家跨境佣金按另行通知。</t>
  </si>
  <si>
    <t>不能替代本店佣金、活动与结算费表；增长、平台运费计划等逐项确认适用。</t>
  </si>
  <si>
    <t>https://help.shopee.ph/portal/4/article/77272</t>
  </si>
  <si>
    <t>O06</t>
  </si>
  <si>
    <t>平台整体背景</t>
  </si>
  <si>
    <t>Sea披露2026Q2 Shopee整体订单42亿，同比增长27.5%；GMV383亿美元，同比增长28.4%。</t>
  </si>
  <si>
    <t>发行人一手事实</t>
  </si>
  <si>
    <t>覆盖Shopee整体经营地区，不能视为菲律宾站增速或份额。只作背景。</t>
  </si>
  <si>
    <t>https://www.sec.gov/Archives/edgar/data/1703399/000119312526344596/d120948dex991.htm</t>
  </si>
  <si>
    <t>O07</t>
  </si>
  <si>
    <t>FDA监管边界</t>
  </si>
  <si>
    <t>FDA有针对HUHS机构许可的官方办理材料；化学相关产品需要先判监管归类。</t>
  </si>
  <si>
    <t>官方资料/经营排除</t>
  </si>
  <si>
    <t>本次按用户约束排除化学相关；不是声称所有收纳品都需FDA许可。</t>
  </si>
  <si>
    <t>https://www.fda.gov.ph/information-education-and-communication-iec-materials-relative-to-the-licensing-of-household-urban-hazardous-substances-huhs-establishments-covered-under-administrative-order-no-2019-0019-and-fd/</t>
  </si>
  <si>
    <t>W01</t>
  </si>
  <si>
    <t>公开店铺有限补证</t>
  </si>
  <si>
    <t>Shopee Paccube公开页展示4件Packing Cubes ₱1050、5.0、239 sold；双面压缩款₱690、4.9、178 sold。</t>
  </si>
  <si>
    <t>公开页面展示值</t>
  </si>
  <si>
    <t>已售未说明时间窗；品牌本地制作，规格、配送、权利与跨境仿照不可比。不能计为30天样本；1050高于既有1000参考。</t>
  </si>
  <si>
    <t>https://shopee.ph/paccube</t>
  </si>
  <si>
    <t>L01</t>
  </si>
  <si>
    <t>现有经营基线</t>
  </si>
  <si>
    <t>非商城跨境/SLS；20,000启动资金；无销售库存；20%和15元门槛。</t>
  </si>
  <si>
    <t>工作区历史记录</t>
  </si>
  <si>
    <t>当前余额与店铺30天业绩仍缺；本次500元及60分钟要求优先。</t>
  </si>
  <si>
    <t>Shopee菲律宾自动选品上架系统-主开发Prompt-v0.3.md</t>
  </si>
  <si>
    <t>2026-09-15读取</t>
  </si>
  <si>
    <t>L02</t>
  </si>
  <si>
    <t>历史市场/货源原始文件</t>
  </si>
  <si>
    <t>220条市场观测；196个商品ID；600条供应商观测。</t>
  </si>
  <si>
    <t>本地数据审计</t>
  </si>
  <si>
    <t>采集于9月10/11日；币种、窗口及SKU报价问题未闭环。</t>
  </si>
  <si>
    <t>evidence/input-manifest.json</t>
  </si>
  <si>
    <t>2026-09-15审计</t>
  </si>
  <si>
    <t>T01</t>
  </si>
  <si>
    <t>本轮源访问状态</t>
  </si>
  <si>
    <t>Sorftime一次正常查询返回额度耗尽；1688网页未读取成功，浏览器策略阻止。</t>
  </si>
  <si>
    <t>工具执行事实</t>
  </si>
  <si>
    <t>未购买额度或绕过访问限制。只能完成已有证据部分。</t>
  </si>
  <si>
    <t>10 · SOP与阈值</t>
  </si>
  <si>
    <t>产能目标需先有有效候选储备。首次资料建档、供应商等待与样品到货不能压缩成一小时；三天试运行后再承诺产能。</t>
  </si>
  <si>
    <t>步骤</t>
  </si>
  <si>
    <t>时间目标/频率</t>
  </si>
  <si>
    <t>输入</t>
  </si>
  <si>
    <t>处理和产出</t>
  </si>
  <si>
    <t>放行条件</t>
  </si>
  <si>
    <t>失败处理</t>
  </si>
  <si>
    <t>0 建档</t>
  </si>
  <si>
    <t>首次，独立计时</t>
  </si>
  <si>
    <t>店铺类别/费率/物流/税/现金；3–5家供应商</t>
  </si>
  <si>
    <t>形成有有效期的规则库与准确SKU模板</t>
  </si>
  <si>
    <t>关键口径可核实</t>
  </si>
  <si>
    <t>缺口只阻断相应结果</t>
  </si>
  <si>
    <t>1 每日刷新</t>
  </si>
  <si>
    <t>Agent预处理</t>
  </si>
  <si>
    <t>费用/库存/报价变更、候选历史</t>
  </si>
  <si>
    <t>收50–100条线索、不同SPU去重</t>
  </si>
  <si>
    <t>合法来源且时间可追溯</t>
  </si>
  <si>
    <t>接口失败保留旧观测日期</t>
  </si>
  <si>
    <t>2 数据及合规</t>
  </si>
  <si>
    <t>PH商品/销售窗/权利/产品属性</t>
  </si>
  <si>
    <t>币种、期间、规格、禁限售拦截</t>
  </si>
  <si>
    <t>数据有效、合规明确</t>
  </si>
  <si>
    <t>未知补证；明确违规排除</t>
  </si>
  <si>
    <t>3 需求竞争</t>
  </si>
  <si>
    <t>10–20同规格竞品、价格、店铺、评论</t>
  </si>
  <si>
    <t>样本/店铺需求、CR3、到手价分位、差异验证</t>
  </si>
  <si>
    <t>至少10款/5店、300件、3店30件；CR3≤70%等</t>
  </si>
  <si>
    <t>不以全国增长/单链接累计已售替代</t>
  </si>
  <si>
    <t>4 供货利润</t>
  </si>
  <si>
    <t>1688逐SKU报价、包重、完整成本</t>
  </si>
  <si>
    <t>基准+压力+采购上限+500元测试预算</t>
  </si>
  <si>
    <t>20%且15元；压力≥0；测试≤500</t>
  </si>
  <si>
    <t>未核实费用不填0；不能标通过</t>
  </si>
  <si>
    <t>5 组合审核</t>
  </si>
  <si>
    <t>人工5分钟</t>
  </si>
  <si>
    <t>当天现金、未决损失、候选风险</t>
  </si>
  <si>
    <t>全店累计现金/亏损核查</t>
  </si>
  <si>
    <t>应急5000；月上限4000；新增占资≤80%</t>
  </si>
  <si>
    <t>冻结新增测试，不影响已有履约</t>
  </si>
  <si>
    <t>6 审市场证据</t>
  </si>
  <si>
    <t>人工10分钟</t>
  </si>
  <si>
    <t>Excel事实与竞争摘要</t>
  </si>
  <si>
    <t>看有效样本、价格、跨境竞争、差异</t>
  </si>
  <si>
    <t>证据足够支持小测</t>
  </si>
  <si>
    <t>抽查疑点移出批审</t>
  </si>
  <si>
    <t>7 审供应成本</t>
  </si>
  <si>
    <t>人工20分钟</t>
  </si>
  <si>
    <t>22逐品/费用明细/样品证据</t>
  </si>
  <si>
    <t>审可行报价、运费、预算、有效期</t>
  </si>
  <si>
    <t>当前SKU/报价和压力通过</t>
  </si>
  <si>
    <t>不因凑10个降低阈值</t>
  </si>
  <si>
    <t>8 批量人审</t>
  </si>
  <si>
    <t>证据完整的10–20不同SPU</t>
  </si>
  <si>
    <t>记录批准/拒绝/补证与版本</t>
  </si>
  <si>
    <t>所有硬门槛通过</t>
  </si>
  <si>
    <t>关键输入变化旧批准失效</t>
  </si>
  <si>
    <t>9 存档</t>
  </si>
  <si>
    <t>审核记录与源快照</t>
  </si>
  <si>
    <t>输出日报/Excel/待补证清单</t>
  </si>
  <si>
    <t>审阅总时长60分钟目标</t>
  </si>
  <si>
    <t>首次建库/等待报价另计</t>
  </si>
  <si>
    <t>10 复盘</t>
  </si>
  <si>
    <t>7/14/28天</t>
  </si>
  <si>
    <t>曝光、点击、访问、订单、售后、结算</t>
  </si>
  <si>
    <t>验证漏斗与全队列成本；决定继续/停止</t>
  </si>
  <si>
    <t>先在500元累计上限内执行；证据足够再讨论扩测</t>
  </si>
  <si>
    <t>未成熟/零曝光不说产品无需求</t>
  </si>
  <si>
    <t>11 · 复盘与待补资料</t>
  </si>
  <si>
    <t>店主审核后仍需另行授权外部操作；本轮没有产生采购、广告或上架。</t>
  </si>
  <si>
    <t>需要的数据</t>
  </si>
  <si>
    <t>用途/最小范围</t>
  </si>
  <si>
    <t>本轮状态</t>
  </si>
  <si>
    <t>责任/下一步</t>
  </si>
  <si>
    <t>P0 店铺费用</t>
  </si>
  <si>
    <t>本店类目佣金/跨境费、支付、活动、增长、运费计划、固定/预售费；有效期</t>
  </si>
  <si>
    <t>当前设置/官方通知；如有，提供3–5笔完整结算作对账</t>
  </si>
  <si>
    <t>缺失</t>
  </si>
  <si>
    <t>店主提供已有资料；不代填公共示例</t>
  </si>
  <si>
    <t>P0 SLS和云仓</t>
  </si>
  <si>
    <t>渠道运费表、首续重/体积系数、净运费算法、贴标/包材/仓储、时效</t>
  </si>
  <si>
    <t>只需当前用的一个仓和一个SLS渠道</t>
  </si>
  <si>
    <t>费用和DTS/入仓截止一起核实</t>
  </si>
  <si>
    <t>P0 市场</t>
  </si>
  <si>
    <t>PH/PHP明确的同规格10–20竞品/方向，独立店与30天窗口销量</t>
  </si>
  <si>
    <t>来源/采集时间/统计开始结束；能区分本土/跨境与SKU销量</t>
  </si>
  <si>
    <t>历史不合格</t>
  </si>
  <si>
    <t>恢复已有数据源或提供合法导出</t>
  </si>
  <si>
    <t>P0 1688逐SKU</t>
  </si>
  <si>
    <t>offer/SKU、规格件数、单件/阶梯价、MOQ/代发、库存、备货、包重、含税/运费</t>
  </si>
  <si>
    <t>每款至少1主供应商；24小时内；建议备用1家</t>
  </si>
  <si>
    <t>只有历史线索</t>
  </si>
  <si>
    <t>不把0.03或0.6等起价当套装价</t>
  </si>
  <si>
    <t>P0 资金和经营</t>
  </si>
  <si>
    <t>今天人民币可用余额、已付/未付承诺、当月损失、未决退件</t>
  </si>
  <si>
    <t>近30天订单/销售/广告/退款及到账日；无则明确无</t>
  </si>
  <si>
    <t>历史2万元不替代现金核验</t>
  </si>
  <si>
    <t>P1 样品/权利</t>
  </si>
  <si>
    <t>测量、拉链/承重/耐用/适配等检查、商标外观/图片授权</t>
  </si>
  <si>
    <t>按候选实际用途；仅空包/被动整理用品方向</t>
  </si>
  <si>
    <t>未验证</t>
  </si>
  <si>
    <t>用于关闭合规、质量、素材门槛</t>
  </si>
  <si>
    <t>复盘7天</t>
  </si>
  <si>
    <t>上架可售、索引、曝光、点击</t>
  </si>
  <si>
    <t>记录链接状态和时间，检查是否获得真实访问</t>
  </si>
  <si>
    <t>尚未测试</t>
  </si>
  <si>
    <t>零曝光时不作需求失败结论</t>
  </si>
  <si>
    <t>复盘14天</t>
  </si>
  <si>
    <t>访问/订单/退款，来源拆分广告与自然</t>
  </si>
  <si>
    <t>约100有效访问零单只作试行警报，排查价格与交运</t>
  </si>
  <si>
    <t>所有测试支出累计到同SPU</t>
  </si>
  <si>
    <t>复盘28天</t>
  </si>
  <si>
    <t>采购到实际可用人民币的全队列对账</t>
  </si>
  <si>
    <t>成功、失败、取消、退货、待结算均保留；成熟订单建议≥20</t>
  </si>
  <si>
    <t>预算不足以形成样本时，结论是未证实，不是成功</t>
  </si>
  <si>
    <t>12 · 流程图</t>
  </si>
  <si>
    <t>完整路径：证据→市场→供应→利润→500元测试→全店现金→人审。</t>
  </si>
  <si>
    <t>每日选品流程</t>
  </si>
  <si>
    <t>判定</t>
  </si>
  <si>
    <t>输出</t>
  </si>
  <si>
    <t>备注</t>
  </si>
</sst>
</file>

<file path=xl/styles.xml><?xml version="1.0" encoding="utf-8"?>
<styleSheet xmlns="http://schemas.openxmlformats.org/spreadsheetml/2006/main">
  <numFmts count="4">
    <numFmt numFmtId="164" formatCode="yyyy-mm-dd hh:mm"/>
    <numFmt numFmtId="165" formatCode="0.00########"/>
    <numFmt numFmtId="166" formatCode="#,##0.00;[Red]-#,##0.00"/>
    <numFmt numFmtId="167" formatCode="0.0%"/>
  </numFmts>
  <fonts count="8">
    <font>
      <sz val="11"/>
      <color theme="1"/>
      <name val="Calibri"/>
      <family val="2"/>
      <scheme val="minor"/>
    </font>
    <font>
      <b/>
      <sz val="20"/>
      <color rgb="FFFFFFFF"/>
      <name val="Microsoft YaHei"/>
      <family val="2"/>
    </font>
    <font>
      <sz val="10"/>
      <color rgb="FF47586A"/>
      <name val="Microsoft YaHei"/>
      <family val="2"/>
    </font>
    <font>
      <sz val="10"/>
      <color rgb="FF195ABD"/>
      <name val="Microsoft YaHei"/>
      <family val="2"/>
    </font>
    <font>
      <b/>
      <sz val="10"/>
      <color rgb="FFFFFFFF"/>
      <name val="Microsoft YaHei"/>
      <family val="2"/>
    </font>
    <font>
      <sz val="10"/>
      <color theme="1"/>
      <name val="Microsoft YaHei"/>
      <family val="2"/>
    </font>
    <font>
      <sz val="10"/>
      <color rgb="FF87540E"/>
      <name val="Microsoft YaHei"/>
      <family val="2"/>
    </font>
    <font>
      <u/>
      <sz val="10"/>
      <color rgb="FF1763B5"/>
      <name val="Microsoft YaHei"/>
      <family val="2"/>
    </font>
  </fonts>
  <fills count="8">
    <fill>
      <patternFill patternType="none"/>
    </fill>
    <fill>
      <patternFill patternType="gray125"/>
    </fill>
    <fill>
      <patternFill patternType="solid">
        <fgColor rgb="FF12354A"/>
        <bgColor indexed="64"/>
      </patternFill>
    </fill>
    <fill>
      <patternFill patternType="solid">
        <fgColor rgb="FFF0F5F8"/>
        <bgColor indexed="64"/>
      </patternFill>
    </fill>
    <fill>
      <patternFill patternType="solid">
        <fgColor rgb="FFEAF2FF"/>
        <bgColor indexed="64"/>
      </patternFill>
    </fill>
    <fill>
      <patternFill patternType="solid">
        <fgColor rgb="FF24566D"/>
        <bgColor indexed="64"/>
      </patternFill>
    </fill>
    <fill>
      <patternFill patternType="solid">
        <fgColor rgb="FFFFF1D5"/>
        <bgColor indexed="64"/>
      </patternFill>
    </fill>
    <fill>
      <patternFill patternType="solid">
        <fgColor rgb="FFF1F5F6"/>
        <bgColor indexed="64"/>
      </patternFill>
    </fill>
  </fills>
  <borders count="2">
    <border>
      <left/>
      <right/>
      <top/>
      <bottom/>
      <diagonal/>
    </border>
    <border>
      <left/>
      <right/>
      <top/>
      <bottom style="thin">
        <color rgb="FFDCE4EA"/>
      </bottom>
      <diagonal/>
    </border>
  </borders>
  <cellStyleXfs count="1">
    <xf numFmtId="0" fontId="0" fillId="0" borderId="0"/>
  </cellStyleXfs>
  <cellXfs count="11">
    <xf numFmtId="0" fontId="0" fillId="0" borderId="0" xfId="0"/>
    <xf numFmtId="0" fontId="1" fillId="2" borderId="0" xfId="0" applyFont="1" applyFill="1" applyAlignment="1">
      <alignment vertical="top" wrapText="1"/>
    </xf>
    <xf numFmtId="0" fontId="2" fillId="3" borderId="0" xfId="0" applyFont="1" applyFill="1" applyAlignment="1">
      <alignment vertical="top" wrapText="1"/>
    </xf>
    <xf numFmtId="164" fontId="3" fillId="4" borderId="0" xfId="0" applyNumberFormat="1" applyFont="1" applyFill="1" applyAlignment="1">
      <alignment vertical="top" wrapText="1"/>
    </xf>
    <xf numFmtId="0" fontId="4" fillId="5" borderId="0" xfId="0" applyFont="1" applyFill="1" applyAlignment="1">
      <alignment vertical="top" wrapText="1"/>
    </xf>
    <xf numFmtId="0" fontId="5" fillId="0" borderId="1" xfId="0" applyFont="1" applyBorder="1" applyAlignment="1">
      <alignment vertical="top" wrapText="1"/>
    </xf>
    <xf numFmtId="0" fontId="6" fillId="6" borderId="0" xfId="0" applyFont="1" applyFill="1" applyAlignment="1">
      <alignment vertical="top" wrapText="1"/>
    </xf>
    <xf numFmtId="0" fontId="7" fillId="0" borderId="0" xfId="0" applyFont="1" applyAlignment="1">
      <alignment vertical="top" wrapText="1"/>
    </xf>
    <xf numFmtId="165" fontId="3" fillId="4" borderId="0" xfId="0" applyNumberFormat="1" applyFont="1" applyFill="1" applyAlignment="1">
      <alignment vertical="top" wrapText="1"/>
    </xf>
    <xf numFmtId="166" fontId="5" fillId="7" borderId="0" xfId="0" applyNumberFormat="1" applyFont="1" applyFill="1" applyAlignment="1">
      <alignment vertical="top" wrapText="1"/>
    </xf>
    <xf numFmtId="167" fontId="5" fillId="7" borderId="0" xfId="0" applyNumberFormat="1" applyFont="1" applyFill="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theme" Target="theme/theme1.xml"/><Relationship Id="rId15" Type="http://schemas.openxmlformats.org/officeDocument/2006/relationships/styles" Target="styles.xml"/><Relationship Id="rId16"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3</xdr:col>
      <xdr:colOff>428625</xdr:colOff>
      <xdr:row>64</xdr:row>
      <xdr:rowOff>0</xdr:rowOff>
    </xdr:to>
    <xdr:pic>
      <xdr:nvPicPr>
        <xdr:cNvPr id="2" name="Picture 1" descr="选品流程图.png"/>
        <xdr:cNvPicPr>
          <a:picLocks noChangeAspect="1"/>
        </xdr:cNvPicPr>
      </xdr:nvPicPr>
      <xdr:blipFill>
        <a:blip xmlns:r="http://schemas.openxmlformats.org/officeDocument/2006/relationships" r:embed="rId1"/>
        <a:stretch>
          <a:fillRect/>
        </a:stretch>
      </xdr:blipFill>
      <xdr:spPr>
        <a:xfrm>
          <a:off x="0" y="1504950"/>
          <a:ext cx="8572500" cy="11430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shopee.ph/product/1220516363/27528479375" TargetMode="External"/><Relationship Id="rId2" Type="http://schemas.openxmlformats.org/officeDocument/2006/relationships/hyperlink" Target="https://detail.1688.com/offer/625255182969.html" TargetMode="External"/><Relationship Id="rId3" Type="http://schemas.openxmlformats.org/officeDocument/2006/relationships/hyperlink" Target="https://shopee.ph/product/550121387/14529056693" TargetMode="External"/><Relationship Id="rId4" Type="http://schemas.openxmlformats.org/officeDocument/2006/relationships/hyperlink" Target="https://detail.1688.com/offer/847068328975.html" TargetMode="External"/><Relationship Id="rId5" Type="http://schemas.openxmlformats.org/officeDocument/2006/relationships/hyperlink" Target="https://shopee.ph/product/1338796953/24944345450" TargetMode="External"/><Relationship Id="rId6" Type="http://schemas.openxmlformats.org/officeDocument/2006/relationships/hyperlink" Target="https://shopee.ph/product/699515539/25544554587" TargetMode="External"/><Relationship Id="rId7" Type="http://schemas.openxmlformats.org/officeDocument/2006/relationships/hyperlink" Target="https://shopee.ph/product/419236915/6185455937" TargetMode="External"/><Relationship Id="rId8" Type="http://schemas.openxmlformats.org/officeDocument/2006/relationships/hyperlink" Target="https://shopee.ph/product/739548616/26901266092" TargetMode="External"/><Relationship Id="rId9" Type="http://schemas.openxmlformats.org/officeDocument/2006/relationships/hyperlink" Target="https://shopee.ph/product/196214868/24474649589" TargetMode="External"/><Relationship Id="rId10" Type="http://schemas.openxmlformats.org/officeDocument/2006/relationships/hyperlink" Target="https://detail.1688.com/offer/723994327186.html" TargetMode="External"/><Relationship Id="rId11" Type="http://schemas.openxmlformats.org/officeDocument/2006/relationships/hyperlink" Target="https://shopee.ph/product/1209340734/27308021764" TargetMode="External"/><Relationship Id="rId12" Type="http://schemas.openxmlformats.org/officeDocument/2006/relationships/hyperlink" Target="https://shopee.ph/product/284375657/14488134409" TargetMode="External"/><Relationship Id="rId13" Type="http://schemas.openxmlformats.org/officeDocument/2006/relationships/hyperlink" Target="https://shopee.ph/product/279498155/15750813899" TargetMode="External"/><Relationship Id="rId14" Type="http://schemas.openxmlformats.org/officeDocument/2006/relationships/hyperlink" Target="https://shopee.ph/product/970194884/19694647631" TargetMode="External"/><Relationship Id="rId15" Type="http://schemas.openxmlformats.org/officeDocument/2006/relationships/hyperlink" Target="https://shopee.ph/product/419236915/41276257375" TargetMode="External"/><Relationship Id="rId16" Type="http://schemas.openxmlformats.org/officeDocument/2006/relationships/hyperlink" Target="https://shopee.ph/product/264585346/20569033063" TargetMode="External"/><Relationship Id="rId17" Type="http://schemas.openxmlformats.org/officeDocument/2006/relationships/hyperlink" Target="https://detail.1688.com/offer/594370725177.html" TargetMode="External"/><Relationship Id="rId18" Type="http://schemas.openxmlformats.org/officeDocument/2006/relationships/hyperlink" Target="https://shopee.ph/product/1229056552/25525886150" TargetMode="External"/><Relationship Id="rId19" Type="http://schemas.openxmlformats.org/officeDocument/2006/relationships/hyperlink" Target="https://detail.1688.com/offer/965458977775.html" TargetMode="External"/><Relationship Id="rId20" Type="http://schemas.openxmlformats.org/officeDocument/2006/relationships/hyperlink" Target="https://shopee.ph/product/998991383/16595257849" TargetMode="External"/><Relationship Id="rId21" Type="http://schemas.openxmlformats.org/officeDocument/2006/relationships/hyperlink" Target="https://detail.1688.com/offer/732898036456.html" TargetMode="External"/><Relationship Id="rId22" Type="http://schemas.openxmlformats.org/officeDocument/2006/relationships/hyperlink" Target="https://shopee.ph/product/514999607/25305669141" TargetMode="External"/><Relationship Id="rId23" Type="http://schemas.openxmlformats.org/officeDocument/2006/relationships/hyperlink" Target="https://shopee.ph/product/38727052/27810028091" TargetMode="External"/><Relationship Id="rId24" Type="http://schemas.openxmlformats.org/officeDocument/2006/relationships/hyperlink" Target="https://shopee.ph/product/375375228/28740303369" TargetMode="External"/><Relationship Id="rId25" Type="http://schemas.openxmlformats.org/officeDocument/2006/relationships/hyperlink" Target="https://shopee.ph/product/370984810/12536138081" TargetMode="External"/><Relationship Id="rId26" Type="http://schemas.openxmlformats.org/officeDocument/2006/relationships/hyperlink" Target="https://shopee.ph/product/1344635572/43306697837" TargetMode="External"/><Relationship Id="rId27" Type="http://schemas.openxmlformats.org/officeDocument/2006/relationships/hyperlink" Target="https://shopee.ph/product/1157080722/25286970958" TargetMode="External"/><Relationship Id="rId28" Type="http://schemas.openxmlformats.org/officeDocument/2006/relationships/hyperlink" Target="https://shopee.ph/product/969657190/22135470144"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detail.1688.com/offer/740476883384.html" TargetMode="External"/><Relationship Id="rId2" Type="http://schemas.openxmlformats.org/officeDocument/2006/relationships/hyperlink" Target="https://detail.1688.com/offer/959024425225.html" TargetMode="External"/><Relationship Id="rId3" Type="http://schemas.openxmlformats.org/officeDocument/2006/relationships/hyperlink" Target="https://detail.1688.com/offer/757301647238.html" TargetMode="External"/><Relationship Id="rId4" Type="http://schemas.openxmlformats.org/officeDocument/2006/relationships/hyperlink" Target="https://detail.1688.com/offer/719860595971.html" TargetMode="External"/><Relationship Id="rId5" Type="http://schemas.openxmlformats.org/officeDocument/2006/relationships/hyperlink" Target="https://detail.1688.com/offer/813925971481.html" TargetMode="External"/><Relationship Id="rId6" Type="http://schemas.openxmlformats.org/officeDocument/2006/relationships/hyperlink" Target="https://detail.1688.com/offer/625255182969.html" TargetMode="External"/><Relationship Id="rId7" Type="http://schemas.openxmlformats.org/officeDocument/2006/relationships/hyperlink" Target="https://detail.1688.com/offer/705110577312.html" TargetMode="External"/><Relationship Id="rId8" Type="http://schemas.openxmlformats.org/officeDocument/2006/relationships/hyperlink" Target="https://detail.1688.com/offer/795873942999.html" TargetMode="External"/><Relationship Id="rId9" Type="http://schemas.openxmlformats.org/officeDocument/2006/relationships/hyperlink" Target="https://detail.1688.com/offer/596364807955.html" TargetMode="External"/><Relationship Id="rId10" Type="http://schemas.openxmlformats.org/officeDocument/2006/relationships/hyperlink" Target="https://detail.1688.com/offer/763443524740.html" TargetMode="External"/><Relationship Id="rId11" Type="http://schemas.openxmlformats.org/officeDocument/2006/relationships/hyperlink" Target="https://detail.1688.com/offer/617113480161.html" TargetMode="External"/><Relationship Id="rId12" Type="http://schemas.openxmlformats.org/officeDocument/2006/relationships/hyperlink" Target="https://detail.1688.com/offer/713462628237.html" TargetMode="External"/><Relationship Id="rId13" Type="http://schemas.openxmlformats.org/officeDocument/2006/relationships/hyperlink" Target="https://detail.1688.com/offer/946217618491.html" TargetMode="External"/><Relationship Id="rId14" Type="http://schemas.openxmlformats.org/officeDocument/2006/relationships/hyperlink" Target="https://detail.1688.com/offer/769141587390.html" TargetMode="External"/><Relationship Id="rId15" Type="http://schemas.openxmlformats.org/officeDocument/2006/relationships/hyperlink" Target="https://detail.1688.com/offer/634614311045.html" TargetMode="External"/><Relationship Id="rId16" Type="http://schemas.openxmlformats.org/officeDocument/2006/relationships/hyperlink" Target="https://detail.1688.com/offer/719217861274.html" TargetMode="External"/><Relationship Id="rId17" Type="http://schemas.openxmlformats.org/officeDocument/2006/relationships/hyperlink" Target="https://detail.1688.com/offer/914125600672.html" TargetMode="External"/><Relationship Id="rId18" Type="http://schemas.openxmlformats.org/officeDocument/2006/relationships/hyperlink" Target="https://detail.1688.com/offer/945740708989.html" TargetMode="External"/><Relationship Id="rId19" Type="http://schemas.openxmlformats.org/officeDocument/2006/relationships/hyperlink" Target="https://detail.1688.com/offer/678102897733.html" TargetMode="External"/><Relationship Id="rId20" Type="http://schemas.openxmlformats.org/officeDocument/2006/relationships/hyperlink" Target="https://detail.1688.com/offer/883527333937.html" TargetMode="External"/><Relationship Id="rId21" Type="http://schemas.openxmlformats.org/officeDocument/2006/relationships/hyperlink" Target="https://detail.1688.com/offer/894717160880.html" TargetMode="External"/><Relationship Id="rId22" Type="http://schemas.openxmlformats.org/officeDocument/2006/relationships/hyperlink" Target="https://detail.1688.com/offer/721245381400.html" TargetMode="External"/><Relationship Id="rId23" Type="http://schemas.openxmlformats.org/officeDocument/2006/relationships/hyperlink" Target="https://detail.1688.com/offer/718385804237.html" TargetMode="External"/><Relationship Id="rId24" Type="http://schemas.openxmlformats.org/officeDocument/2006/relationships/hyperlink" Target="https://detail.1688.com/offer/755489755204.html" TargetMode="External"/><Relationship Id="rId25" Type="http://schemas.openxmlformats.org/officeDocument/2006/relationships/hyperlink" Target="https://detail.1688.com/offer/598663018077.html" TargetMode="External"/><Relationship Id="rId26" Type="http://schemas.openxmlformats.org/officeDocument/2006/relationships/hyperlink" Target="https://detail.1688.com/offer/858339494134.html" TargetMode="External"/><Relationship Id="rId27" Type="http://schemas.openxmlformats.org/officeDocument/2006/relationships/hyperlink" Target="https://detail.1688.com/offer/808715329025.html" TargetMode="External"/><Relationship Id="rId28" Type="http://schemas.openxmlformats.org/officeDocument/2006/relationships/hyperlink" Target="https://detail.1688.com/offer/665976181640.html" TargetMode="External"/><Relationship Id="rId29" Type="http://schemas.openxmlformats.org/officeDocument/2006/relationships/hyperlink" Target="https://detail.1688.com/offer/618364145714.html" TargetMode="External"/><Relationship Id="rId30" Type="http://schemas.openxmlformats.org/officeDocument/2006/relationships/hyperlink" Target="https://detail.1688.com/offer/707087838335.html" TargetMode="External"/><Relationship Id="rId31" Type="http://schemas.openxmlformats.org/officeDocument/2006/relationships/hyperlink" Target="https://detail.1688.com/offer/945593529641.html" TargetMode="External"/><Relationship Id="rId32" Type="http://schemas.openxmlformats.org/officeDocument/2006/relationships/hyperlink" Target="https://detail.1688.com/offer/907945361630.html" TargetMode="External"/><Relationship Id="rId33" Type="http://schemas.openxmlformats.org/officeDocument/2006/relationships/hyperlink" Target="https://detail.1688.com/offer/802842806727.html" TargetMode="External"/><Relationship Id="rId34" Type="http://schemas.openxmlformats.org/officeDocument/2006/relationships/hyperlink" Target="https://detail.1688.com/offer/666439313380.html" TargetMode="External"/><Relationship Id="rId35" Type="http://schemas.openxmlformats.org/officeDocument/2006/relationships/hyperlink" Target="https://detail.1688.com/offer/771968702450.html" TargetMode="External"/><Relationship Id="rId36" Type="http://schemas.openxmlformats.org/officeDocument/2006/relationships/hyperlink" Target="https://detail.1688.com/offer/850187835216.html" TargetMode="External"/><Relationship Id="rId37" Type="http://schemas.openxmlformats.org/officeDocument/2006/relationships/hyperlink" Target="https://detail.1688.com/offer/645759313491.html" TargetMode="External"/><Relationship Id="rId38" Type="http://schemas.openxmlformats.org/officeDocument/2006/relationships/hyperlink" Target="https://detail.1688.com/offer/808175297177.html" TargetMode="External"/><Relationship Id="rId39" Type="http://schemas.openxmlformats.org/officeDocument/2006/relationships/hyperlink" Target="https://detail.1688.com/offer/871970135264.html" TargetMode="External"/><Relationship Id="rId40" Type="http://schemas.openxmlformats.org/officeDocument/2006/relationships/hyperlink" Target="https://detail.1688.com/offer/771122054369.html" TargetMode="External"/><Relationship Id="rId41" Type="http://schemas.openxmlformats.org/officeDocument/2006/relationships/hyperlink" Target="https://detail.1688.com/offer/684757410094.html" TargetMode="External"/><Relationship Id="rId42" Type="http://schemas.openxmlformats.org/officeDocument/2006/relationships/hyperlink" Target="https://detail.1688.com/offer/677014985803.html" TargetMode="External"/><Relationship Id="rId43" Type="http://schemas.openxmlformats.org/officeDocument/2006/relationships/hyperlink" Target="https://detail.1688.com/offer/673840320423.html" TargetMode="External"/><Relationship Id="rId44" Type="http://schemas.openxmlformats.org/officeDocument/2006/relationships/hyperlink" Target="https://detail.1688.com/offer/837604730616.html" TargetMode="External"/><Relationship Id="rId45" Type="http://schemas.openxmlformats.org/officeDocument/2006/relationships/hyperlink" Target="https://detail.1688.com/offer/664473602789.html" TargetMode="External"/><Relationship Id="rId46" Type="http://schemas.openxmlformats.org/officeDocument/2006/relationships/hyperlink" Target="https://detail.1688.com/offer/694765458344.html" TargetMode="External"/><Relationship Id="rId47" Type="http://schemas.openxmlformats.org/officeDocument/2006/relationships/hyperlink" Target="https://detail.1688.com/offer/853111186335.html" TargetMode="External"/><Relationship Id="rId48" Type="http://schemas.openxmlformats.org/officeDocument/2006/relationships/hyperlink" Target="https://detail.1688.com/offer/975084879091.html" TargetMode="External"/><Relationship Id="rId49" Type="http://schemas.openxmlformats.org/officeDocument/2006/relationships/hyperlink" Target="https://detail.1688.com/offer/951599413930.html" TargetMode="External"/><Relationship Id="rId50" Type="http://schemas.openxmlformats.org/officeDocument/2006/relationships/hyperlink" Target="https://detail.1688.com/offer/852567268657.html" TargetMode="External"/><Relationship Id="rId51" Type="http://schemas.openxmlformats.org/officeDocument/2006/relationships/hyperlink" Target="https://detail.1688.com/offer/981131284061.html" TargetMode="External"/><Relationship Id="rId52" Type="http://schemas.openxmlformats.org/officeDocument/2006/relationships/hyperlink" Target="https://detail.1688.com/offer/974420576425.html" TargetMode="External"/><Relationship Id="rId53" Type="http://schemas.openxmlformats.org/officeDocument/2006/relationships/hyperlink" Target="https://detail.1688.com/offer/677862404965.html" TargetMode="External"/><Relationship Id="rId54" Type="http://schemas.openxmlformats.org/officeDocument/2006/relationships/hyperlink" Target="https://detail.1688.com/offer/979049087964.html" TargetMode="External"/><Relationship Id="rId55" Type="http://schemas.openxmlformats.org/officeDocument/2006/relationships/hyperlink" Target="https://detail.1688.com/offer/847685310950.html" TargetMode="External"/><Relationship Id="rId56" Type="http://schemas.openxmlformats.org/officeDocument/2006/relationships/hyperlink" Target="https://detail.1688.com/offer/989309189673.html" TargetMode="External"/><Relationship Id="rId57" Type="http://schemas.openxmlformats.org/officeDocument/2006/relationships/hyperlink" Target="https://detail.1688.com/offer/773016402361.html" TargetMode="External"/><Relationship Id="rId58" Type="http://schemas.openxmlformats.org/officeDocument/2006/relationships/hyperlink" Target="https://detail.1688.com/offer/901335779184.html" TargetMode="External"/><Relationship Id="rId59" Type="http://schemas.openxmlformats.org/officeDocument/2006/relationships/hyperlink" Target="https://detail.1688.com/offer/574091390849.html" TargetMode="External"/><Relationship Id="rId60" Type="http://schemas.openxmlformats.org/officeDocument/2006/relationships/hyperlink" Target="https://detail.1688.com/offer/923644754855.html" TargetMode="External"/><Relationship Id="rId61" Type="http://schemas.openxmlformats.org/officeDocument/2006/relationships/hyperlink" Target="https://detail.1688.com/offer/985649189695.html" TargetMode="External"/><Relationship Id="rId62" Type="http://schemas.openxmlformats.org/officeDocument/2006/relationships/hyperlink" Target="https://detail.1688.com/offer/967988481772.html" TargetMode="External"/><Relationship Id="rId63" Type="http://schemas.openxmlformats.org/officeDocument/2006/relationships/hyperlink" Target="https://detail.1688.com/offer/987870538123.html" TargetMode="External"/><Relationship Id="rId64" Type="http://schemas.openxmlformats.org/officeDocument/2006/relationships/hyperlink" Target="https://detail.1688.com/offer/725621467189.html" TargetMode="External"/><Relationship Id="rId65" Type="http://schemas.openxmlformats.org/officeDocument/2006/relationships/hyperlink" Target="https://detail.1688.com/offer/982447728829.html" TargetMode="External"/><Relationship Id="rId66" Type="http://schemas.openxmlformats.org/officeDocument/2006/relationships/hyperlink" Target="https://detail.1688.com/offer/989785866751.html" TargetMode="External"/><Relationship Id="rId67" Type="http://schemas.openxmlformats.org/officeDocument/2006/relationships/hyperlink" Target="https://detail.1688.com/offer/799271250425.html" TargetMode="External"/><Relationship Id="rId68" Type="http://schemas.openxmlformats.org/officeDocument/2006/relationships/hyperlink" Target="https://detail.1688.com/offer/1269868641.html" TargetMode="External"/><Relationship Id="rId69" Type="http://schemas.openxmlformats.org/officeDocument/2006/relationships/hyperlink" Target="https://detail.1688.com/offer/645353215222.html" TargetMode="External"/><Relationship Id="rId70" Type="http://schemas.openxmlformats.org/officeDocument/2006/relationships/hyperlink" Target="https://detail.1688.com/offer/743189515138.html" TargetMode="External"/><Relationship Id="rId71" Type="http://schemas.openxmlformats.org/officeDocument/2006/relationships/hyperlink" Target="https://detail.1688.com/offer/775079732722.html" TargetMode="External"/><Relationship Id="rId72" Type="http://schemas.openxmlformats.org/officeDocument/2006/relationships/hyperlink" Target="https://detail.1688.com/offer/709876185671.html" TargetMode="External"/><Relationship Id="rId73" Type="http://schemas.openxmlformats.org/officeDocument/2006/relationships/hyperlink" Target="https://detail.1688.com/offer/755015139921.html" TargetMode="External"/><Relationship Id="rId74" Type="http://schemas.openxmlformats.org/officeDocument/2006/relationships/hyperlink" Target="https://detail.1688.com/offer/915529304159.html" TargetMode="External"/><Relationship Id="rId75" Type="http://schemas.openxmlformats.org/officeDocument/2006/relationships/hyperlink" Target="https://detail.1688.com/offer/677742569302.html" TargetMode="External"/><Relationship Id="rId76" Type="http://schemas.openxmlformats.org/officeDocument/2006/relationships/hyperlink" Target="https://detail.1688.com/offer/921070812710.html" TargetMode="External"/><Relationship Id="rId77" Type="http://schemas.openxmlformats.org/officeDocument/2006/relationships/hyperlink" Target="https://detail.1688.com/offer/966663582489.html" TargetMode="External"/><Relationship Id="rId78" Type="http://schemas.openxmlformats.org/officeDocument/2006/relationships/hyperlink" Target="https://detail.1688.com/offer/998559694269.html" TargetMode="External"/><Relationship Id="rId79" Type="http://schemas.openxmlformats.org/officeDocument/2006/relationships/hyperlink" Target="https://detail.1688.com/offer/611772118624.html" TargetMode="External"/><Relationship Id="rId80" Type="http://schemas.openxmlformats.org/officeDocument/2006/relationships/hyperlink" Target="https://detail.1688.com/offer/633878185735.html" TargetMode="External"/><Relationship Id="rId81" Type="http://schemas.openxmlformats.org/officeDocument/2006/relationships/hyperlink" Target="https://detail.1688.com/offer/858357592612.html" TargetMode="External"/><Relationship Id="rId82" Type="http://schemas.openxmlformats.org/officeDocument/2006/relationships/hyperlink" Target="https://detail.1688.com/offer/987191317000.html" TargetMode="External"/><Relationship Id="rId83" Type="http://schemas.openxmlformats.org/officeDocument/2006/relationships/hyperlink" Target="https://detail.1688.com/offer/649948708566.html" TargetMode="External"/><Relationship Id="rId84" Type="http://schemas.openxmlformats.org/officeDocument/2006/relationships/hyperlink" Target="https://detail.1688.com/offer/898083970582.html" TargetMode="External"/><Relationship Id="rId85" Type="http://schemas.openxmlformats.org/officeDocument/2006/relationships/hyperlink" Target="https://detail.1688.com/offer/773074807232.html" TargetMode="External"/><Relationship Id="rId86" Type="http://schemas.openxmlformats.org/officeDocument/2006/relationships/hyperlink" Target="https://detail.1688.com/offer/639777060808.html" TargetMode="External"/><Relationship Id="rId87" Type="http://schemas.openxmlformats.org/officeDocument/2006/relationships/hyperlink" Target="https://detail.1688.com/offer/642959237785.html" TargetMode="External"/><Relationship Id="rId88" Type="http://schemas.openxmlformats.org/officeDocument/2006/relationships/hyperlink" Target="https://detail.1688.com/offer/823893327026.html" TargetMode="External"/><Relationship Id="rId89" Type="http://schemas.openxmlformats.org/officeDocument/2006/relationships/hyperlink" Target="https://detail.1688.com/offer/1016445945717.html" TargetMode="External"/><Relationship Id="rId90" Type="http://schemas.openxmlformats.org/officeDocument/2006/relationships/hyperlink" Target="https://detail.1688.com/offer/1002197616374.html" TargetMode="External"/><Relationship Id="rId91" Type="http://schemas.openxmlformats.org/officeDocument/2006/relationships/hyperlink" Target="https://detail.1688.com/offer/900357593445.html" TargetMode="External"/><Relationship Id="rId92" Type="http://schemas.openxmlformats.org/officeDocument/2006/relationships/hyperlink" Target="https://detail.1688.com/offer/814563719256.html" TargetMode="External"/><Relationship Id="rId93" Type="http://schemas.openxmlformats.org/officeDocument/2006/relationships/hyperlink" Target="https://detail.1688.com/offer/666589127054.html" TargetMode="External"/><Relationship Id="rId94" Type="http://schemas.openxmlformats.org/officeDocument/2006/relationships/hyperlink" Target="https://detail.1688.com/offer/967202351772.html" TargetMode="External"/><Relationship Id="rId95" Type="http://schemas.openxmlformats.org/officeDocument/2006/relationships/hyperlink" Target="https://detail.1688.com/offer/974986223620.html" TargetMode="External"/><Relationship Id="rId96" Type="http://schemas.openxmlformats.org/officeDocument/2006/relationships/hyperlink" Target="https://detail.1688.com/offer/995141970762.html" TargetMode="External"/><Relationship Id="rId97" Type="http://schemas.openxmlformats.org/officeDocument/2006/relationships/hyperlink" Target="https://detail.1688.com/offer/710233346685.html" TargetMode="External"/><Relationship Id="rId98" Type="http://schemas.openxmlformats.org/officeDocument/2006/relationships/hyperlink" Target="https://detail.1688.com/offer/958622601559.html" TargetMode="External"/><Relationship Id="rId99" Type="http://schemas.openxmlformats.org/officeDocument/2006/relationships/hyperlink" Target="https://detail.1688.com/offer/902369462756.html" TargetMode="External"/><Relationship Id="rId100" Type="http://schemas.openxmlformats.org/officeDocument/2006/relationships/hyperlink" Target="https://detail.1688.com/offer/1029105426208.html" TargetMode="External"/><Relationship Id="rId101" Type="http://schemas.openxmlformats.org/officeDocument/2006/relationships/hyperlink" Target="https://detail.1688.com/offer/847068328975.html" TargetMode="External"/><Relationship Id="rId102" Type="http://schemas.openxmlformats.org/officeDocument/2006/relationships/hyperlink" Target="https://detail.1688.com/offer/612759901613.html" TargetMode="External"/><Relationship Id="rId103" Type="http://schemas.openxmlformats.org/officeDocument/2006/relationships/hyperlink" Target="https://detail.1688.com/offer/669090162462.html" TargetMode="External"/><Relationship Id="rId104" Type="http://schemas.openxmlformats.org/officeDocument/2006/relationships/hyperlink" Target="https://detail.1688.com/offer/902357966626.html" TargetMode="External"/><Relationship Id="rId105" Type="http://schemas.openxmlformats.org/officeDocument/2006/relationships/hyperlink" Target="https://detail.1688.com/offer/856807873812.html" TargetMode="External"/><Relationship Id="rId106" Type="http://schemas.openxmlformats.org/officeDocument/2006/relationships/hyperlink" Target="https://detail.1688.com/offer/733720708391.html" TargetMode="External"/><Relationship Id="rId107" Type="http://schemas.openxmlformats.org/officeDocument/2006/relationships/hyperlink" Target="https://detail.1688.com/offer/711213182201.html" TargetMode="External"/><Relationship Id="rId108" Type="http://schemas.openxmlformats.org/officeDocument/2006/relationships/hyperlink" Target="https://detail.1688.com/offer/835044853744.html" TargetMode="External"/><Relationship Id="rId109" Type="http://schemas.openxmlformats.org/officeDocument/2006/relationships/hyperlink" Target="https://detail.1688.com/offer/775894572345.html" TargetMode="External"/><Relationship Id="rId110" Type="http://schemas.openxmlformats.org/officeDocument/2006/relationships/hyperlink" Target="https://detail.1688.com/offer/605378793755.html" TargetMode="External"/><Relationship Id="rId111" Type="http://schemas.openxmlformats.org/officeDocument/2006/relationships/hyperlink" Target="https://detail.1688.com/offer/915193655734.html" TargetMode="External"/><Relationship Id="rId112" Type="http://schemas.openxmlformats.org/officeDocument/2006/relationships/hyperlink" Target="https://detail.1688.com/offer/705093613854.html" TargetMode="External"/><Relationship Id="rId113" Type="http://schemas.openxmlformats.org/officeDocument/2006/relationships/hyperlink" Target="https://detail.1688.com/offer/943587494835.html" TargetMode="External"/><Relationship Id="rId114" Type="http://schemas.openxmlformats.org/officeDocument/2006/relationships/hyperlink" Target="https://detail.1688.com/offer/951307396652.html" TargetMode="External"/><Relationship Id="rId115" Type="http://schemas.openxmlformats.org/officeDocument/2006/relationships/hyperlink" Target="https://detail.1688.com/offer/830968878426.html" TargetMode="External"/><Relationship Id="rId116" Type="http://schemas.openxmlformats.org/officeDocument/2006/relationships/hyperlink" Target="https://detail.1688.com/offer/683087975887.html" TargetMode="External"/><Relationship Id="rId117" Type="http://schemas.openxmlformats.org/officeDocument/2006/relationships/hyperlink" Target="https://detail.1688.com/offer/731917284852.html" TargetMode="External"/><Relationship Id="rId118" Type="http://schemas.openxmlformats.org/officeDocument/2006/relationships/hyperlink" Target="https://detail.1688.com/offer/785451201922.html" TargetMode="External"/><Relationship Id="rId119" Type="http://schemas.openxmlformats.org/officeDocument/2006/relationships/hyperlink" Target="https://detail.1688.com/offer/799357613502.html" TargetMode="External"/><Relationship Id="rId120" Type="http://schemas.openxmlformats.org/officeDocument/2006/relationships/hyperlink" Target="https://detail.1688.com/offer/645946731760.html" TargetMode="External"/><Relationship Id="rId121" Type="http://schemas.openxmlformats.org/officeDocument/2006/relationships/hyperlink" Target="https://detail.1688.com/offer/712372698131.html" TargetMode="External"/><Relationship Id="rId122" Type="http://schemas.openxmlformats.org/officeDocument/2006/relationships/hyperlink" Target="https://detail.1688.com/offer/755384401157.html" TargetMode="External"/><Relationship Id="rId123" Type="http://schemas.openxmlformats.org/officeDocument/2006/relationships/hyperlink" Target="https://detail.1688.com/offer/765678390298.html" TargetMode="External"/><Relationship Id="rId124" Type="http://schemas.openxmlformats.org/officeDocument/2006/relationships/hyperlink" Target="https://detail.1688.com/offer/710553168244.html" TargetMode="External"/><Relationship Id="rId125" Type="http://schemas.openxmlformats.org/officeDocument/2006/relationships/hyperlink" Target="https://detail.1688.com/offer/999438606042.html" TargetMode="External"/><Relationship Id="rId126" Type="http://schemas.openxmlformats.org/officeDocument/2006/relationships/hyperlink" Target="https://detail.1688.com/offer/748395341278.html" TargetMode="External"/><Relationship Id="rId127" Type="http://schemas.openxmlformats.org/officeDocument/2006/relationships/hyperlink" Target="https://detail.1688.com/offer/944574074587.html" TargetMode="External"/><Relationship Id="rId128" Type="http://schemas.openxmlformats.org/officeDocument/2006/relationships/hyperlink" Target="https://detail.1688.com/offer/949038238471.html" TargetMode="External"/><Relationship Id="rId129" Type="http://schemas.openxmlformats.org/officeDocument/2006/relationships/hyperlink" Target="https://detail.1688.com/offer/867335213437.html" TargetMode="External"/><Relationship Id="rId130" Type="http://schemas.openxmlformats.org/officeDocument/2006/relationships/hyperlink" Target="https://detail.1688.com/offer/876415615738.html" TargetMode="External"/><Relationship Id="rId131" Type="http://schemas.openxmlformats.org/officeDocument/2006/relationships/hyperlink" Target="https://detail.1688.com/offer/994662427617.html" TargetMode="External"/><Relationship Id="rId132" Type="http://schemas.openxmlformats.org/officeDocument/2006/relationships/hyperlink" Target="https://detail.1688.com/offer/948138894479.html" TargetMode="External"/><Relationship Id="rId133" Type="http://schemas.openxmlformats.org/officeDocument/2006/relationships/hyperlink" Target="https://detail.1688.com/offer/887427997709.html" TargetMode="External"/><Relationship Id="rId134" Type="http://schemas.openxmlformats.org/officeDocument/2006/relationships/hyperlink" Target="https://detail.1688.com/offer/896217268422.html" TargetMode="External"/><Relationship Id="rId135" Type="http://schemas.openxmlformats.org/officeDocument/2006/relationships/hyperlink" Target="https://detail.1688.com/offer/1007048441811.html" TargetMode="External"/><Relationship Id="rId136" Type="http://schemas.openxmlformats.org/officeDocument/2006/relationships/hyperlink" Target="https://detail.1688.com/offer/1001825846420.html" TargetMode="External"/><Relationship Id="rId137" Type="http://schemas.openxmlformats.org/officeDocument/2006/relationships/hyperlink" Target="https://detail.1688.com/offer/712026581754.html" TargetMode="External"/><Relationship Id="rId138" Type="http://schemas.openxmlformats.org/officeDocument/2006/relationships/hyperlink" Target="https://detail.1688.com/offer/654959825481.html" TargetMode="External"/><Relationship Id="rId139" Type="http://schemas.openxmlformats.org/officeDocument/2006/relationships/hyperlink" Target="https://detail.1688.com/offer/645945695990.html" TargetMode="External"/><Relationship Id="rId140" Type="http://schemas.openxmlformats.org/officeDocument/2006/relationships/hyperlink" Target="https://detail.1688.com/offer/669447795380.html" TargetMode="External"/><Relationship Id="rId141" Type="http://schemas.openxmlformats.org/officeDocument/2006/relationships/hyperlink" Target="https://detail.1688.com/offer/857016537689.html" TargetMode="External"/><Relationship Id="rId142" Type="http://schemas.openxmlformats.org/officeDocument/2006/relationships/hyperlink" Target="https://detail.1688.com/offer/1006687721095.html" TargetMode="External"/><Relationship Id="rId143" Type="http://schemas.openxmlformats.org/officeDocument/2006/relationships/hyperlink" Target="https://detail.1688.com/offer/963318610582.html" TargetMode="External"/><Relationship Id="rId144" Type="http://schemas.openxmlformats.org/officeDocument/2006/relationships/hyperlink" Target="https://detail.1688.com/offer/984912140923.html" TargetMode="External"/><Relationship Id="rId145" Type="http://schemas.openxmlformats.org/officeDocument/2006/relationships/hyperlink" Target="https://detail.1688.com/offer/824936941226.html" TargetMode="External"/><Relationship Id="rId146" Type="http://schemas.openxmlformats.org/officeDocument/2006/relationships/hyperlink" Target="https://detail.1688.com/offer/1010198213133.html" TargetMode="External"/><Relationship Id="rId147" Type="http://schemas.openxmlformats.org/officeDocument/2006/relationships/hyperlink" Target="https://detail.1688.com/offer/1009913702621.html" TargetMode="External"/><Relationship Id="rId148" Type="http://schemas.openxmlformats.org/officeDocument/2006/relationships/hyperlink" Target="https://detail.1688.com/offer/818796626252.html" TargetMode="External"/><Relationship Id="rId149" Type="http://schemas.openxmlformats.org/officeDocument/2006/relationships/hyperlink" Target="https://detail.1688.com/offer/827810108750.html" TargetMode="External"/><Relationship Id="rId150" Type="http://schemas.openxmlformats.org/officeDocument/2006/relationships/hyperlink" Target="https://detail.1688.com/offer/1012694757037.html" TargetMode="External"/><Relationship Id="rId151" Type="http://schemas.openxmlformats.org/officeDocument/2006/relationships/hyperlink" Target="https://detail.1688.com/offer/894766143252.html" TargetMode="External"/><Relationship Id="rId152" Type="http://schemas.openxmlformats.org/officeDocument/2006/relationships/hyperlink" Target="https://detail.1688.com/offer/1008178844271.html" TargetMode="External"/><Relationship Id="rId153" Type="http://schemas.openxmlformats.org/officeDocument/2006/relationships/hyperlink" Target="https://detail.1688.com/offer/760583020604.html" TargetMode="External"/><Relationship Id="rId154" Type="http://schemas.openxmlformats.org/officeDocument/2006/relationships/hyperlink" Target="https://detail.1688.com/offer/891817451348.html" TargetMode="External"/><Relationship Id="rId155" Type="http://schemas.openxmlformats.org/officeDocument/2006/relationships/hyperlink" Target="https://detail.1688.com/offer/809401745076.html" TargetMode="External"/><Relationship Id="rId156" Type="http://schemas.openxmlformats.org/officeDocument/2006/relationships/hyperlink" Target="https://detail.1688.com/offer/1001502149810.html" TargetMode="External"/><Relationship Id="rId157" Type="http://schemas.openxmlformats.org/officeDocument/2006/relationships/hyperlink" Target="https://detail.1688.com/offer/1011053435274.html" TargetMode="External"/><Relationship Id="rId158" Type="http://schemas.openxmlformats.org/officeDocument/2006/relationships/hyperlink" Target="https://detail.1688.com/offer/949676847130.html" TargetMode="External"/><Relationship Id="rId159" Type="http://schemas.openxmlformats.org/officeDocument/2006/relationships/hyperlink" Target="https://detail.1688.com/offer/686686946079.html" TargetMode="External"/><Relationship Id="rId160" Type="http://schemas.openxmlformats.org/officeDocument/2006/relationships/hyperlink" Target="https://detail.1688.com/offer/601767410363.html" TargetMode="External"/><Relationship Id="rId161" Type="http://schemas.openxmlformats.org/officeDocument/2006/relationships/hyperlink" Target="https://detail.1688.com/offer/816932481649.html" TargetMode="External"/><Relationship Id="rId162" Type="http://schemas.openxmlformats.org/officeDocument/2006/relationships/hyperlink" Target="https://detail.1688.com/offer/999297725977.html" TargetMode="External"/><Relationship Id="rId163" Type="http://schemas.openxmlformats.org/officeDocument/2006/relationships/hyperlink" Target="https://detail.1688.com/offer/717826523921.html" TargetMode="External"/><Relationship Id="rId164" Type="http://schemas.openxmlformats.org/officeDocument/2006/relationships/hyperlink" Target="https://detail.1688.com/offer/758252091888.html" TargetMode="External"/><Relationship Id="rId165" Type="http://schemas.openxmlformats.org/officeDocument/2006/relationships/hyperlink" Target="https://detail.1688.com/offer/659353034877.html" TargetMode="External"/><Relationship Id="rId166" Type="http://schemas.openxmlformats.org/officeDocument/2006/relationships/hyperlink" Target="https://detail.1688.com/offer/984171391309.html" TargetMode="External"/><Relationship Id="rId167" Type="http://schemas.openxmlformats.org/officeDocument/2006/relationships/hyperlink" Target="https://detail.1688.com/offer/1006203446180.html" TargetMode="External"/><Relationship Id="rId168" Type="http://schemas.openxmlformats.org/officeDocument/2006/relationships/hyperlink" Target="https://detail.1688.com/offer/989917779566.html" TargetMode="External"/><Relationship Id="rId169" Type="http://schemas.openxmlformats.org/officeDocument/2006/relationships/hyperlink" Target="https://detail.1688.com/offer/982274038654.html" TargetMode="External"/><Relationship Id="rId170" Type="http://schemas.openxmlformats.org/officeDocument/2006/relationships/hyperlink" Target="https://detail.1688.com/offer/1017238552247.html" TargetMode="External"/><Relationship Id="rId171" Type="http://schemas.openxmlformats.org/officeDocument/2006/relationships/hyperlink" Target="https://detail.1688.com/offer/974564604608.html" TargetMode="External"/><Relationship Id="rId172" Type="http://schemas.openxmlformats.org/officeDocument/2006/relationships/hyperlink" Target="https://detail.1688.com/offer/732089887118.html" TargetMode="External"/><Relationship Id="rId173" Type="http://schemas.openxmlformats.org/officeDocument/2006/relationships/hyperlink" Target="https://detail.1688.com/offer/989472418666.html" TargetMode="External"/><Relationship Id="rId174" Type="http://schemas.openxmlformats.org/officeDocument/2006/relationships/hyperlink" Target="https://detail.1688.com/offer/1012069401948.html" TargetMode="External"/><Relationship Id="rId175" Type="http://schemas.openxmlformats.org/officeDocument/2006/relationships/hyperlink" Target="https://detail.1688.com/offer/1031732820264.html" TargetMode="External"/><Relationship Id="rId176" Type="http://schemas.openxmlformats.org/officeDocument/2006/relationships/hyperlink" Target="https://detail.1688.com/offer/1007458528955.html" TargetMode="External"/><Relationship Id="rId177" Type="http://schemas.openxmlformats.org/officeDocument/2006/relationships/hyperlink" Target="https://detail.1688.com/offer/993197901259.html" TargetMode="External"/><Relationship Id="rId178" Type="http://schemas.openxmlformats.org/officeDocument/2006/relationships/hyperlink" Target="https://detail.1688.com/offer/1036446744750.html" TargetMode="External"/><Relationship Id="rId179" Type="http://schemas.openxmlformats.org/officeDocument/2006/relationships/hyperlink" Target="https://detail.1688.com/offer/1036672881167.html" TargetMode="External"/><Relationship Id="rId180" Type="http://schemas.openxmlformats.org/officeDocument/2006/relationships/hyperlink" Target="https://detail.1688.com/offer/1032814586877.html" TargetMode="External"/><Relationship Id="rId181" Type="http://schemas.openxmlformats.org/officeDocument/2006/relationships/hyperlink" Target="https://detail.1688.com/offer/1041463345081.html" TargetMode="External"/><Relationship Id="rId182" Type="http://schemas.openxmlformats.org/officeDocument/2006/relationships/hyperlink" Target="https://detail.1688.com/offer/1035613065332.html" TargetMode="External"/><Relationship Id="rId183" Type="http://schemas.openxmlformats.org/officeDocument/2006/relationships/hyperlink" Target="https://detail.1688.com/offer/971456691780.html" TargetMode="External"/><Relationship Id="rId184" Type="http://schemas.openxmlformats.org/officeDocument/2006/relationships/hyperlink" Target="https://detail.1688.com/offer/1038930689130.html" TargetMode="External"/><Relationship Id="rId185" Type="http://schemas.openxmlformats.org/officeDocument/2006/relationships/hyperlink" Target="https://detail.1688.com/offer/948991976598.html" TargetMode="External"/><Relationship Id="rId186" Type="http://schemas.openxmlformats.org/officeDocument/2006/relationships/hyperlink" Target="https://detail.1688.com/offer/977005450721.html" TargetMode="External"/><Relationship Id="rId187" Type="http://schemas.openxmlformats.org/officeDocument/2006/relationships/hyperlink" Target="https://detail.1688.com/offer/1045227485020.html" TargetMode="External"/><Relationship Id="rId188" Type="http://schemas.openxmlformats.org/officeDocument/2006/relationships/hyperlink" Target="https://detail.1688.com/offer/1046610437458.html" TargetMode="External"/><Relationship Id="rId189" Type="http://schemas.openxmlformats.org/officeDocument/2006/relationships/hyperlink" Target="https://detail.1688.com/offer/1046650056137.html" TargetMode="External"/><Relationship Id="rId190" Type="http://schemas.openxmlformats.org/officeDocument/2006/relationships/hyperlink" Target="https://detail.1688.com/offer/856979231387.html" TargetMode="External"/><Relationship Id="rId191" Type="http://schemas.openxmlformats.org/officeDocument/2006/relationships/hyperlink" Target="https://detail.1688.com/offer/756347765737.html" TargetMode="External"/><Relationship Id="rId192" Type="http://schemas.openxmlformats.org/officeDocument/2006/relationships/hyperlink" Target="https://detail.1688.com/offer/1049016650417.html" TargetMode="External"/><Relationship Id="rId193" Type="http://schemas.openxmlformats.org/officeDocument/2006/relationships/hyperlink" Target="https://detail.1688.com/offer/1025682263360.html" TargetMode="External"/><Relationship Id="rId194" Type="http://schemas.openxmlformats.org/officeDocument/2006/relationships/hyperlink" Target="https://detail.1688.com/offer/980919456148.html" TargetMode="External"/><Relationship Id="rId195" Type="http://schemas.openxmlformats.org/officeDocument/2006/relationships/hyperlink" Target="https://detail.1688.com/offer/1046173802368.html" TargetMode="External"/><Relationship Id="rId196" Type="http://schemas.openxmlformats.org/officeDocument/2006/relationships/hyperlink" Target="https://detail.1688.com/offer/942211229420.html" TargetMode="External"/><Relationship Id="rId197" Type="http://schemas.openxmlformats.org/officeDocument/2006/relationships/hyperlink" Target="https://detail.1688.com/offer/556490312080.html" TargetMode="External"/><Relationship Id="rId198" Type="http://schemas.openxmlformats.org/officeDocument/2006/relationships/hyperlink" Target="https://detail.1688.com/offer/1051861253962.html" TargetMode="External"/><Relationship Id="rId199" Type="http://schemas.openxmlformats.org/officeDocument/2006/relationships/hyperlink" Target="https://detail.1688.com/offer/1052727953592.html" TargetMode="External"/><Relationship Id="rId200" Type="http://schemas.openxmlformats.org/officeDocument/2006/relationships/hyperlink" Target="https://detail.1688.com/offer/1054269209866.html" TargetMode="External"/><Relationship Id="rId201" Type="http://schemas.openxmlformats.org/officeDocument/2006/relationships/hyperlink" Target="https://detail.1688.com/offer/723994327186.html" TargetMode="External"/><Relationship Id="rId202" Type="http://schemas.openxmlformats.org/officeDocument/2006/relationships/hyperlink" Target="https://detail.1688.com/offer/836581847122.html" TargetMode="External"/><Relationship Id="rId203" Type="http://schemas.openxmlformats.org/officeDocument/2006/relationships/hyperlink" Target="https://detail.1688.com/offer/871478220529.html" TargetMode="External"/><Relationship Id="rId204" Type="http://schemas.openxmlformats.org/officeDocument/2006/relationships/hyperlink" Target="https://detail.1688.com/offer/622765245467.html" TargetMode="External"/><Relationship Id="rId205" Type="http://schemas.openxmlformats.org/officeDocument/2006/relationships/hyperlink" Target="https://detail.1688.com/offer/890803586962.html" TargetMode="External"/><Relationship Id="rId206" Type="http://schemas.openxmlformats.org/officeDocument/2006/relationships/hyperlink" Target="https://detail.1688.com/offer/665400819757.html" TargetMode="External"/><Relationship Id="rId207" Type="http://schemas.openxmlformats.org/officeDocument/2006/relationships/hyperlink" Target="https://detail.1688.com/offer/729209019799.html" TargetMode="External"/><Relationship Id="rId208" Type="http://schemas.openxmlformats.org/officeDocument/2006/relationships/hyperlink" Target="https://detail.1688.com/offer/736523669256.html" TargetMode="External"/><Relationship Id="rId209" Type="http://schemas.openxmlformats.org/officeDocument/2006/relationships/hyperlink" Target="https://detail.1688.com/offer/927404578830.html" TargetMode="External"/><Relationship Id="rId210" Type="http://schemas.openxmlformats.org/officeDocument/2006/relationships/hyperlink" Target="https://detail.1688.com/offer/834592563190.html" TargetMode="External"/><Relationship Id="rId211" Type="http://schemas.openxmlformats.org/officeDocument/2006/relationships/hyperlink" Target="https://detail.1688.com/offer/955354252630.html" TargetMode="External"/><Relationship Id="rId212" Type="http://schemas.openxmlformats.org/officeDocument/2006/relationships/hyperlink" Target="https://detail.1688.com/offer/933627557015.html" TargetMode="External"/><Relationship Id="rId213" Type="http://schemas.openxmlformats.org/officeDocument/2006/relationships/hyperlink" Target="https://detail.1688.com/offer/964479293694.html" TargetMode="External"/><Relationship Id="rId214" Type="http://schemas.openxmlformats.org/officeDocument/2006/relationships/hyperlink" Target="https://detail.1688.com/offer/726255365924.html" TargetMode="External"/><Relationship Id="rId215" Type="http://schemas.openxmlformats.org/officeDocument/2006/relationships/hyperlink" Target="https://detail.1688.com/offer/756992584736.html" TargetMode="External"/><Relationship Id="rId216" Type="http://schemas.openxmlformats.org/officeDocument/2006/relationships/hyperlink" Target="https://detail.1688.com/offer/615041155379.html" TargetMode="External"/><Relationship Id="rId217" Type="http://schemas.openxmlformats.org/officeDocument/2006/relationships/hyperlink" Target="https://detail.1688.com/offer/956832548762.html" TargetMode="External"/><Relationship Id="rId218" Type="http://schemas.openxmlformats.org/officeDocument/2006/relationships/hyperlink" Target="https://detail.1688.com/offer/968868246875.html" TargetMode="External"/><Relationship Id="rId219" Type="http://schemas.openxmlformats.org/officeDocument/2006/relationships/hyperlink" Target="https://detail.1688.com/offer/858353224360.html" TargetMode="External"/><Relationship Id="rId220" Type="http://schemas.openxmlformats.org/officeDocument/2006/relationships/hyperlink" Target="https://detail.1688.com/offer/949653675891.html" TargetMode="External"/><Relationship Id="rId221" Type="http://schemas.openxmlformats.org/officeDocument/2006/relationships/hyperlink" Target="https://detail.1688.com/offer/923625212633.html" TargetMode="External"/><Relationship Id="rId222" Type="http://schemas.openxmlformats.org/officeDocument/2006/relationships/hyperlink" Target="https://detail.1688.com/offer/846895283516.html" TargetMode="External"/><Relationship Id="rId223" Type="http://schemas.openxmlformats.org/officeDocument/2006/relationships/hyperlink" Target="https://detail.1688.com/offer/973508044313.html" TargetMode="External"/><Relationship Id="rId224" Type="http://schemas.openxmlformats.org/officeDocument/2006/relationships/hyperlink" Target="https://detail.1688.com/offer/643110066430.html" TargetMode="External"/><Relationship Id="rId225" Type="http://schemas.openxmlformats.org/officeDocument/2006/relationships/hyperlink" Target="https://detail.1688.com/offer/781324224111.html" TargetMode="External"/><Relationship Id="rId226" Type="http://schemas.openxmlformats.org/officeDocument/2006/relationships/hyperlink" Target="https://detail.1688.com/offer/992764762312.html" TargetMode="External"/><Relationship Id="rId227" Type="http://schemas.openxmlformats.org/officeDocument/2006/relationships/hyperlink" Target="https://detail.1688.com/offer/874905220110.html" TargetMode="External"/><Relationship Id="rId228" Type="http://schemas.openxmlformats.org/officeDocument/2006/relationships/hyperlink" Target="https://detail.1688.com/offer/872011369380.html" TargetMode="External"/><Relationship Id="rId229" Type="http://schemas.openxmlformats.org/officeDocument/2006/relationships/hyperlink" Target="https://detail.1688.com/offer/1003429092507.html" TargetMode="External"/><Relationship Id="rId230" Type="http://schemas.openxmlformats.org/officeDocument/2006/relationships/hyperlink" Target="https://detail.1688.com/offer/986488261658.html" TargetMode="External"/><Relationship Id="rId231" Type="http://schemas.openxmlformats.org/officeDocument/2006/relationships/hyperlink" Target="https://detail.1688.com/offer/913630288225.html" TargetMode="External"/><Relationship Id="rId232" Type="http://schemas.openxmlformats.org/officeDocument/2006/relationships/hyperlink" Target="https://detail.1688.com/offer/719482715840.html" TargetMode="External"/><Relationship Id="rId233" Type="http://schemas.openxmlformats.org/officeDocument/2006/relationships/hyperlink" Target="https://detail.1688.com/offer/818341303720.html" TargetMode="External"/><Relationship Id="rId234" Type="http://schemas.openxmlformats.org/officeDocument/2006/relationships/hyperlink" Target="https://detail.1688.com/offer/758177037002.html" TargetMode="External"/><Relationship Id="rId235" Type="http://schemas.openxmlformats.org/officeDocument/2006/relationships/hyperlink" Target="https://detail.1688.com/offer/959826944470.html" TargetMode="External"/><Relationship Id="rId236" Type="http://schemas.openxmlformats.org/officeDocument/2006/relationships/hyperlink" Target="https://detail.1688.com/offer/736573789934.html" TargetMode="External"/><Relationship Id="rId237" Type="http://schemas.openxmlformats.org/officeDocument/2006/relationships/hyperlink" Target="https://detail.1688.com/offer/732574632413.html" TargetMode="External"/><Relationship Id="rId238" Type="http://schemas.openxmlformats.org/officeDocument/2006/relationships/hyperlink" Target="https://detail.1688.com/offer/614449230405.html" TargetMode="External"/><Relationship Id="rId239" Type="http://schemas.openxmlformats.org/officeDocument/2006/relationships/hyperlink" Target="https://detail.1688.com/offer/996286623922.html" TargetMode="External"/><Relationship Id="rId240" Type="http://schemas.openxmlformats.org/officeDocument/2006/relationships/hyperlink" Target="https://detail.1688.com/offer/962159776565.html" TargetMode="External"/><Relationship Id="rId241" Type="http://schemas.openxmlformats.org/officeDocument/2006/relationships/hyperlink" Target="https://detail.1688.com/offer/948942200394.html" TargetMode="External"/><Relationship Id="rId242" Type="http://schemas.openxmlformats.org/officeDocument/2006/relationships/hyperlink" Target="https://detail.1688.com/offer/1000888760608.html" TargetMode="External"/><Relationship Id="rId243" Type="http://schemas.openxmlformats.org/officeDocument/2006/relationships/hyperlink" Target="https://detail.1688.com/offer/973497476750.html" TargetMode="External"/><Relationship Id="rId244" Type="http://schemas.openxmlformats.org/officeDocument/2006/relationships/hyperlink" Target="https://detail.1688.com/offer/695677349254.html" TargetMode="External"/><Relationship Id="rId245" Type="http://schemas.openxmlformats.org/officeDocument/2006/relationships/hyperlink" Target="https://detail.1688.com/offer/832026732802.html" TargetMode="External"/><Relationship Id="rId246" Type="http://schemas.openxmlformats.org/officeDocument/2006/relationships/hyperlink" Target="https://detail.1688.com/offer/672845979151.html" TargetMode="External"/><Relationship Id="rId247" Type="http://schemas.openxmlformats.org/officeDocument/2006/relationships/hyperlink" Target="https://detail.1688.com/offer/536688086892.html" TargetMode="External"/><Relationship Id="rId248" Type="http://schemas.openxmlformats.org/officeDocument/2006/relationships/hyperlink" Target="https://detail.1688.com/offer/930549917835.html" TargetMode="External"/><Relationship Id="rId249" Type="http://schemas.openxmlformats.org/officeDocument/2006/relationships/hyperlink" Target="https://detail.1688.com/offer/1007122472695.html" TargetMode="External"/><Relationship Id="rId250" Type="http://schemas.openxmlformats.org/officeDocument/2006/relationships/hyperlink" Target="https://detail.1688.com/offer/797038050421.html" TargetMode="External"/><Relationship Id="rId251" Type="http://schemas.openxmlformats.org/officeDocument/2006/relationships/hyperlink" Target="https://detail.1688.com/offer/983670956906.html" TargetMode="External"/><Relationship Id="rId252" Type="http://schemas.openxmlformats.org/officeDocument/2006/relationships/hyperlink" Target="https://detail.1688.com/offer/776639349608.html" TargetMode="External"/><Relationship Id="rId253" Type="http://schemas.openxmlformats.org/officeDocument/2006/relationships/hyperlink" Target="https://detail.1688.com/offer/847853738456.html" TargetMode="External"/><Relationship Id="rId254" Type="http://schemas.openxmlformats.org/officeDocument/2006/relationships/hyperlink" Target="https://detail.1688.com/offer/989472558940.html" TargetMode="External"/><Relationship Id="rId255" Type="http://schemas.openxmlformats.org/officeDocument/2006/relationships/hyperlink" Target="https://detail.1688.com/offer/672677710338.html" TargetMode="External"/><Relationship Id="rId256" Type="http://schemas.openxmlformats.org/officeDocument/2006/relationships/hyperlink" Target="https://detail.1688.com/offer/835832286449.html" TargetMode="External"/><Relationship Id="rId257" Type="http://schemas.openxmlformats.org/officeDocument/2006/relationships/hyperlink" Target="https://detail.1688.com/offer/917847256894.html" TargetMode="External"/><Relationship Id="rId258" Type="http://schemas.openxmlformats.org/officeDocument/2006/relationships/hyperlink" Target="https://detail.1688.com/offer/619274901147.html" TargetMode="External"/><Relationship Id="rId259" Type="http://schemas.openxmlformats.org/officeDocument/2006/relationships/hyperlink" Target="https://detail.1688.com/offer/961196956755.html" TargetMode="External"/><Relationship Id="rId260" Type="http://schemas.openxmlformats.org/officeDocument/2006/relationships/hyperlink" Target="https://detail.1688.com/offer/773585066917.html" TargetMode="External"/><Relationship Id="rId261" Type="http://schemas.openxmlformats.org/officeDocument/2006/relationships/hyperlink" Target="https://detail.1688.com/offer/926919650082.html" TargetMode="External"/><Relationship Id="rId262" Type="http://schemas.openxmlformats.org/officeDocument/2006/relationships/hyperlink" Target="https://detail.1688.com/offer/976006239158.html" TargetMode="External"/><Relationship Id="rId263" Type="http://schemas.openxmlformats.org/officeDocument/2006/relationships/hyperlink" Target="https://detail.1688.com/offer/920488342734.html" TargetMode="External"/><Relationship Id="rId264" Type="http://schemas.openxmlformats.org/officeDocument/2006/relationships/hyperlink" Target="https://detail.1688.com/offer/947709702279.html" TargetMode="External"/><Relationship Id="rId265" Type="http://schemas.openxmlformats.org/officeDocument/2006/relationships/hyperlink" Target="https://detail.1688.com/offer/594240959388.html" TargetMode="External"/><Relationship Id="rId266" Type="http://schemas.openxmlformats.org/officeDocument/2006/relationships/hyperlink" Target="https://detail.1688.com/offer/658250022784.html" TargetMode="External"/><Relationship Id="rId267" Type="http://schemas.openxmlformats.org/officeDocument/2006/relationships/hyperlink" Target="https://detail.1688.com/offer/829850568077.html" TargetMode="External"/><Relationship Id="rId268" Type="http://schemas.openxmlformats.org/officeDocument/2006/relationships/hyperlink" Target="https://detail.1688.com/offer/1009852223519.html" TargetMode="External"/><Relationship Id="rId269" Type="http://schemas.openxmlformats.org/officeDocument/2006/relationships/hyperlink" Target="https://detail.1688.com/offer/858928826553.html" TargetMode="External"/><Relationship Id="rId270" Type="http://schemas.openxmlformats.org/officeDocument/2006/relationships/hyperlink" Target="https://detail.1688.com/offer/840768412426.html" TargetMode="External"/><Relationship Id="rId271" Type="http://schemas.openxmlformats.org/officeDocument/2006/relationships/hyperlink" Target="https://detail.1688.com/offer/796775184628.html" TargetMode="External"/><Relationship Id="rId272" Type="http://schemas.openxmlformats.org/officeDocument/2006/relationships/hyperlink" Target="https://detail.1688.com/offer/744003693952.html" TargetMode="External"/><Relationship Id="rId273" Type="http://schemas.openxmlformats.org/officeDocument/2006/relationships/hyperlink" Target="https://detail.1688.com/offer/919804969676.html" TargetMode="External"/><Relationship Id="rId274" Type="http://schemas.openxmlformats.org/officeDocument/2006/relationships/hyperlink" Target="https://detail.1688.com/offer/984524737633.html" TargetMode="External"/><Relationship Id="rId275" Type="http://schemas.openxmlformats.org/officeDocument/2006/relationships/hyperlink" Target="https://detail.1688.com/offer/1006032428939.html" TargetMode="External"/><Relationship Id="rId276" Type="http://schemas.openxmlformats.org/officeDocument/2006/relationships/hyperlink" Target="https://detail.1688.com/offer/782354582650.html" TargetMode="External"/><Relationship Id="rId277" Type="http://schemas.openxmlformats.org/officeDocument/2006/relationships/hyperlink" Target="https://detail.1688.com/offer/848003957203.html" TargetMode="External"/><Relationship Id="rId278" Type="http://schemas.openxmlformats.org/officeDocument/2006/relationships/hyperlink" Target="https://detail.1688.com/offer/654613610852.html" TargetMode="External"/><Relationship Id="rId279" Type="http://schemas.openxmlformats.org/officeDocument/2006/relationships/hyperlink" Target="https://detail.1688.com/offer/1011491398921.html" TargetMode="External"/><Relationship Id="rId280" Type="http://schemas.openxmlformats.org/officeDocument/2006/relationships/hyperlink" Target="https://detail.1688.com/offer/846879704531.html" TargetMode="External"/><Relationship Id="rId281" Type="http://schemas.openxmlformats.org/officeDocument/2006/relationships/hyperlink" Target="https://detail.1688.com/offer/994386198404.html" TargetMode="External"/><Relationship Id="rId282" Type="http://schemas.openxmlformats.org/officeDocument/2006/relationships/hyperlink" Target="https://detail.1688.com/offer/674079016256.html" TargetMode="External"/><Relationship Id="rId283" Type="http://schemas.openxmlformats.org/officeDocument/2006/relationships/hyperlink" Target="https://detail.1688.com/offer/861299340210.html" TargetMode="External"/><Relationship Id="rId284" Type="http://schemas.openxmlformats.org/officeDocument/2006/relationships/hyperlink" Target="https://detail.1688.com/offer/1013384584090.html" TargetMode="External"/><Relationship Id="rId285" Type="http://schemas.openxmlformats.org/officeDocument/2006/relationships/hyperlink" Target="https://detail.1688.com/offer/867594974601.html" TargetMode="External"/><Relationship Id="rId286" Type="http://schemas.openxmlformats.org/officeDocument/2006/relationships/hyperlink" Target="https://detail.1688.com/offer/1027622326600.html" TargetMode="External"/><Relationship Id="rId287" Type="http://schemas.openxmlformats.org/officeDocument/2006/relationships/hyperlink" Target="https://detail.1688.com/offer/810944518502.html" TargetMode="External"/><Relationship Id="rId288" Type="http://schemas.openxmlformats.org/officeDocument/2006/relationships/hyperlink" Target="https://detail.1688.com/offer/994072731690.html" TargetMode="External"/><Relationship Id="rId289" Type="http://schemas.openxmlformats.org/officeDocument/2006/relationships/hyperlink" Target="https://detail.1688.com/offer/1033239576749.html" TargetMode="External"/><Relationship Id="rId290" Type="http://schemas.openxmlformats.org/officeDocument/2006/relationships/hyperlink" Target="https://detail.1688.com/offer/944656634326.html" TargetMode="External"/><Relationship Id="rId291" Type="http://schemas.openxmlformats.org/officeDocument/2006/relationships/hyperlink" Target="https://detail.1688.com/offer/892813354031.html" TargetMode="External"/><Relationship Id="rId292" Type="http://schemas.openxmlformats.org/officeDocument/2006/relationships/hyperlink" Target="https://detail.1688.com/offer/1005650944821.html" TargetMode="External"/><Relationship Id="rId293" Type="http://schemas.openxmlformats.org/officeDocument/2006/relationships/hyperlink" Target="https://detail.1688.com/offer/922281597784.html" TargetMode="External"/><Relationship Id="rId294" Type="http://schemas.openxmlformats.org/officeDocument/2006/relationships/hyperlink" Target="https://detail.1688.com/offer/668727971669.html" TargetMode="External"/><Relationship Id="rId295" Type="http://schemas.openxmlformats.org/officeDocument/2006/relationships/hyperlink" Target="https://detail.1688.com/offer/1028260251591.html" TargetMode="External"/><Relationship Id="rId296" Type="http://schemas.openxmlformats.org/officeDocument/2006/relationships/hyperlink" Target="https://detail.1688.com/offer/1027841254469.html" TargetMode="External"/><Relationship Id="rId297" Type="http://schemas.openxmlformats.org/officeDocument/2006/relationships/hyperlink" Target="https://detail.1688.com/offer/626899493893.html" TargetMode="External"/><Relationship Id="rId298" Type="http://schemas.openxmlformats.org/officeDocument/2006/relationships/hyperlink" Target="https://detail.1688.com/offer/1034285454565.html" TargetMode="External"/><Relationship Id="rId299" Type="http://schemas.openxmlformats.org/officeDocument/2006/relationships/hyperlink" Target="https://detail.1688.com/offer/827487408210.html" TargetMode="External"/><Relationship Id="rId300" Type="http://schemas.openxmlformats.org/officeDocument/2006/relationships/hyperlink" Target="https://detail.1688.com/offer/641510628528.html" TargetMode="External"/><Relationship Id="rId301" Type="http://schemas.openxmlformats.org/officeDocument/2006/relationships/hyperlink" Target="https://detail.1688.com/offer/806399137589.html" TargetMode="External"/><Relationship Id="rId302" Type="http://schemas.openxmlformats.org/officeDocument/2006/relationships/hyperlink" Target="https://detail.1688.com/offer/759901009597.html" TargetMode="External"/><Relationship Id="rId303" Type="http://schemas.openxmlformats.org/officeDocument/2006/relationships/hyperlink" Target="https://detail.1688.com/offer/775339274692.html" TargetMode="External"/><Relationship Id="rId304" Type="http://schemas.openxmlformats.org/officeDocument/2006/relationships/hyperlink" Target="https://detail.1688.com/offer/905242293861.html" TargetMode="External"/><Relationship Id="rId305" Type="http://schemas.openxmlformats.org/officeDocument/2006/relationships/hyperlink" Target="https://detail.1688.com/offer/860026582454.html" TargetMode="External"/><Relationship Id="rId306" Type="http://schemas.openxmlformats.org/officeDocument/2006/relationships/hyperlink" Target="https://detail.1688.com/offer/593547760769.html" TargetMode="External"/><Relationship Id="rId307" Type="http://schemas.openxmlformats.org/officeDocument/2006/relationships/hyperlink" Target="https://detail.1688.com/offer/779903591280.html" TargetMode="External"/><Relationship Id="rId308" Type="http://schemas.openxmlformats.org/officeDocument/2006/relationships/hyperlink" Target="https://detail.1688.com/offer/732898036456.html" TargetMode="External"/><Relationship Id="rId309" Type="http://schemas.openxmlformats.org/officeDocument/2006/relationships/hyperlink" Target="https://detail.1688.com/offer/923620621279.html" TargetMode="External"/><Relationship Id="rId310" Type="http://schemas.openxmlformats.org/officeDocument/2006/relationships/hyperlink" Target="https://detail.1688.com/offer/598938010263.html" TargetMode="External"/><Relationship Id="rId311" Type="http://schemas.openxmlformats.org/officeDocument/2006/relationships/hyperlink" Target="https://detail.1688.com/offer/731328062492.html" TargetMode="External"/><Relationship Id="rId312" Type="http://schemas.openxmlformats.org/officeDocument/2006/relationships/hyperlink" Target="https://detail.1688.com/offer/848595456072.html" TargetMode="External"/><Relationship Id="rId313" Type="http://schemas.openxmlformats.org/officeDocument/2006/relationships/hyperlink" Target="https://detail.1688.com/offer/677824165795.html" TargetMode="External"/><Relationship Id="rId314" Type="http://schemas.openxmlformats.org/officeDocument/2006/relationships/hyperlink" Target="https://detail.1688.com/offer/941799872587.html" TargetMode="External"/><Relationship Id="rId315" Type="http://schemas.openxmlformats.org/officeDocument/2006/relationships/hyperlink" Target="https://detail.1688.com/offer/805730742317.html" TargetMode="External"/><Relationship Id="rId316" Type="http://schemas.openxmlformats.org/officeDocument/2006/relationships/hyperlink" Target="https://detail.1688.com/offer/841829291058.html" TargetMode="External"/><Relationship Id="rId317" Type="http://schemas.openxmlformats.org/officeDocument/2006/relationships/hyperlink" Target="https://detail.1688.com/offer/686322387193.html" TargetMode="External"/><Relationship Id="rId318" Type="http://schemas.openxmlformats.org/officeDocument/2006/relationships/hyperlink" Target="https://detail.1688.com/offer/901600244208.html" TargetMode="External"/><Relationship Id="rId319" Type="http://schemas.openxmlformats.org/officeDocument/2006/relationships/hyperlink" Target="https://detail.1688.com/offer/898399509011.html" TargetMode="External"/><Relationship Id="rId320" Type="http://schemas.openxmlformats.org/officeDocument/2006/relationships/hyperlink" Target="https://detail.1688.com/offer/781813196626.html" TargetMode="External"/><Relationship Id="rId321" Type="http://schemas.openxmlformats.org/officeDocument/2006/relationships/hyperlink" Target="https://detail.1688.com/offer/558985441077.html" TargetMode="External"/><Relationship Id="rId322" Type="http://schemas.openxmlformats.org/officeDocument/2006/relationships/hyperlink" Target="https://detail.1688.com/offer/886902073911.html" TargetMode="External"/><Relationship Id="rId323" Type="http://schemas.openxmlformats.org/officeDocument/2006/relationships/hyperlink" Target="https://detail.1688.com/offer/719121414429.html" TargetMode="External"/><Relationship Id="rId324" Type="http://schemas.openxmlformats.org/officeDocument/2006/relationships/hyperlink" Target="https://detail.1688.com/offer/671885524976.html" TargetMode="External"/><Relationship Id="rId325" Type="http://schemas.openxmlformats.org/officeDocument/2006/relationships/hyperlink" Target="https://detail.1688.com/offer/908426593594.html" TargetMode="External"/><Relationship Id="rId326" Type="http://schemas.openxmlformats.org/officeDocument/2006/relationships/hyperlink" Target="https://detail.1688.com/offer/957539787480.html" TargetMode="External"/><Relationship Id="rId327" Type="http://schemas.openxmlformats.org/officeDocument/2006/relationships/hyperlink" Target="https://detail.1688.com/offer/588665016886.html" TargetMode="External"/><Relationship Id="rId328" Type="http://schemas.openxmlformats.org/officeDocument/2006/relationships/hyperlink" Target="https://detail.1688.com/offer/931707972393.html" TargetMode="External"/><Relationship Id="rId329" Type="http://schemas.openxmlformats.org/officeDocument/2006/relationships/hyperlink" Target="https://detail.1688.com/offer/921737727446.html" TargetMode="External"/><Relationship Id="rId330" Type="http://schemas.openxmlformats.org/officeDocument/2006/relationships/hyperlink" Target="https://detail.1688.com/offer/975497689948.html" TargetMode="External"/><Relationship Id="rId331" Type="http://schemas.openxmlformats.org/officeDocument/2006/relationships/hyperlink" Target="https://detail.1688.com/offer/806217782882.html" TargetMode="External"/><Relationship Id="rId332" Type="http://schemas.openxmlformats.org/officeDocument/2006/relationships/hyperlink" Target="https://detail.1688.com/offer/891752766291.html" TargetMode="External"/><Relationship Id="rId333" Type="http://schemas.openxmlformats.org/officeDocument/2006/relationships/hyperlink" Target="https://detail.1688.com/offer/941647101128.html" TargetMode="External"/><Relationship Id="rId334" Type="http://schemas.openxmlformats.org/officeDocument/2006/relationships/hyperlink" Target="https://detail.1688.com/offer/787071437252.html" TargetMode="External"/><Relationship Id="rId335" Type="http://schemas.openxmlformats.org/officeDocument/2006/relationships/hyperlink" Target="https://detail.1688.com/offer/725435373850.html" TargetMode="External"/><Relationship Id="rId336" Type="http://schemas.openxmlformats.org/officeDocument/2006/relationships/hyperlink" Target="https://detail.1688.com/offer/969647655384.html" TargetMode="External"/><Relationship Id="rId337" Type="http://schemas.openxmlformats.org/officeDocument/2006/relationships/hyperlink" Target="https://detail.1688.com/offer/687956652522.html" TargetMode="External"/><Relationship Id="rId338" Type="http://schemas.openxmlformats.org/officeDocument/2006/relationships/hyperlink" Target="https://detail.1688.com/offer/972916264010.html" TargetMode="External"/><Relationship Id="rId339" Type="http://schemas.openxmlformats.org/officeDocument/2006/relationships/hyperlink" Target="https://detail.1688.com/offer/958740826727.html" TargetMode="External"/><Relationship Id="rId340" Type="http://schemas.openxmlformats.org/officeDocument/2006/relationships/hyperlink" Target="https://detail.1688.com/offer/948153357983.html" TargetMode="External"/><Relationship Id="rId341" Type="http://schemas.openxmlformats.org/officeDocument/2006/relationships/hyperlink" Target="https://detail.1688.com/offer/961078679736.html" TargetMode="External"/><Relationship Id="rId342" Type="http://schemas.openxmlformats.org/officeDocument/2006/relationships/hyperlink" Target="https://detail.1688.com/offer/975268529986.html" TargetMode="External"/><Relationship Id="rId343" Type="http://schemas.openxmlformats.org/officeDocument/2006/relationships/hyperlink" Target="https://detail.1688.com/offer/849613285150.html" TargetMode="External"/><Relationship Id="rId344" Type="http://schemas.openxmlformats.org/officeDocument/2006/relationships/hyperlink" Target="https://detail.1688.com/offer/774326033121.html" TargetMode="External"/><Relationship Id="rId345" Type="http://schemas.openxmlformats.org/officeDocument/2006/relationships/hyperlink" Target="https://detail.1688.com/offer/975076826033.html" TargetMode="External"/><Relationship Id="rId346" Type="http://schemas.openxmlformats.org/officeDocument/2006/relationships/hyperlink" Target="https://detail.1688.com/offer/970549626341.html" TargetMode="External"/><Relationship Id="rId347" Type="http://schemas.openxmlformats.org/officeDocument/2006/relationships/hyperlink" Target="https://detail.1688.com/offer/670713260617.html" TargetMode="External"/><Relationship Id="rId348" Type="http://schemas.openxmlformats.org/officeDocument/2006/relationships/hyperlink" Target="https://detail.1688.com/offer/842356700227.html" TargetMode="External"/><Relationship Id="rId349" Type="http://schemas.openxmlformats.org/officeDocument/2006/relationships/hyperlink" Target="https://detail.1688.com/offer/707750906941.html" TargetMode="External"/><Relationship Id="rId350" Type="http://schemas.openxmlformats.org/officeDocument/2006/relationships/hyperlink" Target="https://detail.1688.com/offer/672333365877.html" TargetMode="External"/><Relationship Id="rId351" Type="http://schemas.openxmlformats.org/officeDocument/2006/relationships/hyperlink" Target="https://detail.1688.com/offer/980616269080.html" TargetMode="External"/><Relationship Id="rId352" Type="http://schemas.openxmlformats.org/officeDocument/2006/relationships/hyperlink" Target="https://detail.1688.com/offer/851119615831.html" TargetMode="External"/><Relationship Id="rId353" Type="http://schemas.openxmlformats.org/officeDocument/2006/relationships/hyperlink" Target="https://detail.1688.com/offer/985529762975.html" TargetMode="External"/><Relationship Id="rId354" Type="http://schemas.openxmlformats.org/officeDocument/2006/relationships/hyperlink" Target="https://detail.1688.com/offer/758440649725.html" TargetMode="External"/><Relationship Id="rId355" Type="http://schemas.openxmlformats.org/officeDocument/2006/relationships/hyperlink" Target="https://detail.1688.com/offer/988152337711.html" TargetMode="External"/><Relationship Id="rId356" Type="http://schemas.openxmlformats.org/officeDocument/2006/relationships/hyperlink" Target="https://detail.1688.com/offer/850203606281.html" TargetMode="External"/><Relationship Id="rId357" Type="http://schemas.openxmlformats.org/officeDocument/2006/relationships/hyperlink" Target="https://detail.1688.com/offer/682216767701.html" TargetMode="External"/><Relationship Id="rId358" Type="http://schemas.openxmlformats.org/officeDocument/2006/relationships/hyperlink" Target="https://detail.1688.com/offer/982133506123.html" TargetMode="External"/><Relationship Id="rId359" Type="http://schemas.openxmlformats.org/officeDocument/2006/relationships/hyperlink" Target="https://detail.1688.com/offer/983735137462.html" TargetMode="External"/><Relationship Id="rId360" Type="http://schemas.openxmlformats.org/officeDocument/2006/relationships/hyperlink" Target="https://detail.1688.com/offer/962815551742.html" TargetMode="External"/><Relationship Id="rId361" Type="http://schemas.openxmlformats.org/officeDocument/2006/relationships/hyperlink" Target="https://detail.1688.com/offer/696762414163.html" TargetMode="External"/><Relationship Id="rId362" Type="http://schemas.openxmlformats.org/officeDocument/2006/relationships/hyperlink" Target="https://detail.1688.com/offer/974256938987.html" TargetMode="External"/><Relationship Id="rId363" Type="http://schemas.openxmlformats.org/officeDocument/2006/relationships/hyperlink" Target="https://detail.1688.com/offer/994454116691.html" TargetMode="External"/><Relationship Id="rId364" Type="http://schemas.openxmlformats.org/officeDocument/2006/relationships/hyperlink" Target="https://detail.1688.com/offer/991902153847.html" TargetMode="External"/><Relationship Id="rId365" Type="http://schemas.openxmlformats.org/officeDocument/2006/relationships/hyperlink" Target="https://detail.1688.com/offer/952093251055.html" TargetMode="External"/><Relationship Id="rId366" Type="http://schemas.openxmlformats.org/officeDocument/2006/relationships/hyperlink" Target="https://detail.1688.com/offer/681263494621.html" TargetMode="External"/><Relationship Id="rId367" Type="http://schemas.openxmlformats.org/officeDocument/2006/relationships/hyperlink" Target="https://detail.1688.com/offer/784995702318.html" TargetMode="External"/><Relationship Id="rId368" Type="http://schemas.openxmlformats.org/officeDocument/2006/relationships/hyperlink" Target="https://detail.1688.com/offer/890664847138.html" TargetMode="External"/><Relationship Id="rId369" Type="http://schemas.openxmlformats.org/officeDocument/2006/relationships/hyperlink" Target="https://detail.1688.com/offer/891695236201.html" TargetMode="External"/><Relationship Id="rId370" Type="http://schemas.openxmlformats.org/officeDocument/2006/relationships/hyperlink" Target="https://detail.1688.com/offer/988385922876.html" TargetMode="External"/><Relationship Id="rId371" Type="http://schemas.openxmlformats.org/officeDocument/2006/relationships/hyperlink" Target="https://detail.1688.com/offer/1015190521734.html" TargetMode="External"/><Relationship Id="rId372" Type="http://schemas.openxmlformats.org/officeDocument/2006/relationships/hyperlink" Target="https://detail.1688.com/offer/996826402113.html" TargetMode="External"/><Relationship Id="rId373" Type="http://schemas.openxmlformats.org/officeDocument/2006/relationships/hyperlink" Target="https://detail.1688.com/offer/828308836855.html" TargetMode="External"/><Relationship Id="rId374" Type="http://schemas.openxmlformats.org/officeDocument/2006/relationships/hyperlink" Target="https://detail.1688.com/offer/825317362657.html" TargetMode="External"/><Relationship Id="rId375" Type="http://schemas.openxmlformats.org/officeDocument/2006/relationships/hyperlink" Target="https://detail.1688.com/offer/854721608981.html" TargetMode="External"/><Relationship Id="rId376" Type="http://schemas.openxmlformats.org/officeDocument/2006/relationships/hyperlink" Target="https://detail.1688.com/offer/737787097740.html" TargetMode="External"/><Relationship Id="rId377" Type="http://schemas.openxmlformats.org/officeDocument/2006/relationships/hyperlink" Target="https://detail.1688.com/offer/773537378528.html" TargetMode="External"/><Relationship Id="rId378" Type="http://schemas.openxmlformats.org/officeDocument/2006/relationships/hyperlink" Target="https://detail.1688.com/offer/978926415972.html" TargetMode="External"/><Relationship Id="rId379" Type="http://schemas.openxmlformats.org/officeDocument/2006/relationships/hyperlink" Target="https://detail.1688.com/offer/989213848641.html" TargetMode="External"/><Relationship Id="rId380" Type="http://schemas.openxmlformats.org/officeDocument/2006/relationships/hyperlink" Target="https://detail.1688.com/offer/1009553714946.html" TargetMode="External"/><Relationship Id="rId381" Type="http://schemas.openxmlformats.org/officeDocument/2006/relationships/hyperlink" Target="https://detail.1688.com/offer/1013612295781.html" TargetMode="External"/><Relationship Id="rId382" Type="http://schemas.openxmlformats.org/officeDocument/2006/relationships/hyperlink" Target="https://detail.1688.com/offer/854280575272.html" TargetMode="External"/><Relationship Id="rId383" Type="http://schemas.openxmlformats.org/officeDocument/2006/relationships/hyperlink" Target="https://detail.1688.com/offer/1006618814204.html" TargetMode="External"/><Relationship Id="rId384" Type="http://schemas.openxmlformats.org/officeDocument/2006/relationships/hyperlink" Target="https://detail.1688.com/offer/1015780024713.html" TargetMode="External"/><Relationship Id="rId385" Type="http://schemas.openxmlformats.org/officeDocument/2006/relationships/hyperlink" Target="https://detail.1688.com/offer/976892745079.html" TargetMode="External"/><Relationship Id="rId386" Type="http://schemas.openxmlformats.org/officeDocument/2006/relationships/hyperlink" Target="https://detail.1688.com/offer/979246734882.html" TargetMode="External"/><Relationship Id="rId387" Type="http://schemas.openxmlformats.org/officeDocument/2006/relationships/hyperlink" Target="https://detail.1688.com/offer/1016188341928.html" TargetMode="External"/><Relationship Id="rId388" Type="http://schemas.openxmlformats.org/officeDocument/2006/relationships/hyperlink" Target="https://detail.1688.com/offer/724428009752.html" TargetMode="External"/><Relationship Id="rId389" Type="http://schemas.openxmlformats.org/officeDocument/2006/relationships/hyperlink" Target="https://detail.1688.com/offer/723708837354.html" TargetMode="External"/><Relationship Id="rId390" Type="http://schemas.openxmlformats.org/officeDocument/2006/relationships/hyperlink" Target="https://detail.1688.com/offer/801906929248.html" TargetMode="External"/><Relationship Id="rId391" Type="http://schemas.openxmlformats.org/officeDocument/2006/relationships/hyperlink" Target="https://detail.1688.com/offer/917457696533.html" TargetMode="External"/><Relationship Id="rId392" Type="http://schemas.openxmlformats.org/officeDocument/2006/relationships/hyperlink" Target="https://detail.1688.com/offer/1048957885581.html" TargetMode="External"/><Relationship Id="rId393" Type="http://schemas.openxmlformats.org/officeDocument/2006/relationships/hyperlink" Target="https://detail.1688.com/offer/1043537492767.html" TargetMode="External"/><Relationship Id="rId394" Type="http://schemas.openxmlformats.org/officeDocument/2006/relationships/hyperlink" Target="https://detail.1688.com/offer/1050911478677.html" TargetMode="External"/><Relationship Id="rId395" Type="http://schemas.openxmlformats.org/officeDocument/2006/relationships/hyperlink" Target="https://detail.1688.com/offer/726831319733.html" TargetMode="External"/><Relationship Id="rId396" Type="http://schemas.openxmlformats.org/officeDocument/2006/relationships/hyperlink" Target="https://detail.1688.com/offer/1042687626619.html" TargetMode="External"/><Relationship Id="rId397" Type="http://schemas.openxmlformats.org/officeDocument/2006/relationships/hyperlink" Target="https://detail.1688.com/offer/686361889210.html" TargetMode="External"/><Relationship Id="rId398" Type="http://schemas.openxmlformats.org/officeDocument/2006/relationships/hyperlink" Target="https://detail.1688.com/offer/1050839559602.html" TargetMode="External"/><Relationship Id="rId399" Type="http://schemas.openxmlformats.org/officeDocument/2006/relationships/hyperlink" Target="https://detail.1688.com/offer/1043630617389.html" TargetMode="External"/><Relationship Id="rId400" Type="http://schemas.openxmlformats.org/officeDocument/2006/relationships/hyperlink" Target="https://detail.1688.com/offer/1053337614807.html" TargetMode="External"/><Relationship Id="rId401" Type="http://schemas.openxmlformats.org/officeDocument/2006/relationships/hyperlink" Target="https://detail.1688.com/offer/901620774423.html" TargetMode="External"/><Relationship Id="rId402" Type="http://schemas.openxmlformats.org/officeDocument/2006/relationships/hyperlink" Target="https://detail.1688.com/offer/754366290503.html" TargetMode="External"/><Relationship Id="rId403" Type="http://schemas.openxmlformats.org/officeDocument/2006/relationships/hyperlink" Target="https://detail.1688.com/offer/646146489076.html" TargetMode="External"/><Relationship Id="rId404" Type="http://schemas.openxmlformats.org/officeDocument/2006/relationships/hyperlink" Target="https://detail.1688.com/offer/825295434702.html" TargetMode="External"/><Relationship Id="rId405" Type="http://schemas.openxmlformats.org/officeDocument/2006/relationships/hyperlink" Target="https://detail.1688.com/offer/833305985337.html" TargetMode="External"/><Relationship Id="rId406" Type="http://schemas.openxmlformats.org/officeDocument/2006/relationships/hyperlink" Target="https://detail.1688.com/offer/639363932538.html" TargetMode="External"/><Relationship Id="rId407" Type="http://schemas.openxmlformats.org/officeDocument/2006/relationships/hyperlink" Target="https://detail.1688.com/offer/948397093997.html" TargetMode="External"/><Relationship Id="rId408" Type="http://schemas.openxmlformats.org/officeDocument/2006/relationships/hyperlink" Target="https://detail.1688.com/offer/965458977775.html" TargetMode="External"/><Relationship Id="rId409" Type="http://schemas.openxmlformats.org/officeDocument/2006/relationships/hyperlink" Target="https://detail.1688.com/offer/907177135470.html" TargetMode="External"/><Relationship Id="rId410" Type="http://schemas.openxmlformats.org/officeDocument/2006/relationships/hyperlink" Target="https://detail.1688.com/offer/817077434833.html" TargetMode="External"/><Relationship Id="rId411" Type="http://schemas.openxmlformats.org/officeDocument/2006/relationships/hyperlink" Target="https://detail.1688.com/offer/914738158103.html" TargetMode="External"/><Relationship Id="rId412" Type="http://schemas.openxmlformats.org/officeDocument/2006/relationships/hyperlink" Target="https://detail.1688.com/offer/874375189698.html" TargetMode="External"/><Relationship Id="rId413" Type="http://schemas.openxmlformats.org/officeDocument/2006/relationships/hyperlink" Target="https://detail.1688.com/offer/830057236012.html" TargetMode="External"/><Relationship Id="rId414" Type="http://schemas.openxmlformats.org/officeDocument/2006/relationships/hyperlink" Target="https://detail.1688.com/offer/699271252385.html" TargetMode="External"/><Relationship Id="rId415" Type="http://schemas.openxmlformats.org/officeDocument/2006/relationships/hyperlink" Target="https://detail.1688.com/offer/832290490235.html" TargetMode="External"/><Relationship Id="rId416" Type="http://schemas.openxmlformats.org/officeDocument/2006/relationships/hyperlink" Target="https://detail.1688.com/offer/777474320051.html" TargetMode="External"/><Relationship Id="rId417" Type="http://schemas.openxmlformats.org/officeDocument/2006/relationships/hyperlink" Target="https://detail.1688.com/offer/709965852043.html" TargetMode="External"/><Relationship Id="rId418" Type="http://schemas.openxmlformats.org/officeDocument/2006/relationships/hyperlink" Target="https://detail.1688.com/offer/963288695668.html" TargetMode="External"/><Relationship Id="rId419" Type="http://schemas.openxmlformats.org/officeDocument/2006/relationships/hyperlink" Target="https://detail.1688.com/offer/855503242620.html" TargetMode="External"/><Relationship Id="rId420" Type="http://schemas.openxmlformats.org/officeDocument/2006/relationships/hyperlink" Target="https://detail.1688.com/offer/856571067602.html" TargetMode="External"/><Relationship Id="rId421" Type="http://schemas.openxmlformats.org/officeDocument/2006/relationships/hyperlink" Target="https://detail.1688.com/offer/908099175031.html" TargetMode="External"/><Relationship Id="rId422" Type="http://schemas.openxmlformats.org/officeDocument/2006/relationships/hyperlink" Target="https://detail.1688.com/offer/824693842012.html" TargetMode="External"/><Relationship Id="rId423" Type="http://schemas.openxmlformats.org/officeDocument/2006/relationships/hyperlink" Target="https://detail.1688.com/offer/962003686464.html" TargetMode="External"/><Relationship Id="rId424" Type="http://schemas.openxmlformats.org/officeDocument/2006/relationships/hyperlink" Target="https://detail.1688.com/offer/557871806907.html" TargetMode="External"/><Relationship Id="rId425" Type="http://schemas.openxmlformats.org/officeDocument/2006/relationships/hyperlink" Target="https://detail.1688.com/offer/980867154587.html" TargetMode="External"/><Relationship Id="rId426" Type="http://schemas.openxmlformats.org/officeDocument/2006/relationships/hyperlink" Target="https://detail.1688.com/offer/989284923509.html" TargetMode="External"/><Relationship Id="rId427" Type="http://schemas.openxmlformats.org/officeDocument/2006/relationships/hyperlink" Target="https://detail.1688.com/offer/948656243263.html" TargetMode="External"/><Relationship Id="rId428" Type="http://schemas.openxmlformats.org/officeDocument/2006/relationships/hyperlink" Target="https://detail.1688.com/offer/861315134391.html" TargetMode="External"/><Relationship Id="rId429" Type="http://schemas.openxmlformats.org/officeDocument/2006/relationships/hyperlink" Target="https://detail.1688.com/offer/998081074528.html" TargetMode="External"/><Relationship Id="rId430" Type="http://schemas.openxmlformats.org/officeDocument/2006/relationships/hyperlink" Target="https://detail.1688.com/offer/996227535209.html" TargetMode="External"/><Relationship Id="rId431" Type="http://schemas.openxmlformats.org/officeDocument/2006/relationships/hyperlink" Target="https://detail.1688.com/offer/745860307839.html" TargetMode="External"/><Relationship Id="rId432" Type="http://schemas.openxmlformats.org/officeDocument/2006/relationships/hyperlink" Target="https://detail.1688.com/offer/989737946989.html" TargetMode="External"/><Relationship Id="rId433" Type="http://schemas.openxmlformats.org/officeDocument/2006/relationships/hyperlink" Target="https://detail.1688.com/offer/929089321169.html" TargetMode="External"/><Relationship Id="rId434" Type="http://schemas.openxmlformats.org/officeDocument/2006/relationships/hyperlink" Target="https://detail.1688.com/offer/731450184077.html" TargetMode="External"/><Relationship Id="rId435" Type="http://schemas.openxmlformats.org/officeDocument/2006/relationships/hyperlink" Target="https://detail.1688.com/offer/742708765467.html" TargetMode="External"/><Relationship Id="rId436" Type="http://schemas.openxmlformats.org/officeDocument/2006/relationships/hyperlink" Target="https://detail.1688.com/offer/784644435177.html" TargetMode="External"/><Relationship Id="rId437" Type="http://schemas.openxmlformats.org/officeDocument/2006/relationships/hyperlink" Target="https://detail.1688.com/offer/979925360309.html" TargetMode="External"/><Relationship Id="rId438" Type="http://schemas.openxmlformats.org/officeDocument/2006/relationships/hyperlink" Target="https://detail.1688.com/offer/726342408056.html" TargetMode="External"/><Relationship Id="rId439" Type="http://schemas.openxmlformats.org/officeDocument/2006/relationships/hyperlink" Target="https://detail.1688.com/offer/694467434499.html" TargetMode="External"/><Relationship Id="rId440" Type="http://schemas.openxmlformats.org/officeDocument/2006/relationships/hyperlink" Target="https://detail.1688.com/offer/860618811822.html" TargetMode="External"/><Relationship Id="rId441" Type="http://schemas.openxmlformats.org/officeDocument/2006/relationships/hyperlink" Target="https://detail.1688.com/offer/751792604841.html" TargetMode="External"/><Relationship Id="rId442" Type="http://schemas.openxmlformats.org/officeDocument/2006/relationships/hyperlink" Target="https://detail.1688.com/offer/957302731149.html" TargetMode="External"/><Relationship Id="rId443" Type="http://schemas.openxmlformats.org/officeDocument/2006/relationships/hyperlink" Target="https://detail.1688.com/offer/552394754910.html" TargetMode="External"/><Relationship Id="rId444" Type="http://schemas.openxmlformats.org/officeDocument/2006/relationships/hyperlink" Target="https://detail.1688.com/offer/670391352066.html" TargetMode="External"/><Relationship Id="rId445" Type="http://schemas.openxmlformats.org/officeDocument/2006/relationships/hyperlink" Target="https://detail.1688.com/offer/654958514990.html" TargetMode="External"/><Relationship Id="rId446" Type="http://schemas.openxmlformats.org/officeDocument/2006/relationships/hyperlink" Target="https://detail.1688.com/offer/950480565310.html" TargetMode="External"/><Relationship Id="rId447" Type="http://schemas.openxmlformats.org/officeDocument/2006/relationships/hyperlink" Target="https://detail.1688.com/offer/905224882870.html" TargetMode="External"/><Relationship Id="rId448" Type="http://schemas.openxmlformats.org/officeDocument/2006/relationships/hyperlink" Target="https://detail.1688.com/offer/914710633709.html" TargetMode="External"/><Relationship Id="rId449" Type="http://schemas.openxmlformats.org/officeDocument/2006/relationships/hyperlink" Target="https://detail.1688.com/offer/983523900643.html" TargetMode="External"/><Relationship Id="rId450" Type="http://schemas.openxmlformats.org/officeDocument/2006/relationships/hyperlink" Target="https://detail.1688.com/offer/657863073297.html" TargetMode="External"/><Relationship Id="rId451" Type="http://schemas.openxmlformats.org/officeDocument/2006/relationships/hyperlink" Target="https://detail.1688.com/offer/956214419329.html" TargetMode="External"/><Relationship Id="rId452" Type="http://schemas.openxmlformats.org/officeDocument/2006/relationships/hyperlink" Target="https://detail.1688.com/offer/718275962996.html" TargetMode="External"/><Relationship Id="rId453" Type="http://schemas.openxmlformats.org/officeDocument/2006/relationships/hyperlink" Target="https://detail.1688.com/offer/938021565940.html" TargetMode="External"/><Relationship Id="rId454" Type="http://schemas.openxmlformats.org/officeDocument/2006/relationships/hyperlink" Target="https://detail.1688.com/offer/602354103649.html" TargetMode="External"/><Relationship Id="rId455" Type="http://schemas.openxmlformats.org/officeDocument/2006/relationships/hyperlink" Target="https://detail.1688.com/offer/777474433061.html" TargetMode="External"/><Relationship Id="rId456" Type="http://schemas.openxmlformats.org/officeDocument/2006/relationships/hyperlink" Target="https://detail.1688.com/offer/944207319657.html" TargetMode="External"/><Relationship Id="rId457" Type="http://schemas.openxmlformats.org/officeDocument/2006/relationships/hyperlink" Target="https://detail.1688.com/offer/1011594711325.html" TargetMode="External"/><Relationship Id="rId458" Type="http://schemas.openxmlformats.org/officeDocument/2006/relationships/hyperlink" Target="https://detail.1688.com/offer/981935632493.html" TargetMode="External"/><Relationship Id="rId459" Type="http://schemas.openxmlformats.org/officeDocument/2006/relationships/hyperlink" Target="https://detail.1688.com/offer/930596509911.html" TargetMode="External"/><Relationship Id="rId460" Type="http://schemas.openxmlformats.org/officeDocument/2006/relationships/hyperlink" Target="https://detail.1688.com/offer/915132064865.html" TargetMode="External"/><Relationship Id="rId461" Type="http://schemas.openxmlformats.org/officeDocument/2006/relationships/hyperlink" Target="https://detail.1688.com/offer/783177024647.html" TargetMode="External"/><Relationship Id="rId462" Type="http://schemas.openxmlformats.org/officeDocument/2006/relationships/hyperlink" Target="https://detail.1688.com/offer/906541618065.html" TargetMode="External"/><Relationship Id="rId463" Type="http://schemas.openxmlformats.org/officeDocument/2006/relationships/hyperlink" Target="https://detail.1688.com/offer/755679222143.html" TargetMode="External"/><Relationship Id="rId464" Type="http://schemas.openxmlformats.org/officeDocument/2006/relationships/hyperlink" Target="https://detail.1688.com/offer/624394464528.html" TargetMode="External"/><Relationship Id="rId465" Type="http://schemas.openxmlformats.org/officeDocument/2006/relationships/hyperlink" Target="https://detail.1688.com/offer/1017567618366.html" TargetMode="External"/><Relationship Id="rId466" Type="http://schemas.openxmlformats.org/officeDocument/2006/relationships/hyperlink" Target="https://detail.1688.com/offer/956898496472.html" TargetMode="External"/><Relationship Id="rId467" Type="http://schemas.openxmlformats.org/officeDocument/2006/relationships/hyperlink" Target="https://detail.1688.com/offer/704617424847.html" TargetMode="External"/><Relationship Id="rId468" Type="http://schemas.openxmlformats.org/officeDocument/2006/relationships/hyperlink" Target="https://detail.1688.com/offer/964575413465.html" TargetMode="External"/><Relationship Id="rId469" Type="http://schemas.openxmlformats.org/officeDocument/2006/relationships/hyperlink" Target="https://detail.1688.com/offer/711956048040.html" TargetMode="External"/><Relationship Id="rId470" Type="http://schemas.openxmlformats.org/officeDocument/2006/relationships/hyperlink" Target="https://detail.1688.com/offer/859918642922.html" TargetMode="External"/><Relationship Id="rId471" Type="http://schemas.openxmlformats.org/officeDocument/2006/relationships/hyperlink" Target="https://detail.1688.com/offer/866993159133.html" TargetMode="External"/><Relationship Id="rId472" Type="http://schemas.openxmlformats.org/officeDocument/2006/relationships/hyperlink" Target="https://detail.1688.com/offer/841104460066.html" TargetMode="External"/><Relationship Id="rId473" Type="http://schemas.openxmlformats.org/officeDocument/2006/relationships/hyperlink" Target="https://detail.1688.com/offer/810503259883.html" TargetMode="External"/><Relationship Id="rId474" Type="http://schemas.openxmlformats.org/officeDocument/2006/relationships/hyperlink" Target="https://detail.1688.com/offer/789144564137.html" TargetMode="External"/><Relationship Id="rId475" Type="http://schemas.openxmlformats.org/officeDocument/2006/relationships/hyperlink" Target="https://detail.1688.com/offer/1013388262980.html" TargetMode="External"/><Relationship Id="rId476" Type="http://schemas.openxmlformats.org/officeDocument/2006/relationships/hyperlink" Target="https://detail.1688.com/offer/952252376751.html" TargetMode="External"/><Relationship Id="rId477" Type="http://schemas.openxmlformats.org/officeDocument/2006/relationships/hyperlink" Target="https://detail.1688.com/offer/594883643540.html" TargetMode="External"/><Relationship Id="rId478" Type="http://schemas.openxmlformats.org/officeDocument/2006/relationships/hyperlink" Target="https://detail.1688.com/offer/848907277778.html" TargetMode="External"/><Relationship Id="rId479" Type="http://schemas.openxmlformats.org/officeDocument/2006/relationships/hyperlink" Target="https://detail.1688.com/offer/986081168246.html" TargetMode="External"/><Relationship Id="rId480" Type="http://schemas.openxmlformats.org/officeDocument/2006/relationships/hyperlink" Target="https://detail.1688.com/offer/660653457432.html" TargetMode="External"/><Relationship Id="rId481" Type="http://schemas.openxmlformats.org/officeDocument/2006/relationships/hyperlink" Target="https://detail.1688.com/offer/726811793397.html" TargetMode="External"/><Relationship Id="rId482" Type="http://schemas.openxmlformats.org/officeDocument/2006/relationships/hyperlink" Target="https://detail.1688.com/offer/921070812873.html" TargetMode="External"/><Relationship Id="rId483" Type="http://schemas.openxmlformats.org/officeDocument/2006/relationships/hyperlink" Target="https://detail.1688.com/offer/994226616361.html" TargetMode="External"/><Relationship Id="rId484" Type="http://schemas.openxmlformats.org/officeDocument/2006/relationships/hyperlink" Target="https://detail.1688.com/offer/988015529607.html" TargetMode="External"/><Relationship Id="rId485" Type="http://schemas.openxmlformats.org/officeDocument/2006/relationships/hyperlink" Target="https://detail.1688.com/offer/920979590912.html" TargetMode="External"/><Relationship Id="rId486" Type="http://schemas.openxmlformats.org/officeDocument/2006/relationships/hyperlink" Target="https://detail.1688.com/offer/1017974739666.html" TargetMode="External"/><Relationship Id="rId487" Type="http://schemas.openxmlformats.org/officeDocument/2006/relationships/hyperlink" Target="https://detail.1688.com/offer/1016619644219.html" TargetMode="External"/><Relationship Id="rId488" Type="http://schemas.openxmlformats.org/officeDocument/2006/relationships/hyperlink" Target="https://detail.1688.com/offer/756361184481.html" TargetMode="External"/><Relationship Id="rId489" Type="http://schemas.openxmlformats.org/officeDocument/2006/relationships/hyperlink" Target="https://detail.1688.com/offer/926259713200.html" TargetMode="External"/><Relationship Id="rId490" Type="http://schemas.openxmlformats.org/officeDocument/2006/relationships/hyperlink" Target="https://detail.1688.com/offer/691256918327.html" TargetMode="External"/><Relationship Id="rId491" Type="http://schemas.openxmlformats.org/officeDocument/2006/relationships/hyperlink" Target="https://detail.1688.com/offer/952653370171.html" TargetMode="External"/><Relationship Id="rId492" Type="http://schemas.openxmlformats.org/officeDocument/2006/relationships/hyperlink" Target="https://detail.1688.com/offer/789890256735.html" TargetMode="External"/><Relationship Id="rId493" Type="http://schemas.openxmlformats.org/officeDocument/2006/relationships/hyperlink" Target="https://detail.1688.com/offer/1035612155705.html" TargetMode="External"/><Relationship Id="rId494" Type="http://schemas.openxmlformats.org/officeDocument/2006/relationships/hyperlink" Target="https://detail.1688.com/offer/859526844280.html" TargetMode="External"/><Relationship Id="rId495" Type="http://schemas.openxmlformats.org/officeDocument/2006/relationships/hyperlink" Target="https://detail.1688.com/offer/758422945955.html" TargetMode="External"/><Relationship Id="rId496" Type="http://schemas.openxmlformats.org/officeDocument/2006/relationships/hyperlink" Target="https://detail.1688.com/offer/705359875539.html" TargetMode="External"/><Relationship Id="rId497" Type="http://schemas.openxmlformats.org/officeDocument/2006/relationships/hyperlink" Target="https://detail.1688.com/offer/856394650851.html" TargetMode="External"/><Relationship Id="rId498" Type="http://schemas.openxmlformats.org/officeDocument/2006/relationships/hyperlink" Target="https://detail.1688.com/offer/1039233628705.html" TargetMode="External"/><Relationship Id="rId499" Type="http://schemas.openxmlformats.org/officeDocument/2006/relationships/hyperlink" Target="https://detail.1688.com/offer/1035666017087.html" TargetMode="External"/><Relationship Id="rId500" Type="http://schemas.openxmlformats.org/officeDocument/2006/relationships/hyperlink" Target="https://detail.1688.com/offer/1024421346785.html" TargetMode="External"/><Relationship Id="rId501" Type="http://schemas.openxmlformats.org/officeDocument/2006/relationships/hyperlink" Target="https://detail.1688.com/offer/594370725177.html" TargetMode="External"/><Relationship Id="rId502" Type="http://schemas.openxmlformats.org/officeDocument/2006/relationships/hyperlink" Target="https://detail.1688.com/offer/782663602081.html" TargetMode="External"/><Relationship Id="rId503" Type="http://schemas.openxmlformats.org/officeDocument/2006/relationships/hyperlink" Target="https://detail.1688.com/offer/898637495203.html" TargetMode="External"/><Relationship Id="rId504" Type="http://schemas.openxmlformats.org/officeDocument/2006/relationships/hyperlink" Target="https://detail.1688.com/offer/972248453741.html" TargetMode="External"/><Relationship Id="rId505" Type="http://schemas.openxmlformats.org/officeDocument/2006/relationships/hyperlink" Target="https://detail.1688.com/offer/950219398396.html" TargetMode="External"/><Relationship Id="rId506" Type="http://schemas.openxmlformats.org/officeDocument/2006/relationships/hyperlink" Target="https://detail.1688.com/offer/621718928073.html" TargetMode="External"/><Relationship Id="rId507" Type="http://schemas.openxmlformats.org/officeDocument/2006/relationships/hyperlink" Target="https://detail.1688.com/offer/843707715702.html" TargetMode="External"/><Relationship Id="rId508" Type="http://schemas.openxmlformats.org/officeDocument/2006/relationships/hyperlink" Target="https://detail.1688.com/offer/661845927028.html" TargetMode="External"/><Relationship Id="rId509" Type="http://schemas.openxmlformats.org/officeDocument/2006/relationships/hyperlink" Target="https://detail.1688.com/offer/677489844661.html" TargetMode="External"/><Relationship Id="rId510" Type="http://schemas.openxmlformats.org/officeDocument/2006/relationships/hyperlink" Target="https://detail.1688.com/offer/706353052041.html" TargetMode="External"/><Relationship Id="rId511" Type="http://schemas.openxmlformats.org/officeDocument/2006/relationships/hyperlink" Target="https://detail.1688.com/offer/729776340343.html" TargetMode="External"/><Relationship Id="rId512" Type="http://schemas.openxmlformats.org/officeDocument/2006/relationships/hyperlink" Target="https://detail.1688.com/offer/614749187263.html" TargetMode="External"/><Relationship Id="rId513" Type="http://schemas.openxmlformats.org/officeDocument/2006/relationships/hyperlink" Target="https://detail.1688.com/offer/695747962561.html" TargetMode="External"/><Relationship Id="rId514" Type="http://schemas.openxmlformats.org/officeDocument/2006/relationships/hyperlink" Target="https://detail.1688.com/offer/635315183873.html" TargetMode="External"/><Relationship Id="rId515" Type="http://schemas.openxmlformats.org/officeDocument/2006/relationships/hyperlink" Target="https://detail.1688.com/offer/649290109478.html" TargetMode="External"/><Relationship Id="rId516" Type="http://schemas.openxmlformats.org/officeDocument/2006/relationships/hyperlink" Target="https://detail.1688.com/offer/600879516345.html" TargetMode="External"/><Relationship Id="rId517" Type="http://schemas.openxmlformats.org/officeDocument/2006/relationships/hyperlink" Target="https://detail.1688.com/offer/520521508080.html" TargetMode="External"/><Relationship Id="rId518" Type="http://schemas.openxmlformats.org/officeDocument/2006/relationships/hyperlink" Target="https://detail.1688.com/offer/620024431678.html" TargetMode="External"/><Relationship Id="rId519" Type="http://schemas.openxmlformats.org/officeDocument/2006/relationships/hyperlink" Target="https://detail.1688.com/offer/775465194310.html" TargetMode="External"/><Relationship Id="rId520" Type="http://schemas.openxmlformats.org/officeDocument/2006/relationships/hyperlink" Target="https://detail.1688.com/offer/681852040865.html" TargetMode="External"/><Relationship Id="rId521" Type="http://schemas.openxmlformats.org/officeDocument/2006/relationships/hyperlink" Target="https://detail.1688.com/offer/665440113316.html" TargetMode="External"/><Relationship Id="rId522" Type="http://schemas.openxmlformats.org/officeDocument/2006/relationships/hyperlink" Target="https://detail.1688.com/offer/618297104127.html" TargetMode="External"/><Relationship Id="rId523" Type="http://schemas.openxmlformats.org/officeDocument/2006/relationships/hyperlink" Target="https://detail.1688.com/offer/602098905738.html" TargetMode="External"/><Relationship Id="rId524" Type="http://schemas.openxmlformats.org/officeDocument/2006/relationships/hyperlink" Target="https://detail.1688.com/offer/640488584832.html" TargetMode="External"/><Relationship Id="rId525" Type="http://schemas.openxmlformats.org/officeDocument/2006/relationships/hyperlink" Target="https://detail.1688.com/offer/586456982600.html" TargetMode="External"/><Relationship Id="rId526" Type="http://schemas.openxmlformats.org/officeDocument/2006/relationships/hyperlink" Target="https://detail.1688.com/offer/976102308693.html" TargetMode="External"/><Relationship Id="rId527" Type="http://schemas.openxmlformats.org/officeDocument/2006/relationships/hyperlink" Target="https://detail.1688.com/offer/914725598867.html" TargetMode="External"/><Relationship Id="rId528" Type="http://schemas.openxmlformats.org/officeDocument/2006/relationships/hyperlink" Target="https://detail.1688.com/offer/630494330818.html" TargetMode="External"/><Relationship Id="rId529" Type="http://schemas.openxmlformats.org/officeDocument/2006/relationships/hyperlink" Target="https://detail.1688.com/offer/740291005602.html" TargetMode="External"/><Relationship Id="rId530" Type="http://schemas.openxmlformats.org/officeDocument/2006/relationships/hyperlink" Target="https://detail.1688.com/offer/824341274767.html" TargetMode="External"/><Relationship Id="rId531" Type="http://schemas.openxmlformats.org/officeDocument/2006/relationships/hyperlink" Target="https://detail.1688.com/offer/815992553701.html" TargetMode="External"/><Relationship Id="rId532" Type="http://schemas.openxmlformats.org/officeDocument/2006/relationships/hyperlink" Target="https://detail.1688.com/offer/897397411124.html" TargetMode="External"/><Relationship Id="rId533" Type="http://schemas.openxmlformats.org/officeDocument/2006/relationships/hyperlink" Target="https://detail.1688.com/offer/915698582479.html" TargetMode="External"/><Relationship Id="rId534" Type="http://schemas.openxmlformats.org/officeDocument/2006/relationships/hyperlink" Target="https://detail.1688.com/offer/871478220529.html" TargetMode="External"/><Relationship Id="rId535" Type="http://schemas.openxmlformats.org/officeDocument/2006/relationships/hyperlink" Target="https://detail.1688.com/offer/732648039380.html" TargetMode="External"/><Relationship Id="rId536" Type="http://schemas.openxmlformats.org/officeDocument/2006/relationships/hyperlink" Target="https://detail.1688.com/offer/894600319573.html" TargetMode="External"/><Relationship Id="rId537" Type="http://schemas.openxmlformats.org/officeDocument/2006/relationships/hyperlink" Target="https://detail.1688.com/offer/748178021111.html" TargetMode="External"/><Relationship Id="rId538" Type="http://schemas.openxmlformats.org/officeDocument/2006/relationships/hyperlink" Target="https://detail.1688.com/offer/887886911448.html" TargetMode="External"/><Relationship Id="rId539" Type="http://schemas.openxmlformats.org/officeDocument/2006/relationships/hyperlink" Target="https://detail.1688.com/offer/802441900728.html" TargetMode="External"/><Relationship Id="rId540" Type="http://schemas.openxmlformats.org/officeDocument/2006/relationships/hyperlink" Target="https://detail.1688.com/offer/971107267862.html" TargetMode="External"/><Relationship Id="rId541" Type="http://schemas.openxmlformats.org/officeDocument/2006/relationships/hyperlink" Target="https://detail.1688.com/offer/971496161438.html" TargetMode="External"/><Relationship Id="rId542" Type="http://schemas.openxmlformats.org/officeDocument/2006/relationships/hyperlink" Target="https://detail.1688.com/offer/826652997453.html" TargetMode="External"/><Relationship Id="rId543" Type="http://schemas.openxmlformats.org/officeDocument/2006/relationships/hyperlink" Target="https://detail.1688.com/offer/969345834694.html" TargetMode="External"/><Relationship Id="rId544" Type="http://schemas.openxmlformats.org/officeDocument/2006/relationships/hyperlink" Target="https://detail.1688.com/offer/921057883822.html" TargetMode="External"/><Relationship Id="rId545" Type="http://schemas.openxmlformats.org/officeDocument/2006/relationships/hyperlink" Target="https://detail.1688.com/offer/964479293694.html" TargetMode="External"/><Relationship Id="rId546" Type="http://schemas.openxmlformats.org/officeDocument/2006/relationships/hyperlink" Target="https://detail.1688.com/offer/671013459323.html" TargetMode="External"/><Relationship Id="rId547" Type="http://schemas.openxmlformats.org/officeDocument/2006/relationships/hyperlink" Target="https://detail.1688.com/offer/606194593817.html" TargetMode="External"/><Relationship Id="rId548" Type="http://schemas.openxmlformats.org/officeDocument/2006/relationships/hyperlink" Target="https://detail.1688.com/offer/706678788165.html" TargetMode="External"/><Relationship Id="rId549" Type="http://schemas.openxmlformats.org/officeDocument/2006/relationships/hyperlink" Target="https://detail.1688.com/offer/970796516633.html" TargetMode="External"/><Relationship Id="rId550" Type="http://schemas.openxmlformats.org/officeDocument/2006/relationships/hyperlink" Target="https://detail.1688.com/offer/638512032936.html" TargetMode="External"/><Relationship Id="rId551" Type="http://schemas.openxmlformats.org/officeDocument/2006/relationships/hyperlink" Target="https://detail.1688.com/offer/638464737370.html" TargetMode="External"/><Relationship Id="rId552" Type="http://schemas.openxmlformats.org/officeDocument/2006/relationships/hyperlink" Target="https://detail.1688.com/offer/774275333024.html" TargetMode="External"/><Relationship Id="rId553" Type="http://schemas.openxmlformats.org/officeDocument/2006/relationships/hyperlink" Target="https://detail.1688.com/offer/675185115939.html" TargetMode="External"/><Relationship Id="rId554" Type="http://schemas.openxmlformats.org/officeDocument/2006/relationships/hyperlink" Target="https://detail.1688.com/offer/735501303591.html" TargetMode="External"/><Relationship Id="rId555" Type="http://schemas.openxmlformats.org/officeDocument/2006/relationships/hyperlink" Target="https://detail.1688.com/offer/973617200177.html" TargetMode="External"/><Relationship Id="rId556" Type="http://schemas.openxmlformats.org/officeDocument/2006/relationships/hyperlink" Target="https://detail.1688.com/offer/846360181014.html" TargetMode="External"/><Relationship Id="rId557" Type="http://schemas.openxmlformats.org/officeDocument/2006/relationships/hyperlink" Target="https://detail.1688.com/offer/930428745795.html" TargetMode="External"/><Relationship Id="rId558" Type="http://schemas.openxmlformats.org/officeDocument/2006/relationships/hyperlink" Target="https://detail.1688.com/offer/858353224360.html" TargetMode="External"/><Relationship Id="rId559" Type="http://schemas.openxmlformats.org/officeDocument/2006/relationships/hyperlink" Target="https://detail.1688.com/offer/912644341754.html" TargetMode="External"/><Relationship Id="rId560" Type="http://schemas.openxmlformats.org/officeDocument/2006/relationships/hyperlink" Target="https://detail.1688.com/offer/778282615276.html" TargetMode="External"/><Relationship Id="rId561" Type="http://schemas.openxmlformats.org/officeDocument/2006/relationships/hyperlink" Target="https://detail.1688.com/offer/694986724745.html" TargetMode="External"/><Relationship Id="rId562" Type="http://schemas.openxmlformats.org/officeDocument/2006/relationships/hyperlink" Target="https://detail.1688.com/offer/777097211478.html" TargetMode="External"/><Relationship Id="rId563" Type="http://schemas.openxmlformats.org/officeDocument/2006/relationships/hyperlink" Target="https://detail.1688.com/offer/654209514818.html" TargetMode="External"/><Relationship Id="rId564" Type="http://schemas.openxmlformats.org/officeDocument/2006/relationships/hyperlink" Target="https://detail.1688.com/offer/711356173151.html" TargetMode="External"/><Relationship Id="rId565" Type="http://schemas.openxmlformats.org/officeDocument/2006/relationships/hyperlink" Target="https://detail.1688.com/offer/743196332518.html" TargetMode="External"/><Relationship Id="rId566" Type="http://schemas.openxmlformats.org/officeDocument/2006/relationships/hyperlink" Target="https://detail.1688.com/offer/710147118483.html" TargetMode="External"/><Relationship Id="rId567" Type="http://schemas.openxmlformats.org/officeDocument/2006/relationships/hyperlink" Target="https://detail.1688.com/offer/1004247214665.html" TargetMode="External"/><Relationship Id="rId568" Type="http://schemas.openxmlformats.org/officeDocument/2006/relationships/hyperlink" Target="https://detail.1688.com/offer/794761990582.html" TargetMode="External"/><Relationship Id="rId569" Type="http://schemas.openxmlformats.org/officeDocument/2006/relationships/hyperlink" Target="https://detail.1688.com/offer/596504186844.html" TargetMode="External"/><Relationship Id="rId570" Type="http://schemas.openxmlformats.org/officeDocument/2006/relationships/hyperlink" Target="https://detail.1688.com/offer/990511237795.html" TargetMode="External"/><Relationship Id="rId571" Type="http://schemas.openxmlformats.org/officeDocument/2006/relationships/hyperlink" Target="https://detail.1688.com/offer/968603080790.html" TargetMode="External"/><Relationship Id="rId572" Type="http://schemas.openxmlformats.org/officeDocument/2006/relationships/hyperlink" Target="https://detail.1688.com/offer/971237572713.html" TargetMode="External"/><Relationship Id="rId573" Type="http://schemas.openxmlformats.org/officeDocument/2006/relationships/hyperlink" Target="https://detail.1688.com/offer/925330941215.html" TargetMode="External"/><Relationship Id="rId574" Type="http://schemas.openxmlformats.org/officeDocument/2006/relationships/hyperlink" Target="https://detail.1688.com/offer/672259107944.html" TargetMode="External"/><Relationship Id="rId575" Type="http://schemas.openxmlformats.org/officeDocument/2006/relationships/hyperlink" Target="https://detail.1688.com/offer/833805166854.html" TargetMode="External"/><Relationship Id="rId576" Type="http://schemas.openxmlformats.org/officeDocument/2006/relationships/hyperlink" Target="https://detail.1688.com/offer/717743375695.html" TargetMode="External"/><Relationship Id="rId577" Type="http://schemas.openxmlformats.org/officeDocument/2006/relationships/hyperlink" Target="https://detail.1688.com/offer/788015970433.html" TargetMode="External"/><Relationship Id="rId578" Type="http://schemas.openxmlformats.org/officeDocument/2006/relationships/hyperlink" Target="https://detail.1688.com/offer/682557566294.html" TargetMode="External"/><Relationship Id="rId579" Type="http://schemas.openxmlformats.org/officeDocument/2006/relationships/hyperlink" Target="https://detail.1688.com/offer/908914198119.html" TargetMode="External"/><Relationship Id="rId580" Type="http://schemas.openxmlformats.org/officeDocument/2006/relationships/hyperlink" Target="https://detail.1688.com/offer/888527617616.html" TargetMode="External"/><Relationship Id="rId581" Type="http://schemas.openxmlformats.org/officeDocument/2006/relationships/hyperlink" Target="https://detail.1688.com/offer/911757882286.html" TargetMode="External"/><Relationship Id="rId582" Type="http://schemas.openxmlformats.org/officeDocument/2006/relationships/hyperlink" Target="https://detail.1688.com/offer/39911537251.html" TargetMode="External"/><Relationship Id="rId583" Type="http://schemas.openxmlformats.org/officeDocument/2006/relationships/hyperlink" Target="https://detail.1688.com/offer/728685085445.html" TargetMode="External"/><Relationship Id="rId584" Type="http://schemas.openxmlformats.org/officeDocument/2006/relationships/hyperlink" Target="https://detail.1688.com/offer/954818321057.html" TargetMode="External"/><Relationship Id="rId585" Type="http://schemas.openxmlformats.org/officeDocument/2006/relationships/hyperlink" Target="https://detail.1688.com/offer/638877098150.html" TargetMode="External"/><Relationship Id="rId586" Type="http://schemas.openxmlformats.org/officeDocument/2006/relationships/hyperlink" Target="https://detail.1688.com/offer/763243886565.html" TargetMode="External"/><Relationship Id="rId587" Type="http://schemas.openxmlformats.org/officeDocument/2006/relationships/hyperlink" Target="https://detail.1688.com/offer/957459871173.html" TargetMode="External"/><Relationship Id="rId588" Type="http://schemas.openxmlformats.org/officeDocument/2006/relationships/hyperlink" Target="https://detail.1688.com/offer/788817706176.html" TargetMode="External"/><Relationship Id="rId589" Type="http://schemas.openxmlformats.org/officeDocument/2006/relationships/hyperlink" Target="https://detail.1688.com/offer/862240528440.html" TargetMode="External"/><Relationship Id="rId590" Type="http://schemas.openxmlformats.org/officeDocument/2006/relationships/hyperlink" Target="https://detail.1688.com/offer/748842762659.html" TargetMode="External"/><Relationship Id="rId591" Type="http://schemas.openxmlformats.org/officeDocument/2006/relationships/hyperlink" Target="https://detail.1688.com/offer/1007122472695.html" TargetMode="External"/><Relationship Id="rId592" Type="http://schemas.openxmlformats.org/officeDocument/2006/relationships/hyperlink" Target="https://detail.1688.com/offer/882807612491.html" TargetMode="External"/><Relationship Id="rId593" Type="http://schemas.openxmlformats.org/officeDocument/2006/relationships/hyperlink" Target="https://detail.1688.com/offer/619409433419.html" TargetMode="External"/><Relationship Id="rId594" Type="http://schemas.openxmlformats.org/officeDocument/2006/relationships/hyperlink" Target="https://detail.1688.com/offer/1238510255.html" TargetMode="External"/><Relationship Id="rId595" Type="http://schemas.openxmlformats.org/officeDocument/2006/relationships/hyperlink" Target="https://detail.1688.com/offer/928531952796.html" TargetMode="External"/><Relationship Id="rId596" Type="http://schemas.openxmlformats.org/officeDocument/2006/relationships/hyperlink" Target="https://detail.1688.com/offer/674537202822.html" TargetMode="External"/><Relationship Id="rId597" Type="http://schemas.openxmlformats.org/officeDocument/2006/relationships/hyperlink" Target="https://detail.1688.com/offer/670182610639.html" TargetMode="External"/><Relationship Id="rId598" Type="http://schemas.openxmlformats.org/officeDocument/2006/relationships/hyperlink" Target="https://detail.1688.com/offer/950636903874.html" TargetMode="External"/><Relationship Id="rId599" Type="http://schemas.openxmlformats.org/officeDocument/2006/relationships/hyperlink" Target="https://detail.1688.com/offer/995413347809.html" TargetMode="External"/><Relationship Id="rId600" Type="http://schemas.openxmlformats.org/officeDocument/2006/relationships/hyperlink" Target="https://detail.1688.com/offer/829447718695.html"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psa.gov.ph/system/files/sad/Press%20Release_2025%20PDESA_0.pdf" TargetMode="External"/><Relationship Id="rId2" Type="http://schemas.openxmlformats.org/officeDocument/2006/relationships/hyperlink" Target="https://psa.gov.ph/sites/default/files/infographics/Infographic_2025%20PDESA.pdf" TargetMode="External"/><Relationship Id="rId3" Type="http://schemas.openxmlformats.org/officeDocument/2006/relationships/hyperlink" Target="https://help.shopee.ph/portal/4/article/77276" TargetMode="External"/><Relationship Id="rId4" Type="http://schemas.openxmlformats.org/officeDocument/2006/relationships/hyperlink" Target="https://bps.dti.gov.ph/product-certification/list-of-products-under-mandatory-certification" TargetMode="External"/><Relationship Id="rId5" Type="http://schemas.openxmlformats.org/officeDocument/2006/relationships/hyperlink" Target="https://help.shopee.ph/portal/4/article/77272" TargetMode="External"/><Relationship Id="rId6" Type="http://schemas.openxmlformats.org/officeDocument/2006/relationships/hyperlink" Target="https://www.sec.gov/Archives/edgar/data/1703399/000119312526344596/d120948dex991.htm" TargetMode="External"/><Relationship Id="rId7" Type="http://schemas.openxmlformats.org/officeDocument/2006/relationships/hyperlink" Target="https://www.fda.gov.ph/information-education-and-communication-iec-materials-relative-to-the-licensing-of-household-urban-hazardous-substances-huhs-establishments-covered-under-administrative-order-no-2019-0019-and-fd/" TargetMode="External"/><Relationship Id="rId8" Type="http://schemas.openxmlformats.org/officeDocument/2006/relationships/hyperlink" Target="https://shopee.ph/paccube"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sheetPr>
    <pageSetUpPr fitToPage="1"/>
  </sheetPr>
  <dimension ref="A1:F13"/>
  <sheetViews>
    <sheetView showGridLines="0" tabSelected="1" zoomScale="85" zoomScaleNormal="85"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26.7109375" customWidth="1"/>
    <col min="2" max="2" width="24.7109375" customWidth="1"/>
    <col min="3" max="3" width="75.7109375" customWidth="1"/>
    <col min="4" max="4" width="58.7109375" customWidth="1"/>
    <col min="6" max="6" width="24.7109375" customWidth="1"/>
  </cols>
  <sheetData>
    <row r="1" spans="1:6" ht="38" customHeight="1">
      <c r="A1" s="1" t="s">
        <v>0</v>
      </c>
      <c r="B1" s="1"/>
      <c r="C1" s="1"/>
      <c r="D1" s="1"/>
    </row>
    <row r="2" spans="1:6" ht="26" customHeight="1">
      <c r="A2" s="2" t="s">
        <v>1</v>
      </c>
      <c r="B2" s="2"/>
      <c r="C2" s="2"/>
      <c r="D2" s="2"/>
      <c r="F2" s="3">
        <v>46280.88982638889</v>
      </c>
    </row>
    <row r="3" spans="1:6" ht="22" customHeight="1">
      <c r="A3" s="2"/>
      <c r="B3" s="2"/>
      <c r="C3" s="2"/>
      <c r="D3" s="2"/>
    </row>
    <row r="4" spans="1:6" ht="34" customHeight="1">
      <c r="A4" s="4" t="s">
        <v>2</v>
      </c>
      <c r="B4" s="4" t="s">
        <v>3</v>
      </c>
      <c r="C4" s="4" t="s">
        <v>4</v>
      </c>
      <c r="D4" s="4" t="s">
        <v>5</v>
      </c>
    </row>
    <row r="5" spans="1:6" ht="58" customHeight="1">
      <c r="A5" s="5" t="s">
        <v>6</v>
      </c>
      <c r="B5" s="5" t="s">
        <v>7</v>
      </c>
      <c r="C5" s="5" t="s">
        <v>8</v>
      </c>
      <c r="D5" s="5" t="s">
        <v>9</v>
      </c>
    </row>
    <row r="6" spans="1:6" ht="58" customHeight="1">
      <c r="A6" s="5" t="s">
        <v>10</v>
      </c>
      <c r="B6" s="5">
        <v>22</v>
      </c>
      <c r="C6" s="5" t="s">
        <v>11</v>
      </c>
      <c r="D6" s="5" t="s">
        <v>12</v>
      </c>
    </row>
    <row r="7" spans="1:6" ht="58" customHeight="1">
      <c r="A7" s="5" t="s">
        <v>13</v>
      </c>
      <c r="B7" s="5">
        <v>0</v>
      </c>
      <c r="C7" s="5" t="s">
        <v>14</v>
      </c>
      <c r="D7" s="5" t="s">
        <v>15</v>
      </c>
    </row>
    <row r="8" spans="1:6" ht="58" customHeight="1">
      <c r="A8" s="5" t="s">
        <v>16</v>
      </c>
      <c r="B8" s="5">
        <v>220</v>
      </c>
      <c r="C8" s="5" t="s">
        <v>17</v>
      </c>
      <c r="D8" s="5" t="s">
        <v>18</v>
      </c>
    </row>
    <row r="9" spans="1:6" ht="58" customHeight="1">
      <c r="A9" s="5" t="s">
        <v>19</v>
      </c>
      <c r="B9" s="5">
        <v>600</v>
      </c>
      <c r="C9" s="5" t="s">
        <v>20</v>
      </c>
      <c r="D9" s="5" t="s">
        <v>21</v>
      </c>
    </row>
    <row r="10" spans="1:6" ht="58" customHeight="1">
      <c r="A10" s="5" t="s">
        <v>22</v>
      </c>
      <c r="B10" s="5" t="s">
        <v>23</v>
      </c>
      <c r="C10" s="5" t="s">
        <v>24</v>
      </c>
      <c r="D10" s="5" t="s">
        <v>25</v>
      </c>
    </row>
    <row r="11" spans="1:6" ht="58" customHeight="1">
      <c r="A11" s="5" t="s">
        <v>26</v>
      </c>
      <c r="B11" s="5" t="s">
        <v>27</v>
      </c>
      <c r="C11" s="5" t="s">
        <v>28</v>
      </c>
      <c r="D11" s="5" t="s">
        <v>29</v>
      </c>
    </row>
    <row r="12" spans="1:6" ht="58" customHeight="1">
      <c r="A12" s="5" t="s">
        <v>30</v>
      </c>
      <c r="B12" s="5" t="s">
        <v>31</v>
      </c>
      <c r="C12" s="5" t="s">
        <v>32</v>
      </c>
      <c r="D12" s="5" t="s">
        <v>33</v>
      </c>
    </row>
    <row r="13" spans="1:6" ht="58" customHeight="1">
      <c r="A13" s="5" t="s">
        <v>34</v>
      </c>
      <c r="B13" s="5" t="s">
        <v>35</v>
      </c>
      <c r="C13" s="5" t="s">
        <v>36</v>
      </c>
      <c r="D13" s="5" t="s">
        <v>37</v>
      </c>
    </row>
  </sheetData>
  <autoFilter ref="A4:D13"/>
  <mergeCells count="2">
    <mergeCell ref="A1:D1"/>
    <mergeCell ref="A2:D3"/>
  </mergeCells>
  <pageMargins left="0.7" right="0.7" top="0.75" bottom="0.75" header="0.3" footer="0.3"/>
  <pageSetup paperSize="9" fitToHeight="0" orientation="landscape"/>
  <headerFooter>
    <oddFooter>&amp;L菲律宾选品 · 证据审核&amp;R&amp;P / &amp;N</oddFooter>
  </headerFooter>
</worksheet>
</file>

<file path=xl/worksheets/sheet2.xml><?xml version="1.0" encoding="utf-8"?>
<worksheet xmlns="http://schemas.openxmlformats.org/spreadsheetml/2006/main" xmlns:r="http://schemas.openxmlformats.org/officeDocument/2006/relationships">
  <sheetPr>
    <pageSetUpPr fitToPage="1"/>
  </sheetPr>
  <dimension ref="A1:M26"/>
  <sheetViews>
    <sheetView showGridLines="0" zoomScale="85" zoomScaleNormal="85"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22.7109375" customWidth="1"/>
    <col min="2" max="2" width="30.7109375" customWidth="1"/>
    <col min="3" max="3" width="24.7109375" customWidth="1"/>
    <col min="4" max="4" width="65.7109375" customWidth="1"/>
    <col min="5" max="5" width="58.7109375" customWidth="1"/>
    <col min="6" max="6" width="46.7109375" customWidth="1"/>
    <col min="7" max="7" width="65.7109375" customWidth="1"/>
    <col min="8" max="8" width="50.7109375" customWidth="1"/>
    <col min="9" max="10" width="42.7109375" customWidth="1"/>
    <col min="11" max="13" width="22.7109375" customWidth="1"/>
  </cols>
  <sheetData>
    <row r="1" spans="1:13" ht="38" customHeight="1">
      <c r="A1" s="1" t="s">
        <v>38</v>
      </c>
      <c r="B1" s="1"/>
      <c r="C1" s="1"/>
      <c r="D1" s="1"/>
      <c r="E1" s="1"/>
      <c r="F1" s="1"/>
      <c r="G1" s="1"/>
      <c r="H1" s="1"/>
      <c r="I1" s="1"/>
      <c r="J1" s="1"/>
      <c r="K1" s="1"/>
      <c r="L1" s="1"/>
      <c r="M1" s="1"/>
    </row>
    <row r="2" spans="1:13" ht="26" customHeight="1">
      <c r="A2" s="2" t="s">
        <v>39</v>
      </c>
      <c r="B2" s="2"/>
      <c r="C2" s="2"/>
      <c r="D2" s="2"/>
      <c r="E2" s="2"/>
      <c r="F2" s="2"/>
      <c r="G2" s="2"/>
      <c r="H2" s="2"/>
      <c r="I2" s="2"/>
      <c r="J2" s="2"/>
      <c r="K2" s="2"/>
      <c r="L2" s="2"/>
      <c r="M2" s="2"/>
    </row>
    <row r="3" spans="1:13" ht="22" customHeight="1">
      <c r="A3" s="2"/>
      <c r="B3" s="2"/>
      <c r="C3" s="2"/>
      <c r="D3" s="2"/>
      <c r="E3" s="2"/>
      <c r="F3" s="2"/>
      <c r="G3" s="2"/>
      <c r="H3" s="2"/>
      <c r="I3" s="2"/>
      <c r="J3" s="2"/>
      <c r="K3" s="2"/>
      <c r="L3" s="2"/>
      <c r="M3" s="2"/>
    </row>
    <row r="4" spans="1:13" ht="34" customHeight="1">
      <c r="A4" s="4" t="s">
        <v>40</v>
      </c>
      <c r="B4" s="4" t="s">
        <v>41</v>
      </c>
      <c r="C4" s="4" t="s">
        <v>42</v>
      </c>
      <c r="D4" s="4" t="s">
        <v>43</v>
      </c>
      <c r="E4" s="4" t="s">
        <v>44</v>
      </c>
      <c r="F4" s="4" t="s">
        <v>45</v>
      </c>
      <c r="G4" s="4" t="s">
        <v>46</v>
      </c>
      <c r="H4" s="4" t="s">
        <v>47</v>
      </c>
      <c r="I4" s="4" t="s">
        <v>48</v>
      </c>
      <c r="J4" s="4" t="s">
        <v>49</v>
      </c>
      <c r="K4" s="4" t="s">
        <v>50</v>
      </c>
      <c r="L4" s="4" t="s">
        <v>51</v>
      </c>
      <c r="M4" s="4" t="s">
        <v>52</v>
      </c>
    </row>
    <row r="5" spans="1:13" ht="135" customHeight="1">
      <c r="A5" s="5" t="s">
        <v>53</v>
      </c>
      <c r="B5" s="5" t="s">
        <v>54</v>
      </c>
      <c r="C5" s="6" t="s">
        <v>55</v>
      </c>
      <c r="D5" s="5" t="s">
        <v>56</v>
      </c>
      <c r="E5" s="5" t="s">
        <v>57</v>
      </c>
      <c r="F5" s="5" t="s">
        <v>58</v>
      </c>
      <c r="G5" s="5" t="s">
        <v>59</v>
      </c>
      <c r="H5" s="5" t="s">
        <v>60</v>
      </c>
      <c r="I5" s="7" t="s">
        <v>61</v>
      </c>
      <c r="J5" s="7" t="s">
        <v>62</v>
      </c>
      <c r="K5" s="6"/>
      <c r="L5" s="6"/>
      <c r="M5" s="6"/>
    </row>
    <row r="6" spans="1:13" ht="135" customHeight="1">
      <c r="A6" s="5" t="s">
        <v>63</v>
      </c>
      <c r="B6" s="5" t="s">
        <v>64</v>
      </c>
      <c r="C6" s="6" t="s">
        <v>55</v>
      </c>
      <c r="D6" s="5" t="s">
        <v>65</v>
      </c>
      <c r="E6" s="5" t="s">
        <v>66</v>
      </c>
      <c r="F6" s="5" t="s">
        <v>67</v>
      </c>
      <c r="G6" s="5" t="s">
        <v>68</v>
      </c>
      <c r="H6" s="5" t="s">
        <v>69</v>
      </c>
      <c r="I6" s="7" t="s">
        <v>70</v>
      </c>
      <c r="J6" s="7" t="s">
        <v>71</v>
      </c>
      <c r="K6" s="6"/>
      <c r="L6" s="6"/>
      <c r="M6" s="6"/>
    </row>
    <row r="7" spans="1:13" ht="135" customHeight="1">
      <c r="A7" s="5" t="s">
        <v>72</v>
      </c>
      <c r="B7" s="5" t="s">
        <v>73</v>
      </c>
      <c r="C7" s="6" t="s">
        <v>55</v>
      </c>
      <c r="D7" s="5" t="s">
        <v>74</v>
      </c>
      <c r="E7" s="5" t="s">
        <v>75</v>
      </c>
      <c r="F7" s="5" t="s">
        <v>76</v>
      </c>
      <c r="G7" s="5" t="s">
        <v>77</v>
      </c>
      <c r="H7" s="5" t="s">
        <v>78</v>
      </c>
      <c r="I7" s="7" t="s">
        <v>79</v>
      </c>
      <c r="J7" s="5"/>
      <c r="K7" s="6"/>
      <c r="L7" s="6"/>
      <c r="M7" s="6"/>
    </row>
    <row r="8" spans="1:13" ht="135" customHeight="1">
      <c r="A8" s="5" t="s">
        <v>80</v>
      </c>
      <c r="B8" s="5" t="s">
        <v>81</v>
      </c>
      <c r="C8" s="6" t="s">
        <v>55</v>
      </c>
      <c r="D8" s="5" t="s">
        <v>82</v>
      </c>
      <c r="E8" s="5" t="s">
        <v>83</v>
      </c>
      <c r="F8" s="5" t="s">
        <v>84</v>
      </c>
      <c r="G8" s="5" t="s">
        <v>85</v>
      </c>
      <c r="H8" s="5" t="s">
        <v>86</v>
      </c>
      <c r="I8" s="7" t="s">
        <v>87</v>
      </c>
      <c r="J8" s="5"/>
      <c r="K8" s="6"/>
      <c r="L8" s="6"/>
      <c r="M8" s="6"/>
    </row>
    <row r="9" spans="1:13" ht="135" customHeight="1">
      <c r="A9" s="5" t="s">
        <v>88</v>
      </c>
      <c r="B9" s="5" t="s">
        <v>89</v>
      </c>
      <c r="C9" s="6" t="s">
        <v>55</v>
      </c>
      <c r="D9" s="5" t="s">
        <v>90</v>
      </c>
      <c r="E9" s="5" t="s">
        <v>91</v>
      </c>
      <c r="F9" s="5" t="s">
        <v>92</v>
      </c>
      <c r="G9" s="5" t="s">
        <v>93</v>
      </c>
      <c r="H9" s="5" t="s">
        <v>94</v>
      </c>
      <c r="I9" s="7" t="s">
        <v>95</v>
      </c>
      <c r="J9" s="5"/>
      <c r="K9" s="6"/>
      <c r="L9" s="6"/>
      <c r="M9" s="6"/>
    </row>
    <row r="10" spans="1:13" ht="135" customHeight="1">
      <c r="A10" s="5" t="s">
        <v>96</v>
      </c>
      <c r="B10" s="5" t="s">
        <v>97</v>
      </c>
      <c r="C10" s="6" t="s">
        <v>55</v>
      </c>
      <c r="D10" s="5" t="s">
        <v>98</v>
      </c>
      <c r="E10" s="5" t="s">
        <v>99</v>
      </c>
      <c r="F10" s="5" t="s">
        <v>100</v>
      </c>
      <c r="G10" s="5" t="s">
        <v>101</v>
      </c>
      <c r="H10" s="5" t="s">
        <v>102</v>
      </c>
      <c r="I10" s="7" t="s">
        <v>103</v>
      </c>
      <c r="J10" s="5"/>
      <c r="K10" s="6"/>
      <c r="L10" s="6"/>
      <c r="M10" s="6"/>
    </row>
    <row r="11" spans="1:13" ht="135" customHeight="1">
      <c r="A11" s="5" t="s">
        <v>104</v>
      </c>
      <c r="B11" s="5" t="s">
        <v>105</v>
      </c>
      <c r="C11" s="6" t="s">
        <v>55</v>
      </c>
      <c r="D11" s="5" t="s">
        <v>106</v>
      </c>
      <c r="E11" s="5" t="s">
        <v>107</v>
      </c>
      <c r="F11" s="5" t="s">
        <v>108</v>
      </c>
      <c r="G11" s="5" t="s">
        <v>109</v>
      </c>
      <c r="H11" s="5" t="s">
        <v>110</v>
      </c>
      <c r="I11" s="7" t="s">
        <v>111</v>
      </c>
      <c r="J11" s="7" t="s">
        <v>112</v>
      </c>
      <c r="K11" s="6"/>
      <c r="L11" s="6"/>
      <c r="M11" s="6"/>
    </row>
    <row r="12" spans="1:13" ht="135" customHeight="1">
      <c r="A12" s="5" t="s">
        <v>113</v>
      </c>
      <c r="B12" s="5" t="s">
        <v>114</v>
      </c>
      <c r="C12" s="6" t="s">
        <v>55</v>
      </c>
      <c r="D12" s="5" t="s">
        <v>115</v>
      </c>
      <c r="E12" s="5" t="s">
        <v>116</v>
      </c>
      <c r="F12" s="5" t="s">
        <v>117</v>
      </c>
      <c r="G12" s="5" t="s">
        <v>118</v>
      </c>
      <c r="H12" s="5" t="s">
        <v>119</v>
      </c>
      <c r="I12" s="7" t="s">
        <v>120</v>
      </c>
      <c r="J12" s="5"/>
      <c r="K12" s="6"/>
      <c r="L12" s="6"/>
      <c r="M12" s="6"/>
    </row>
    <row r="13" spans="1:13" ht="135" customHeight="1">
      <c r="A13" s="5" t="s">
        <v>121</v>
      </c>
      <c r="B13" s="5" t="s">
        <v>122</v>
      </c>
      <c r="C13" s="6" t="s">
        <v>55</v>
      </c>
      <c r="D13" s="5" t="s">
        <v>123</v>
      </c>
      <c r="E13" s="5" t="s">
        <v>124</v>
      </c>
      <c r="F13" s="5" t="s">
        <v>125</v>
      </c>
      <c r="G13" s="5" t="s">
        <v>126</v>
      </c>
      <c r="H13" s="5" t="s">
        <v>127</v>
      </c>
      <c r="I13" s="7" t="s">
        <v>128</v>
      </c>
      <c r="J13" s="5"/>
      <c r="K13" s="6"/>
      <c r="L13" s="6"/>
      <c r="M13" s="6"/>
    </row>
    <row r="14" spans="1:13" ht="135" customHeight="1">
      <c r="A14" s="5" t="s">
        <v>129</v>
      </c>
      <c r="B14" s="5" t="s">
        <v>130</v>
      </c>
      <c r="C14" s="6" t="s">
        <v>55</v>
      </c>
      <c r="D14" s="5" t="s">
        <v>131</v>
      </c>
      <c r="E14" s="5" t="s">
        <v>132</v>
      </c>
      <c r="F14" s="5" t="s">
        <v>133</v>
      </c>
      <c r="G14" s="5" t="s">
        <v>134</v>
      </c>
      <c r="H14" s="5" t="s">
        <v>135</v>
      </c>
      <c r="I14" s="7" t="s">
        <v>136</v>
      </c>
      <c r="J14" s="5"/>
      <c r="K14" s="6"/>
      <c r="L14" s="6"/>
      <c r="M14" s="6"/>
    </row>
    <row r="15" spans="1:13" ht="135" customHeight="1">
      <c r="A15" s="5" t="s">
        <v>137</v>
      </c>
      <c r="B15" s="5" t="s">
        <v>138</v>
      </c>
      <c r="C15" s="6" t="s">
        <v>55</v>
      </c>
      <c r="D15" s="5" t="s">
        <v>139</v>
      </c>
      <c r="E15" s="5" t="s">
        <v>140</v>
      </c>
      <c r="F15" s="5" t="s">
        <v>141</v>
      </c>
      <c r="G15" s="5" t="s">
        <v>142</v>
      </c>
      <c r="H15" s="5" t="s">
        <v>143</v>
      </c>
      <c r="I15" s="7" t="s">
        <v>144</v>
      </c>
      <c r="J15" s="5"/>
      <c r="K15" s="6"/>
      <c r="L15" s="6"/>
      <c r="M15" s="6"/>
    </row>
    <row r="16" spans="1:13" ht="135" customHeight="1">
      <c r="A16" s="5" t="s">
        <v>145</v>
      </c>
      <c r="B16" s="5" t="s">
        <v>146</v>
      </c>
      <c r="C16" s="6" t="s">
        <v>55</v>
      </c>
      <c r="D16" s="5" t="s">
        <v>147</v>
      </c>
      <c r="E16" s="5" t="s">
        <v>148</v>
      </c>
      <c r="F16" s="5" t="s">
        <v>149</v>
      </c>
      <c r="G16" s="5" t="s">
        <v>150</v>
      </c>
      <c r="H16" s="5" t="s">
        <v>151</v>
      </c>
      <c r="I16" s="7" t="s">
        <v>152</v>
      </c>
      <c r="J16" s="5"/>
      <c r="K16" s="6"/>
      <c r="L16" s="6"/>
      <c r="M16" s="6"/>
    </row>
    <row r="17" spans="1:13" ht="135" customHeight="1">
      <c r="A17" s="5" t="s">
        <v>153</v>
      </c>
      <c r="B17" s="5" t="s">
        <v>154</v>
      </c>
      <c r="C17" s="6" t="s">
        <v>55</v>
      </c>
      <c r="D17" s="5" t="s">
        <v>155</v>
      </c>
      <c r="E17" s="5" t="s">
        <v>156</v>
      </c>
      <c r="F17" s="5" t="s">
        <v>157</v>
      </c>
      <c r="G17" s="5" t="s">
        <v>158</v>
      </c>
      <c r="H17" s="5" t="s">
        <v>159</v>
      </c>
      <c r="I17" s="7" t="s">
        <v>160</v>
      </c>
      <c r="J17" s="7" t="s">
        <v>161</v>
      </c>
      <c r="K17" s="6"/>
      <c r="L17" s="6"/>
      <c r="M17" s="6"/>
    </row>
    <row r="18" spans="1:13" ht="135" customHeight="1">
      <c r="A18" s="5" t="s">
        <v>162</v>
      </c>
      <c r="B18" s="5" t="s">
        <v>163</v>
      </c>
      <c r="C18" s="6" t="s">
        <v>55</v>
      </c>
      <c r="D18" s="5" t="s">
        <v>164</v>
      </c>
      <c r="E18" s="5" t="s">
        <v>165</v>
      </c>
      <c r="F18" s="5" t="s">
        <v>166</v>
      </c>
      <c r="G18" s="5" t="s">
        <v>167</v>
      </c>
      <c r="H18" s="5" t="s">
        <v>168</v>
      </c>
      <c r="I18" s="7" t="s">
        <v>169</v>
      </c>
      <c r="J18" s="7" t="s">
        <v>170</v>
      </c>
      <c r="K18" s="6"/>
      <c r="L18" s="6"/>
      <c r="M18" s="6"/>
    </row>
    <row r="19" spans="1:13" ht="135" customHeight="1">
      <c r="A19" s="5" t="s">
        <v>171</v>
      </c>
      <c r="B19" s="5" t="s">
        <v>172</v>
      </c>
      <c r="C19" s="6" t="s">
        <v>55</v>
      </c>
      <c r="D19" s="5" t="s">
        <v>173</v>
      </c>
      <c r="E19" s="5" t="s">
        <v>174</v>
      </c>
      <c r="F19" s="5" t="s">
        <v>175</v>
      </c>
      <c r="G19" s="5" t="s">
        <v>176</v>
      </c>
      <c r="H19" s="5" t="s">
        <v>177</v>
      </c>
      <c r="I19" s="7" t="s">
        <v>178</v>
      </c>
      <c r="J19" s="7" t="s">
        <v>179</v>
      </c>
      <c r="K19" s="6"/>
      <c r="L19" s="6"/>
      <c r="M19" s="6"/>
    </row>
    <row r="20" spans="1:13" ht="135" customHeight="1">
      <c r="A20" s="5" t="s">
        <v>180</v>
      </c>
      <c r="B20" s="5" t="s">
        <v>181</v>
      </c>
      <c r="C20" s="6" t="s">
        <v>55</v>
      </c>
      <c r="D20" s="5" t="s">
        <v>182</v>
      </c>
      <c r="E20" s="5" t="s">
        <v>183</v>
      </c>
      <c r="F20" s="5" t="s">
        <v>184</v>
      </c>
      <c r="G20" s="5" t="s">
        <v>185</v>
      </c>
      <c r="H20" s="5" t="s">
        <v>186</v>
      </c>
      <c r="I20" s="7" t="s">
        <v>187</v>
      </c>
      <c r="J20" s="6"/>
      <c r="K20" s="6"/>
      <c r="L20" s="6"/>
      <c r="M20" s="6"/>
    </row>
    <row r="21" spans="1:13" ht="135" customHeight="1">
      <c r="A21" s="5" t="s">
        <v>188</v>
      </c>
      <c r="B21" s="5" t="s">
        <v>189</v>
      </c>
      <c r="C21" s="6" t="s">
        <v>55</v>
      </c>
      <c r="D21" s="5" t="s">
        <v>190</v>
      </c>
      <c r="E21" s="5" t="s">
        <v>191</v>
      </c>
      <c r="F21" s="5" t="s">
        <v>192</v>
      </c>
      <c r="G21" s="5" t="s">
        <v>193</v>
      </c>
      <c r="H21" s="5" t="s">
        <v>194</v>
      </c>
      <c r="I21" s="7" t="s">
        <v>195</v>
      </c>
      <c r="J21" s="6"/>
      <c r="K21" s="6"/>
      <c r="L21" s="6"/>
      <c r="M21" s="6"/>
    </row>
    <row r="22" spans="1:13" ht="135" customHeight="1">
      <c r="A22" s="5" t="s">
        <v>196</v>
      </c>
      <c r="B22" s="5" t="s">
        <v>197</v>
      </c>
      <c r="C22" s="6" t="s">
        <v>55</v>
      </c>
      <c r="D22" s="5" t="s">
        <v>198</v>
      </c>
      <c r="E22" s="5" t="s">
        <v>199</v>
      </c>
      <c r="F22" s="5" t="s">
        <v>200</v>
      </c>
      <c r="G22" s="5" t="s">
        <v>201</v>
      </c>
      <c r="H22" s="5" t="s">
        <v>202</v>
      </c>
      <c r="I22" s="7" t="s">
        <v>203</v>
      </c>
      <c r="J22" s="6"/>
      <c r="K22" s="6"/>
      <c r="L22" s="6"/>
      <c r="M22" s="6"/>
    </row>
    <row r="23" spans="1:13" ht="135" customHeight="1">
      <c r="A23" s="5" t="s">
        <v>204</v>
      </c>
      <c r="B23" s="5" t="s">
        <v>205</v>
      </c>
      <c r="C23" s="6" t="s">
        <v>55</v>
      </c>
      <c r="D23" s="5" t="s">
        <v>206</v>
      </c>
      <c r="E23" s="5" t="s">
        <v>207</v>
      </c>
      <c r="F23" s="5" t="s">
        <v>208</v>
      </c>
      <c r="G23" s="5" t="s">
        <v>209</v>
      </c>
      <c r="H23" s="5" t="s">
        <v>210</v>
      </c>
      <c r="I23" s="7" t="s">
        <v>211</v>
      </c>
      <c r="J23" s="6"/>
      <c r="K23" s="6"/>
      <c r="L23" s="6"/>
      <c r="M23" s="6"/>
    </row>
    <row r="24" spans="1:13" ht="135" customHeight="1">
      <c r="A24" s="5" t="s">
        <v>212</v>
      </c>
      <c r="B24" s="5" t="s">
        <v>213</v>
      </c>
      <c r="C24" s="6" t="s">
        <v>55</v>
      </c>
      <c r="D24" s="5" t="s">
        <v>214</v>
      </c>
      <c r="E24" s="5" t="s">
        <v>215</v>
      </c>
      <c r="F24" s="5" t="s">
        <v>216</v>
      </c>
      <c r="G24" s="5" t="s">
        <v>217</v>
      </c>
      <c r="H24" s="5" t="s">
        <v>218</v>
      </c>
      <c r="I24" s="7" t="s">
        <v>219</v>
      </c>
      <c r="J24" s="6"/>
      <c r="K24" s="6"/>
      <c r="L24" s="6"/>
      <c r="M24" s="6"/>
    </row>
    <row r="25" spans="1:13" ht="135" customHeight="1">
      <c r="A25" s="5" t="s">
        <v>220</v>
      </c>
      <c r="B25" s="5" t="s">
        <v>221</v>
      </c>
      <c r="C25" s="6" t="s">
        <v>55</v>
      </c>
      <c r="D25" s="5" t="s">
        <v>222</v>
      </c>
      <c r="E25" s="5" t="s">
        <v>223</v>
      </c>
      <c r="F25" s="5" t="s">
        <v>224</v>
      </c>
      <c r="G25" s="5" t="s">
        <v>225</v>
      </c>
      <c r="H25" s="5" t="s">
        <v>226</v>
      </c>
      <c r="I25" s="7" t="s">
        <v>227</v>
      </c>
      <c r="J25" s="6"/>
      <c r="K25" s="6"/>
      <c r="L25" s="6"/>
      <c r="M25" s="6"/>
    </row>
    <row r="26" spans="1:13" ht="135" customHeight="1">
      <c r="A26" s="5" t="s">
        <v>228</v>
      </c>
      <c r="B26" s="5" t="s">
        <v>229</v>
      </c>
      <c r="C26" s="6" t="s">
        <v>55</v>
      </c>
      <c r="D26" s="5" t="s">
        <v>230</v>
      </c>
      <c r="E26" s="5" t="s">
        <v>231</v>
      </c>
      <c r="F26" s="5" t="s">
        <v>232</v>
      </c>
      <c r="G26" s="5" t="s">
        <v>233</v>
      </c>
      <c r="H26" s="5" t="s">
        <v>234</v>
      </c>
      <c r="I26" s="7" t="s">
        <v>235</v>
      </c>
      <c r="J26" s="6"/>
      <c r="K26" s="6"/>
      <c r="L26" s="6"/>
      <c r="M26" s="6"/>
    </row>
  </sheetData>
  <autoFilter ref="A4:M26"/>
  <mergeCells count="2">
    <mergeCell ref="A1:M1"/>
    <mergeCell ref="A2:M3"/>
  </mergeCells>
  <hyperlinks>
    <hyperlink ref="I5" r:id="rId1"/>
    <hyperlink ref="J5" r:id="rId2"/>
    <hyperlink ref="I6" r:id="rId3"/>
    <hyperlink ref="J6" r:id="rId4"/>
    <hyperlink ref="I7" r:id="rId5"/>
    <hyperlink ref="I8" r:id="rId6"/>
    <hyperlink ref="I9" r:id="rId7"/>
    <hyperlink ref="I10" r:id="rId8"/>
    <hyperlink ref="I11" r:id="rId9"/>
    <hyperlink ref="J11" r:id="rId10"/>
    <hyperlink ref="I12" r:id="rId11"/>
    <hyperlink ref="I13" r:id="rId12"/>
    <hyperlink ref="I14" r:id="rId13"/>
    <hyperlink ref="I15" r:id="rId14"/>
    <hyperlink ref="I16" r:id="rId15"/>
    <hyperlink ref="I17" r:id="rId16"/>
    <hyperlink ref="J17" r:id="rId17"/>
    <hyperlink ref="I18" r:id="rId18"/>
    <hyperlink ref="J18" r:id="rId19"/>
    <hyperlink ref="I19" r:id="rId20"/>
    <hyperlink ref="J19" r:id="rId21"/>
    <hyperlink ref="I20" r:id="rId22"/>
    <hyperlink ref="I21" r:id="rId23"/>
    <hyperlink ref="I22" r:id="rId24"/>
    <hyperlink ref="I23" r:id="rId25"/>
    <hyperlink ref="I24" r:id="rId26"/>
    <hyperlink ref="I25" r:id="rId27"/>
    <hyperlink ref="I26" r:id="rId28"/>
  </hyperlinks>
  <pageMargins left="0.7" right="0.7" top="0.75" bottom="0.75" header="0.3" footer="0.3"/>
  <pageSetup paperSize="9" fitToHeight="0" orientation="landscape"/>
  <headerFooter>
    <oddFooter>&amp;L菲律宾选品 · 证据审核&amp;R&amp;P / &amp;N</oddFooter>
  </headerFooter>
</worksheet>
</file>

<file path=xl/worksheets/sheet3.xml><?xml version="1.0" encoding="utf-8"?>
<worksheet xmlns="http://schemas.openxmlformats.org/spreadsheetml/2006/main" xmlns:r="http://schemas.openxmlformats.org/officeDocument/2006/relationships">
  <sheetPr>
    <pageSetUpPr fitToPage="1"/>
  </sheetPr>
  <dimension ref="A1:H202"/>
  <sheetViews>
    <sheetView showGridLines="0" zoomScale="85" zoomScaleNormal="85"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22.7109375" customWidth="1"/>
    <col min="2" max="2" width="28.7109375" customWidth="1"/>
    <col min="3" max="3" width="22.7109375" customWidth="1"/>
    <col min="4" max="4" width="62.7109375" customWidth="1"/>
    <col min="5" max="5" width="67.7109375" customWidth="1"/>
    <col min="6" max="6" width="21.7109375" customWidth="1"/>
    <col min="7" max="7" width="62.7109375" customWidth="1"/>
    <col min="8" max="8" width="65.7109375" customWidth="1"/>
  </cols>
  <sheetData>
    <row r="1" spans="1:8" ht="38" customHeight="1">
      <c r="A1" s="1" t="s">
        <v>236</v>
      </c>
      <c r="B1" s="1"/>
      <c r="C1" s="1"/>
      <c r="D1" s="1"/>
      <c r="E1" s="1"/>
      <c r="F1" s="1"/>
      <c r="G1" s="1"/>
      <c r="H1" s="1"/>
    </row>
    <row r="2" spans="1:8" ht="26" customHeight="1">
      <c r="A2" s="2" t="s">
        <v>237</v>
      </c>
      <c r="B2" s="2"/>
      <c r="C2" s="2"/>
      <c r="D2" s="2"/>
      <c r="E2" s="2"/>
      <c r="F2" s="2"/>
      <c r="G2" s="2"/>
      <c r="H2" s="2"/>
    </row>
    <row r="3" spans="1:8" ht="22" customHeight="1">
      <c r="A3" s="2"/>
      <c r="B3" s="2"/>
      <c r="C3" s="2"/>
      <c r="D3" s="2"/>
      <c r="E3" s="2"/>
      <c r="F3" s="2"/>
      <c r="G3" s="2"/>
      <c r="H3" s="2"/>
    </row>
    <row r="4" spans="1:8" ht="34" customHeight="1">
      <c r="A4" s="4" t="s">
        <v>40</v>
      </c>
      <c r="B4" s="4" t="s">
        <v>238</v>
      </c>
      <c r="C4" s="4" t="s">
        <v>239</v>
      </c>
      <c r="D4" s="4" t="s">
        <v>240</v>
      </c>
      <c r="E4" s="4" t="s">
        <v>241</v>
      </c>
      <c r="F4" s="4" t="s">
        <v>242</v>
      </c>
      <c r="G4" s="4" t="s">
        <v>243</v>
      </c>
      <c r="H4" s="4" t="s">
        <v>244</v>
      </c>
    </row>
    <row r="5" spans="1:8" ht="90" customHeight="1">
      <c r="A5" s="5" t="s">
        <v>53</v>
      </c>
      <c r="B5" s="5" t="s">
        <v>54</v>
      </c>
      <c r="C5" s="5" t="s">
        <v>245</v>
      </c>
      <c r="D5" s="5" t="s">
        <v>246</v>
      </c>
      <c r="E5" s="5" t="s">
        <v>247</v>
      </c>
      <c r="F5" s="5" t="s">
        <v>55</v>
      </c>
      <c r="G5" s="5" t="s">
        <v>248</v>
      </c>
      <c r="H5" s="5" t="s">
        <v>249</v>
      </c>
    </row>
    <row r="6" spans="1:8" ht="90" customHeight="1">
      <c r="A6" s="5" t="s">
        <v>53</v>
      </c>
      <c r="B6" s="5" t="s">
        <v>54</v>
      </c>
      <c r="C6" s="5" t="s">
        <v>250</v>
      </c>
      <c r="D6" s="5" t="s">
        <v>251</v>
      </c>
      <c r="E6" s="5" t="s">
        <v>252</v>
      </c>
      <c r="F6" s="5" t="s">
        <v>55</v>
      </c>
      <c r="G6" s="5" t="s">
        <v>253</v>
      </c>
      <c r="H6" s="5" t="s">
        <v>254</v>
      </c>
    </row>
    <row r="7" spans="1:8" ht="90" customHeight="1">
      <c r="A7" s="5" t="s">
        <v>53</v>
      </c>
      <c r="B7" s="5" t="s">
        <v>54</v>
      </c>
      <c r="C7" s="5" t="s">
        <v>255</v>
      </c>
      <c r="D7" s="5" t="s">
        <v>256</v>
      </c>
      <c r="E7" s="5" t="s">
        <v>257</v>
      </c>
      <c r="F7" s="5" t="s">
        <v>55</v>
      </c>
      <c r="G7" s="5" t="s">
        <v>258</v>
      </c>
      <c r="H7" s="5" t="s">
        <v>249</v>
      </c>
    </row>
    <row r="8" spans="1:8" ht="90" customHeight="1">
      <c r="A8" s="5" t="s">
        <v>53</v>
      </c>
      <c r="B8" s="5" t="s">
        <v>54</v>
      </c>
      <c r="C8" s="5" t="s">
        <v>259</v>
      </c>
      <c r="D8" s="5" t="s">
        <v>260</v>
      </c>
      <c r="E8" s="5" t="s">
        <v>261</v>
      </c>
      <c r="F8" s="5" t="s">
        <v>55</v>
      </c>
      <c r="G8" s="5" t="s">
        <v>262</v>
      </c>
      <c r="H8" s="5" t="s">
        <v>249</v>
      </c>
    </row>
    <row r="9" spans="1:8" ht="90" customHeight="1">
      <c r="A9" s="5" t="s">
        <v>53</v>
      </c>
      <c r="B9" s="5" t="s">
        <v>54</v>
      </c>
      <c r="C9" s="5" t="s">
        <v>263</v>
      </c>
      <c r="D9" s="5" t="s">
        <v>264</v>
      </c>
      <c r="E9" s="5" t="s">
        <v>265</v>
      </c>
      <c r="F9" s="5" t="s">
        <v>266</v>
      </c>
      <c r="G9" s="5" t="s">
        <v>267</v>
      </c>
      <c r="H9" s="5" t="s">
        <v>268</v>
      </c>
    </row>
    <row r="10" spans="1:8" ht="90" customHeight="1">
      <c r="A10" s="5" t="s">
        <v>53</v>
      </c>
      <c r="B10" s="5" t="s">
        <v>54</v>
      </c>
      <c r="C10" s="5" t="s">
        <v>269</v>
      </c>
      <c r="D10" s="5" t="s">
        <v>270</v>
      </c>
      <c r="E10" s="5" t="s">
        <v>271</v>
      </c>
      <c r="F10" s="5" t="s">
        <v>55</v>
      </c>
      <c r="G10" s="5" t="s">
        <v>272</v>
      </c>
      <c r="H10" s="5" t="s">
        <v>249</v>
      </c>
    </row>
    <row r="11" spans="1:8" ht="90" customHeight="1">
      <c r="A11" s="5" t="s">
        <v>53</v>
      </c>
      <c r="B11" s="5" t="s">
        <v>54</v>
      </c>
      <c r="C11" s="5" t="s">
        <v>273</v>
      </c>
      <c r="D11" s="5" t="s">
        <v>274</v>
      </c>
      <c r="E11" s="5" t="s">
        <v>275</v>
      </c>
      <c r="F11" s="5" t="s">
        <v>276</v>
      </c>
      <c r="G11" s="5" t="s">
        <v>277</v>
      </c>
      <c r="H11" s="5" t="s">
        <v>278</v>
      </c>
    </row>
    <row r="12" spans="1:8" ht="90" customHeight="1">
      <c r="A12" s="5" t="s">
        <v>53</v>
      </c>
      <c r="B12" s="5" t="s">
        <v>54</v>
      </c>
      <c r="C12" s="5" t="s">
        <v>279</v>
      </c>
      <c r="D12" s="5" t="s">
        <v>280</v>
      </c>
      <c r="E12" s="5" t="s">
        <v>281</v>
      </c>
      <c r="F12" s="5" t="s">
        <v>55</v>
      </c>
      <c r="G12" s="5" t="s">
        <v>282</v>
      </c>
      <c r="H12" s="5" t="s">
        <v>283</v>
      </c>
    </row>
    <row r="13" spans="1:8" ht="90" customHeight="1">
      <c r="A13" s="5" t="s">
        <v>53</v>
      </c>
      <c r="B13" s="5" t="s">
        <v>54</v>
      </c>
      <c r="C13" s="5" t="s">
        <v>284</v>
      </c>
      <c r="D13" s="5" t="s">
        <v>285</v>
      </c>
      <c r="E13" s="5" t="s">
        <v>286</v>
      </c>
      <c r="F13" s="5" t="s">
        <v>55</v>
      </c>
      <c r="G13" s="5" t="s">
        <v>287</v>
      </c>
      <c r="H13" s="5" t="s">
        <v>288</v>
      </c>
    </row>
    <row r="14" spans="1:8" ht="90" customHeight="1">
      <c r="A14" s="5" t="s">
        <v>63</v>
      </c>
      <c r="B14" s="5" t="s">
        <v>64</v>
      </c>
      <c r="C14" s="5" t="s">
        <v>245</v>
      </c>
      <c r="D14" s="5" t="s">
        <v>246</v>
      </c>
      <c r="E14" s="5" t="s">
        <v>247</v>
      </c>
      <c r="F14" s="5" t="s">
        <v>55</v>
      </c>
      <c r="G14" s="5" t="s">
        <v>248</v>
      </c>
      <c r="H14" s="5" t="s">
        <v>289</v>
      </c>
    </row>
    <row r="15" spans="1:8" ht="90" customHeight="1">
      <c r="A15" s="5" t="s">
        <v>63</v>
      </c>
      <c r="B15" s="5" t="s">
        <v>64</v>
      </c>
      <c r="C15" s="5" t="s">
        <v>250</v>
      </c>
      <c r="D15" s="5" t="s">
        <v>290</v>
      </c>
      <c r="E15" s="5" t="s">
        <v>252</v>
      </c>
      <c r="F15" s="5" t="s">
        <v>55</v>
      </c>
      <c r="G15" s="5" t="s">
        <v>253</v>
      </c>
      <c r="H15" s="5" t="s">
        <v>291</v>
      </c>
    </row>
    <row r="16" spans="1:8" ht="90" customHeight="1">
      <c r="A16" s="5" t="s">
        <v>63</v>
      </c>
      <c r="B16" s="5" t="s">
        <v>64</v>
      </c>
      <c r="C16" s="5" t="s">
        <v>255</v>
      </c>
      <c r="D16" s="5" t="s">
        <v>292</v>
      </c>
      <c r="E16" s="5" t="s">
        <v>257</v>
      </c>
      <c r="F16" s="5" t="s">
        <v>55</v>
      </c>
      <c r="G16" s="5" t="s">
        <v>258</v>
      </c>
      <c r="H16" s="5" t="s">
        <v>289</v>
      </c>
    </row>
    <row r="17" spans="1:8" ht="90" customHeight="1">
      <c r="A17" s="5" t="s">
        <v>63</v>
      </c>
      <c r="B17" s="5" t="s">
        <v>64</v>
      </c>
      <c r="C17" s="5" t="s">
        <v>259</v>
      </c>
      <c r="D17" s="5" t="s">
        <v>260</v>
      </c>
      <c r="E17" s="5" t="s">
        <v>261</v>
      </c>
      <c r="F17" s="5" t="s">
        <v>55</v>
      </c>
      <c r="G17" s="5" t="s">
        <v>293</v>
      </c>
      <c r="H17" s="5" t="s">
        <v>289</v>
      </c>
    </row>
    <row r="18" spans="1:8" ht="90" customHeight="1">
      <c r="A18" s="5" t="s">
        <v>63</v>
      </c>
      <c r="B18" s="5" t="s">
        <v>64</v>
      </c>
      <c r="C18" s="5" t="s">
        <v>263</v>
      </c>
      <c r="D18" s="5" t="s">
        <v>294</v>
      </c>
      <c r="E18" s="5" t="s">
        <v>265</v>
      </c>
      <c r="F18" s="5" t="s">
        <v>266</v>
      </c>
      <c r="G18" s="5" t="s">
        <v>295</v>
      </c>
      <c r="H18" s="5" t="s">
        <v>296</v>
      </c>
    </row>
    <row r="19" spans="1:8" ht="90" customHeight="1">
      <c r="A19" s="5" t="s">
        <v>63</v>
      </c>
      <c r="B19" s="5" t="s">
        <v>64</v>
      </c>
      <c r="C19" s="5" t="s">
        <v>269</v>
      </c>
      <c r="D19" s="5" t="s">
        <v>270</v>
      </c>
      <c r="E19" s="5" t="s">
        <v>271</v>
      </c>
      <c r="F19" s="5" t="s">
        <v>55</v>
      </c>
      <c r="G19" s="5" t="s">
        <v>272</v>
      </c>
      <c r="H19" s="5" t="s">
        <v>289</v>
      </c>
    </row>
    <row r="20" spans="1:8" ht="90" customHeight="1">
      <c r="A20" s="5" t="s">
        <v>63</v>
      </c>
      <c r="B20" s="5" t="s">
        <v>64</v>
      </c>
      <c r="C20" s="5" t="s">
        <v>273</v>
      </c>
      <c r="D20" s="5" t="s">
        <v>274</v>
      </c>
      <c r="E20" s="5" t="s">
        <v>275</v>
      </c>
      <c r="F20" s="5" t="s">
        <v>276</v>
      </c>
      <c r="G20" s="5" t="s">
        <v>277</v>
      </c>
      <c r="H20" s="5" t="s">
        <v>278</v>
      </c>
    </row>
    <row r="21" spans="1:8" ht="90" customHeight="1">
      <c r="A21" s="5" t="s">
        <v>63</v>
      </c>
      <c r="B21" s="5" t="s">
        <v>64</v>
      </c>
      <c r="C21" s="5" t="s">
        <v>279</v>
      </c>
      <c r="D21" s="5" t="s">
        <v>280</v>
      </c>
      <c r="E21" s="5" t="s">
        <v>281</v>
      </c>
      <c r="F21" s="5" t="s">
        <v>55</v>
      </c>
      <c r="G21" s="5" t="s">
        <v>282</v>
      </c>
      <c r="H21" s="5" t="s">
        <v>283</v>
      </c>
    </row>
    <row r="22" spans="1:8" ht="90" customHeight="1">
      <c r="A22" s="5" t="s">
        <v>63</v>
      </c>
      <c r="B22" s="5" t="s">
        <v>64</v>
      </c>
      <c r="C22" s="5" t="s">
        <v>284</v>
      </c>
      <c r="D22" s="5" t="s">
        <v>285</v>
      </c>
      <c r="E22" s="5" t="s">
        <v>286</v>
      </c>
      <c r="F22" s="5" t="s">
        <v>55</v>
      </c>
      <c r="G22" s="5" t="s">
        <v>297</v>
      </c>
      <c r="H22" s="5" t="s">
        <v>298</v>
      </c>
    </row>
    <row r="23" spans="1:8" ht="90" customHeight="1">
      <c r="A23" s="5" t="s">
        <v>72</v>
      </c>
      <c r="B23" s="5" t="s">
        <v>73</v>
      </c>
      <c r="C23" s="5" t="s">
        <v>245</v>
      </c>
      <c r="D23" s="5" t="s">
        <v>246</v>
      </c>
      <c r="E23" s="5" t="s">
        <v>247</v>
      </c>
      <c r="F23" s="5" t="s">
        <v>55</v>
      </c>
      <c r="G23" s="5" t="s">
        <v>248</v>
      </c>
      <c r="H23" s="5" t="s">
        <v>299</v>
      </c>
    </row>
    <row r="24" spans="1:8" ht="90" customHeight="1">
      <c r="A24" s="5" t="s">
        <v>72</v>
      </c>
      <c r="B24" s="5" t="s">
        <v>73</v>
      </c>
      <c r="C24" s="5" t="s">
        <v>250</v>
      </c>
      <c r="D24" s="5" t="s">
        <v>300</v>
      </c>
      <c r="E24" s="5" t="s">
        <v>252</v>
      </c>
      <c r="F24" s="5" t="s">
        <v>55</v>
      </c>
      <c r="G24" s="5" t="s">
        <v>253</v>
      </c>
      <c r="H24" s="5" t="s">
        <v>301</v>
      </c>
    </row>
    <row r="25" spans="1:8" ht="90" customHeight="1">
      <c r="A25" s="5" t="s">
        <v>72</v>
      </c>
      <c r="B25" s="5" t="s">
        <v>73</v>
      </c>
      <c r="C25" s="5" t="s">
        <v>255</v>
      </c>
      <c r="D25" s="5" t="s">
        <v>302</v>
      </c>
      <c r="E25" s="5" t="s">
        <v>257</v>
      </c>
      <c r="F25" s="5" t="s">
        <v>55</v>
      </c>
      <c r="G25" s="5" t="s">
        <v>258</v>
      </c>
      <c r="H25" s="5" t="s">
        <v>299</v>
      </c>
    </row>
    <row r="26" spans="1:8" ht="90" customHeight="1">
      <c r="A26" s="5" t="s">
        <v>72</v>
      </c>
      <c r="B26" s="5" t="s">
        <v>73</v>
      </c>
      <c r="C26" s="5" t="s">
        <v>259</v>
      </c>
      <c r="D26" s="5" t="s">
        <v>260</v>
      </c>
      <c r="E26" s="5" t="s">
        <v>261</v>
      </c>
      <c r="F26" s="5" t="s">
        <v>55</v>
      </c>
      <c r="G26" s="5" t="s">
        <v>303</v>
      </c>
      <c r="H26" s="5" t="s">
        <v>299</v>
      </c>
    </row>
    <row r="27" spans="1:8" ht="90" customHeight="1">
      <c r="A27" s="5" t="s">
        <v>72</v>
      </c>
      <c r="B27" s="5" t="s">
        <v>73</v>
      </c>
      <c r="C27" s="5" t="s">
        <v>263</v>
      </c>
      <c r="D27" s="5" t="s">
        <v>304</v>
      </c>
      <c r="E27" s="5" t="s">
        <v>265</v>
      </c>
      <c r="F27" s="5" t="s">
        <v>305</v>
      </c>
      <c r="G27" s="5" t="s">
        <v>306</v>
      </c>
      <c r="H27" s="5" t="s">
        <v>299</v>
      </c>
    </row>
    <row r="28" spans="1:8" ht="90" customHeight="1">
      <c r="A28" s="5" t="s">
        <v>72</v>
      </c>
      <c r="B28" s="5" t="s">
        <v>73</v>
      </c>
      <c r="C28" s="5" t="s">
        <v>269</v>
      </c>
      <c r="D28" s="5" t="s">
        <v>270</v>
      </c>
      <c r="E28" s="5" t="s">
        <v>271</v>
      </c>
      <c r="F28" s="5" t="s">
        <v>55</v>
      </c>
      <c r="G28" s="5" t="s">
        <v>272</v>
      </c>
      <c r="H28" s="5" t="s">
        <v>299</v>
      </c>
    </row>
    <row r="29" spans="1:8" ht="90" customHeight="1">
      <c r="A29" s="5" t="s">
        <v>72</v>
      </c>
      <c r="B29" s="5" t="s">
        <v>73</v>
      </c>
      <c r="C29" s="5" t="s">
        <v>273</v>
      </c>
      <c r="D29" s="5" t="s">
        <v>274</v>
      </c>
      <c r="E29" s="5" t="s">
        <v>275</v>
      </c>
      <c r="F29" s="5" t="s">
        <v>276</v>
      </c>
      <c r="G29" s="5" t="s">
        <v>277</v>
      </c>
      <c r="H29" s="5" t="s">
        <v>278</v>
      </c>
    </row>
    <row r="30" spans="1:8" ht="90" customHeight="1">
      <c r="A30" s="5" t="s">
        <v>72</v>
      </c>
      <c r="B30" s="5" t="s">
        <v>73</v>
      </c>
      <c r="C30" s="5" t="s">
        <v>279</v>
      </c>
      <c r="D30" s="5" t="s">
        <v>280</v>
      </c>
      <c r="E30" s="5" t="s">
        <v>281</v>
      </c>
      <c r="F30" s="5" t="s">
        <v>55</v>
      </c>
      <c r="G30" s="5" t="s">
        <v>282</v>
      </c>
      <c r="H30" s="5" t="s">
        <v>283</v>
      </c>
    </row>
    <row r="31" spans="1:8" ht="90" customHeight="1">
      <c r="A31" s="5" t="s">
        <v>72</v>
      </c>
      <c r="B31" s="5" t="s">
        <v>73</v>
      </c>
      <c r="C31" s="5" t="s">
        <v>284</v>
      </c>
      <c r="D31" s="5" t="s">
        <v>285</v>
      </c>
      <c r="E31" s="5" t="s">
        <v>286</v>
      </c>
      <c r="F31" s="5" t="s">
        <v>55</v>
      </c>
      <c r="G31" s="5" t="s">
        <v>307</v>
      </c>
      <c r="H31" s="5" t="s">
        <v>308</v>
      </c>
    </row>
    <row r="32" spans="1:8" ht="90" customHeight="1">
      <c r="A32" s="5" t="s">
        <v>80</v>
      </c>
      <c r="B32" s="5" t="s">
        <v>81</v>
      </c>
      <c r="C32" s="5" t="s">
        <v>245</v>
      </c>
      <c r="D32" s="5" t="s">
        <v>246</v>
      </c>
      <c r="E32" s="5" t="s">
        <v>247</v>
      </c>
      <c r="F32" s="5" t="s">
        <v>55</v>
      </c>
      <c r="G32" s="5" t="s">
        <v>248</v>
      </c>
      <c r="H32" s="5" t="s">
        <v>309</v>
      </c>
    </row>
    <row r="33" spans="1:8" ht="90" customHeight="1">
      <c r="A33" s="5" t="s">
        <v>80</v>
      </c>
      <c r="B33" s="5" t="s">
        <v>81</v>
      </c>
      <c r="C33" s="5" t="s">
        <v>250</v>
      </c>
      <c r="D33" s="5" t="s">
        <v>310</v>
      </c>
      <c r="E33" s="5" t="s">
        <v>252</v>
      </c>
      <c r="F33" s="5" t="s">
        <v>55</v>
      </c>
      <c r="G33" s="5" t="s">
        <v>253</v>
      </c>
      <c r="H33" s="5" t="s">
        <v>311</v>
      </c>
    </row>
    <row r="34" spans="1:8" ht="90" customHeight="1">
      <c r="A34" s="5" t="s">
        <v>80</v>
      </c>
      <c r="B34" s="5" t="s">
        <v>81</v>
      </c>
      <c r="C34" s="5" t="s">
        <v>255</v>
      </c>
      <c r="D34" s="5" t="s">
        <v>312</v>
      </c>
      <c r="E34" s="5" t="s">
        <v>257</v>
      </c>
      <c r="F34" s="5" t="s">
        <v>55</v>
      </c>
      <c r="G34" s="5" t="s">
        <v>258</v>
      </c>
      <c r="H34" s="5" t="s">
        <v>309</v>
      </c>
    </row>
    <row r="35" spans="1:8" ht="90" customHeight="1">
      <c r="A35" s="5" t="s">
        <v>80</v>
      </c>
      <c r="B35" s="5" t="s">
        <v>81</v>
      </c>
      <c r="C35" s="5" t="s">
        <v>259</v>
      </c>
      <c r="D35" s="5" t="s">
        <v>260</v>
      </c>
      <c r="E35" s="5" t="s">
        <v>261</v>
      </c>
      <c r="F35" s="5" t="s">
        <v>55</v>
      </c>
      <c r="G35" s="5" t="s">
        <v>313</v>
      </c>
      <c r="H35" s="5" t="s">
        <v>309</v>
      </c>
    </row>
    <row r="36" spans="1:8" ht="90" customHeight="1">
      <c r="A36" s="5" t="s">
        <v>80</v>
      </c>
      <c r="B36" s="5" t="s">
        <v>81</v>
      </c>
      <c r="C36" s="5" t="s">
        <v>263</v>
      </c>
      <c r="D36" s="5" t="s">
        <v>304</v>
      </c>
      <c r="E36" s="5" t="s">
        <v>265</v>
      </c>
      <c r="F36" s="5" t="s">
        <v>305</v>
      </c>
      <c r="G36" s="5" t="s">
        <v>314</v>
      </c>
      <c r="H36" s="5" t="s">
        <v>309</v>
      </c>
    </row>
    <row r="37" spans="1:8" ht="90" customHeight="1">
      <c r="A37" s="5" t="s">
        <v>80</v>
      </c>
      <c r="B37" s="5" t="s">
        <v>81</v>
      </c>
      <c r="C37" s="5" t="s">
        <v>269</v>
      </c>
      <c r="D37" s="5" t="s">
        <v>270</v>
      </c>
      <c r="E37" s="5" t="s">
        <v>271</v>
      </c>
      <c r="F37" s="5" t="s">
        <v>55</v>
      </c>
      <c r="G37" s="5" t="s">
        <v>272</v>
      </c>
      <c r="H37" s="5" t="s">
        <v>309</v>
      </c>
    </row>
    <row r="38" spans="1:8" ht="90" customHeight="1">
      <c r="A38" s="5" t="s">
        <v>80</v>
      </c>
      <c r="B38" s="5" t="s">
        <v>81</v>
      </c>
      <c r="C38" s="5" t="s">
        <v>273</v>
      </c>
      <c r="D38" s="5" t="s">
        <v>274</v>
      </c>
      <c r="E38" s="5" t="s">
        <v>275</v>
      </c>
      <c r="F38" s="5" t="s">
        <v>276</v>
      </c>
      <c r="G38" s="5" t="s">
        <v>277</v>
      </c>
      <c r="H38" s="5" t="s">
        <v>278</v>
      </c>
    </row>
    <row r="39" spans="1:8" ht="90" customHeight="1">
      <c r="A39" s="5" t="s">
        <v>80</v>
      </c>
      <c r="B39" s="5" t="s">
        <v>81</v>
      </c>
      <c r="C39" s="5" t="s">
        <v>279</v>
      </c>
      <c r="D39" s="5" t="s">
        <v>280</v>
      </c>
      <c r="E39" s="5" t="s">
        <v>281</v>
      </c>
      <c r="F39" s="5" t="s">
        <v>55</v>
      </c>
      <c r="G39" s="5" t="s">
        <v>282</v>
      </c>
      <c r="H39" s="5" t="s">
        <v>283</v>
      </c>
    </row>
    <row r="40" spans="1:8" ht="90" customHeight="1">
      <c r="A40" s="5" t="s">
        <v>80</v>
      </c>
      <c r="B40" s="5" t="s">
        <v>81</v>
      </c>
      <c r="C40" s="5" t="s">
        <v>284</v>
      </c>
      <c r="D40" s="5" t="s">
        <v>285</v>
      </c>
      <c r="E40" s="5" t="s">
        <v>286</v>
      </c>
      <c r="F40" s="5" t="s">
        <v>55</v>
      </c>
      <c r="G40" s="5" t="s">
        <v>315</v>
      </c>
      <c r="H40" s="5" t="s">
        <v>316</v>
      </c>
    </row>
    <row r="41" spans="1:8" ht="90" customHeight="1">
      <c r="A41" s="5" t="s">
        <v>88</v>
      </c>
      <c r="B41" s="5" t="s">
        <v>89</v>
      </c>
      <c r="C41" s="5" t="s">
        <v>245</v>
      </c>
      <c r="D41" s="5" t="s">
        <v>246</v>
      </c>
      <c r="E41" s="5" t="s">
        <v>247</v>
      </c>
      <c r="F41" s="5" t="s">
        <v>55</v>
      </c>
      <c r="G41" s="5" t="s">
        <v>248</v>
      </c>
      <c r="H41" s="5" t="s">
        <v>317</v>
      </c>
    </row>
    <row r="42" spans="1:8" ht="90" customHeight="1">
      <c r="A42" s="5" t="s">
        <v>88</v>
      </c>
      <c r="B42" s="5" t="s">
        <v>89</v>
      </c>
      <c r="C42" s="5" t="s">
        <v>250</v>
      </c>
      <c r="D42" s="5" t="s">
        <v>318</v>
      </c>
      <c r="E42" s="5" t="s">
        <v>252</v>
      </c>
      <c r="F42" s="5" t="s">
        <v>55</v>
      </c>
      <c r="G42" s="5" t="s">
        <v>253</v>
      </c>
      <c r="H42" s="5" t="s">
        <v>319</v>
      </c>
    </row>
    <row r="43" spans="1:8" ht="90" customHeight="1">
      <c r="A43" s="5" t="s">
        <v>88</v>
      </c>
      <c r="B43" s="5" t="s">
        <v>89</v>
      </c>
      <c r="C43" s="5" t="s">
        <v>255</v>
      </c>
      <c r="D43" s="5" t="s">
        <v>320</v>
      </c>
      <c r="E43" s="5" t="s">
        <v>257</v>
      </c>
      <c r="F43" s="5" t="s">
        <v>55</v>
      </c>
      <c r="G43" s="5" t="s">
        <v>258</v>
      </c>
      <c r="H43" s="5" t="s">
        <v>317</v>
      </c>
    </row>
    <row r="44" spans="1:8" ht="90" customHeight="1">
      <c r="A44" s="5" t="s">
        <v>88</v>
      </c>
      <c r="B44" s="5" t="s">
        <v>89</v>
      </c>
      <c r="C44" s="5" t="s">
        <v>259</v>
      </c>
      <c r="D44" s="5" t="s">
        <v>260</v>
      </c>
      <c r="E44" s="5" t="s">
        <v>261</v>
      </c>
      <c r="F44" s="5" t="s">
        <v>55</v>
      </c>
      <c r="G44" s="5" t="s">
        <v>321</v>
      </c>
      <c r="H44" s="5" t="s">
        <v>317</v>
      </c>
    </row>
    <row r="45" spans="1:8" ht="90" customHeight="1">
      <c r="A45" s="5" t="s">
        <v>88</v>
      </c>
      <c r="B45" s="5" t="s">
        <v>89</v>
      </c>
      <c r="C45" s="5" t="s">
        <v>263</v>
      </c>
      <c r="D45" s="5" t="s">
        <v>304</v>
      </c>
      <c r="E45" s="5" t="s">
        <v>265</v>
      </c>
      <c r="F45" s="5" t="s">
        <v>305</v>
      </c>
      <c r="G45" s="5" t="s">
        <v>322</v>
      </c>
      <c r="H45" s="5" t="s">
        <v>317</v>
      </c>
    </row>
    <row r="46" spans="1:8" ht="90" customHeight="1">
      <c r="A46" s="5" t="s">
        <v>88</v>
      </c>
      <c r="B46" s="5" t="s">
        <v>89</v>
      </c>
      <c r="C46" s="5" t="s">
        <v>269</v>
      </c>
      <c r="D46" s="5" t="s">
        <v>270</v>
      </c>
      <c r="E46" s="5" t="s">
        <v>271</v>
      </c>
      <c r="F46" s="5" t="s">
        <v>55</v>
      </c>
      <c r="G46" s="5" t="s">
        <v>272</v>
      </c>
      <c r="H46" s="5" t="s">
        <v>317</v>
      </c>
    </row>
    <row r="47" spans="1:8" ht="90" customHeight="1">
      <c r="A47" s="5" t="s">
        <v>88</v>
      </c>
      <c r="B47" s="5" t="s">
        <v>89</v>
      </c>
      <c r="C47" s="5" t="s">
        <v>273</v>
      </c>
      <c r="D47" s="5" t="s">
        <v>274</v>
      </c>
      <c r="E47" s="5" t="s">
        <v>275</v>
      </c>
      <c r="F47" s="5" t="s">
        <v>276</v>
      </c>
      <c r="G47" s="5" t="s">
        <v>277</v>
      </c>
      <c r="H47" s="5" t="s">
        <v>278</v>
      </c>
    </row>
    <row r="48" spans="1:8" ht="90" customHeight="1">
      <c r="A48" s="5" t="s">
        <v>88</v>
      </c>
      <c r="B48" s="5" t="s">
        <v>89</v>
      </c>
      <c r="C48" s="5" t="s">
        <v>279</v>
      </c>
      <c r="D48" s="5" t="s">
        <v>280</v>
      </c>
      <c r="E48" s="5" t="s">
        <v>281</v>
      </c>
      <c r="F48" s="5" t="s">
        <v>55</v>
      </c>
      <c r="G48" s="5" t="s">
        <v>282</v>
      </c>
      <c r="H48" s="5" t="s">
        <v>283</v>
      </c>
    </row>
    <row r="49" spans="1:8" ht="90" customHeight="1">
      <c r="A49" s="5" t="s">
        <v>88</v>
      </c>
      <c r="B49" s="5" t="s">
        <v>89</v>
      </c>
      <c r="C49" s="5" t="s">
        <v>284</v>
      </c>
      <c r="D49" s="5" t="s">
        <v>285</v>
      </c>
      <c r="E49" s="5" t="s">
        <v>286</v>
      </c>
      <c r="F49" s="5" t="s">
        <v>55</v>
      </c>
      <c r="G49" s="5" t="s">
        <v>323</v>
      </c>
      <c r="H49" s="5" t="s">
        <v>324</v>
      </c>
    </row>
    <row r="50" spans="1:8" ht="90" customHeight="1">
      <c r="A50" s="5" t="s">
        <v>96</v>
      </c>
      <c r="B50" s="5" t="s">
        <v>97</v>
      </c>
      <c r="C50" s="5" t="s">
        <v>245</v>
      </c>
      <c r="D50" s="5" t="s">
        <v>246</v>
      </c>
      <c r="E50" s="5" t="s">
        <v>247</v>
      </c>
      <c r="F50" s="5" t="s">
        <v>55</v>
      </c>
      <c r="G50" s="5" t="s">
        <v>248</v>
      </c>
      <c r="H50" s="5" t="s">
        <v>325</v>
      </c>
    </row>
    <row r="51" spans="1:8" ht="90" customHeight="1">
      <c r="A51" s="5" t="s">
        <v>96</v>
      </c>
      <c r="B51" s="5" t="s">
        <v>97</v>
      </c>
      <c r="C51" s="5" t="s">
        <v>250</v>
      </c>
      <c r="D51" s="5" t="s">
        <v>326</v>
      </c>
      <c r="E51" s="5" t="s">
        <v>252</v>
      </c>
      <c r="F51" s="5" t="s">
        <v>55</v>
      </c>
      <c r="G51" s="5" t="s">
        <v>253</v>
      </c>
      <c r="H51" s="5" t="s">
        <v>327</v>
      </c>
    </row>
    <row r="52" spans="1:8" ht="90" customHeight="1">
      <c r="A52" s="5" t="s">
        <v>96</v>
      </c>
      <c r="B52" s="5" t="s">
        <v>97</v>
      </c>
      <c r="C52" s="5" t="s">
        <v>255</v>
      </c>
      <c r="D52" s="5" t="s">
        <v>328</v>
      </c>
      <c r="E52" s="5" t="s">
        <v>257</v>
      </c>
      <c r="F52" s="5" t="s">
        <v>55</v>
      </c>
      <c r="G52" s="5" t="s">
        <v>258</v>
      </c>
      <c r="H52" s="5" t="s">
        <v>325</v>
      </c>
    </row>
    <row r="53" spans="1:8" ht="90" customHeight="1">
      <c r="A53" s="5" t="s">
        <v>96</v>
      </c>
      <c r="B53" s="5" t="s">
        <v>97</v>
      </c>
      <c r="C53" s="5" t="s">
        <v>259</v>
      </c>
      <c r="D53" s="5" t="s">
        <v>260</v>
      </c>
      <c r="E53" s="5" t="s">
        <v>261</v>
      </c>
      <c r="F53" s="5" t="s">
        <v>55</v>
      </c>
      <c r="G53" s="5" t="s">
        <v>329</v>
      </c>
      <c r="H53" s="5" t="s">
        <v>325</v>
      </c>
    </row>
    <row r="54" spans="1:8" ht="90" customHeight="1">
      <c r="A54" s="5" t="s">
        <v>96</v>
      </c>
      <c r="B54" s="5" t="s">
        <v>97</v>
      </c>
      <c r="C54" s="5" t="s">
        <v>263</v>
      </c>
      <c r="D54" s="5" t="s">
        <v>304</v>
      </c>
      <c r="E54" s="5" t="s">
        <v>265</v>
      </c>
      <c r="F54" s="5" t="s">
        <v>305</v>
      </c>
      <c r="G54" s="5" t="s">
        <v>330</v>
      </c>
      <c r="H54" s="5" t="s">
        <v>325</v>
      </c>
    </row>
    <row r="55" spans="1:8" ht="90" customHeight="1">
      <c r="A55" s="5" t="s">
        <v>96</v>
      </c>
      <c r="B55" s="5" t="s">
        <v>97</v>
      </c>
      <c r="C55" s="5" t="s">
        <v>269</v>
      </c>
      <c r="D55" s="5" t="s">
        <v>270</v>
      </c>
      <c r="E55" s="5" t="s">
        <v>271</v>
      </c>
      <c r="F55" s="5" t="s">
        <v>55</v>
      </c>
      <c r="G55" s="5" t="s">
        <v>272</v>
      </c>
      <c r="H55" s="5" t="s">
        <v>325</v>
      </c>
    </row>
    <row r="56" spans="1:8" ht="90" customHeight="1">
      <c r="A56" s="5" t="s">
        <v>96</v>
      </c>
      <c r="B56" s="5" t="s">
        <v>97</v>
      </c>
      <c r="C56" s="5" t="s">
        <v>273</v>
      </c>
      <c r="D56" s="5" t="s">
        <v>274</v>
      </c>
      <c r="E56" s="5" t="s">
        <v>275</v>
      </c>
      <c r="F56" s="5" t="s">
        <v>276</v>
      </c>
      <c r="G56" s="5" t="s">
        <v>277</v>
      </c>
      <c r="H56" s="5" t="s">
        <v>278</v>
      </c>
    </row>
    <row r="57" spans="1:8" ht="90" customHeight="1">
      <c r="A57" s="5" t="s">
        <v>96</v>
      </c>
      <c r="B57" s="5" t="s">
        <v>97</v>
      </c>
      <c r="C57" s="5" t="s">
        <v>279</v>
      </c>
      <c r="D57" s="5" t="s">
        <v>280</v>
      </c>
      <c r="E57" s="5" t="s">
        <v>281</v>
      </c>
      <c r="F57" s="5" t="s">
        <v>55</v>
      </c>
      <c r="G57" s="5" t="s">
        <v>282</v>
      </c>
      <c r="H57" s="5" t="s">
        <v>283</v>
      </c>
    </row>
    <row r="58" spans="1:8" ht="90" customHeight="1">
      <c r="A58" s="5" t="s">
        <v>96</v>
      </c>
      <c r="B58" s="5" t="s">
        <v>97</v>
      </c>
      <c r="C58" s="5" t="s">
        <v>284</v>
      </c>
      <c r="D58" s="5" t="s">
        <v>285</v>
      </c>
      <c r="E58" s="5" t="s">
        <v>286</v>
      </c>
      <c r="F58" s="5" t="s">
        <v>55</v>
      </c>
      <c r="G58" s="5" t="s">
        <v>331</v>
      </c>
      <c r="H58" s="5" t="s">
        <v>332</v>
      </c>
    </row>
    <row r="59" spans="1:8" ht="90" customHeight="1">
      <c r="A59" s="5" t="s">
        <v>104</v>
      </c>
      <c r="B59" s="5" t="s">
        <v>105</v>
      </c>
      <c r="C59" s="5" t="s">
        <v>245</v>
      </c>
      <c r="D59" s="5" t="s">
        <v>246</v>
      </c>
      <c r="E59" s="5" t="s">
        <v>247</v>
      </c>
      <c r="F59" s="5" t="s">
        <v>55</v>
      </c>
      <c r="G59" s="5" t="s">
        <v>248</v>
      </c>
      <c r="H59" s="5" t="s">
        <v>333</v>
      </c>
    </row>
    <row r="60" spans="1:8" ht="90" customHeight="1">
      <c r="A60" s="5" t="s">
        <v>104</v>
      </c>
      <c r="B60" s="5" t="s">
        <v>105</v>
      </c>
      <c r="C60" s="5" t="s">
        <v>250</v>
      </c>
      <c r="D60" s="5" t="s">
        <v>334</v>
      </c>
      <c r="E60" s="5" t="s">
        <v>252</v>
      </c>
      <c r="F60" s="5" t="s">
        <v>55</v>
      </c>
      <c r="G60" s="5" t="s">
        <v>253</v>
      </c>
      <c r="H60" s="5" t="s">
        <v>335</v>
      </c>
    </row>
    <row r="61" spans="1:8" ht="90" customHeight="1">
      <c r="A61" s="5" t="s">
        <v>104</v>
      </c>
      <c r="B61" s="5" t="s">
        <v>105</v>
      </c>
      <c r="C61" s="5" t="s">
        <v>255</v>
      </c>
      <c r="D61" s="5" t="s">
        <v>336</v>
      </c>
      <c r="E61" s="5" t="s">
        <v>257</v>
      </c>
      <c r="F61" s="5" t="s">
        <v>55</v>
      </c>
      <c r="G61" s="5" t="s">
        <v>258</v>
      </c>
      <c r="H61" s="5" t="s">
        <v>333</v>
      </c>
    </row>
    <row r="62" spans="1:8" ht="90" customHeight="1">
      <c r="A62" s="5" t="s">
        <v>104</v>
      </c>
      <c r="B62" s="5" t="s">
        <v>105</v>
      </c>
      <c r="C62" s="5" t="s">
        <v>259</v>
      </c>
      <c r="D62" s="5" t="s">
        <v>260</v>
      </c>
      <c r="E62" s="5" t="s">
        <v>261</v>
      </c>
      <c r="F62" s="5" t="s">
        <v>55</v>
      </c>
      <c r="G62" s="5" t="s">
        <v>337</v>
      </c>
      <c r="H62" s="5" t="s">
        <v>333</v>
      </c>
    </row>
    <row r="63" spans="1:8" ht="90" customHeight="1">
      <c r="A63" s="5" t="s">
        <v>104</v>
      </c>
      <c r="B63" s="5" t="s">
        <v>105</v>
      </c>
      <c r="C63" s="5" t="s">
        <v>263</v>
      </c>
      <c r="D63" s="5" t="s">
        <v>338</v>
      </c>
      <c r="E63" s="5" t="s">
        <v>265</v>
      </c>
      <c r="F63" s="5" t="s">
        <v>266</v>
      </c>
      <c r="G63" s="5" t="s">
        <v>339</v>
      </c>
      <c r="H63" s="5" t="s">
        <v>340</v>
      </c>
    </row>
    <row r="64" spans="1:8" ht="90" customHeight="1">
      <c r="A64" s="5" t="s">
        <v>104</v>
      </c>
      <c r="B64" s="5" t="s">
        <v>105</v>
      </c>
      <c r="C64" s="5" t="s">
        <v>269</v>
      </c>
      <c r="D64" s="5" t="s">
        <v>270</v>
      </c>
      <c r="E64" s="5" t="s">
        <v>271</v>
      </c>
      <c r="F64" s="5" t="s">
        <v>55</v>
      </c>
      <c r="G64" s="5" t="s">
        <v>272</v>
      </c>
      <c r="H64" s="5" t="s">
        <v>333</v>
      </c>
    </row>
    <row r="65" spans="1:8" ht="90" customHeight="1">
      <c r="A65" s="5" t="s">
        <v>104</v>
      </c>
      <c r="B65" s="5" t="s">
        <v>105</v>
      </c>
      <c r="C65" s="5" t="s">
        <v>273</v>
      </c>
      <c r="D65" s="5" t="s">
        <v>274</v>
      </c>
      <c r="E65" s="5" t="s">
        <v>275</v>
      </c>
      <c r="F65" s="5" t="s">
        <v>276</v>
      </c>
      <c r="G65" s="5" t="s">
        <v>277</v>
      </c>
      <c r="H65" s="5" t="s">
        <v>278</v>
      </c>
    </row>
    <row r="66" spans="1:8" ht="90" customHeight="1">
      <c r="A66" s="5" t="s">
        <v>104</v>
      </c>
      <c r="B66" s="5" t="s">
        <v>105</v>
      </c>
      <c r="C66" s="5" t="s">
        <v>279</v>
      </c>
      <c r="D66" s="5" t="s">
        <v>280</v>
      </c>
      <c r="E66" s="5" t="s">
        <v>281</v>
      </c>
      <c r="F66" s="5" t="s">
        <v>55</v>
      </c>
      <c r="G66" s="5" t="s">
        <v>282</v>
      </c>
      <c r="H66" s="5" t="s">
        <v>283</v>
      </c>
    </row>
    <row r="67" spans="1:8" ht="90" customHeight="1">
      <c r="A67" s="5" t="s">
        <v>104</v>
      </c>
      <c r="B67" s="5" t="s">
        <v>105</v>
      </c>
      <c r="C67" s="5" t="s">
        <v>284</v>
      </c>
      <c r="D67" s="5" t="s">
        <v>285</v>
      </c>
      <c r="E67" s="5" t="s">
        <v>286</v>
      </c>
      <c r="F67" s="5" t="s">
        <v>55</v>
      </c>
      <c r="G67" s="5" t="s">
        <v>341</v>
      </c>
      <c r="H67" s="5" t="s">
        <v>342</v>
      </c>
    </row>
    <row r="68" spans="1:8" ht="90" customHeight="1">
      <c r="A68" s="5" t="s">
        <v>113</v>
      </c>
      <c r="B68" s="5" t="s">
        <v>114</v>
      </c>
      <c r="C68" s="5" t="s">
        <v>245</v>
      </c>
      <c r="D68" s="5" t="s">
        <v>246</v>
      </c>
      <c r="E68" s="5" t="s">
        <v>247</v>
      </c>
      <c r="F68" s="5" t="s">
        <v>55</v>
      </c>
      <c r="G68" s="5" t="s">
        <v>248</v>
      </c>
      <c r="H68" s="5" t="s">
        <v>343</v>
      </c>
    </row>
    <row r="69" spans="1:8" ht="90" customHeight="1">
      <c r="A69" s="5" t="s">
        <v>113</v>
      </c>
      <c r="B69" s="5" t="s">
        <v>114</v>
      </c>
      <c r="C69" s="5" t="s">
        <v>250</v>
      </c>
      <c r="D69" s="5" t="s">
        <v>344</v>
      </c>
      <c r="E69" s="5" t="s">
        <v>252</v>
      </c>
      <c r="F69" s="5" t="s">
        <v>55</v>
      </c>
      <c r="G69" s="5" t="s">
        <v>253</v>
      </c>
      <c r="H69" s="5" t="s">
        <v>345</v>
      </c>
    </row>
    <row r="70" spans="1:8" ht="90" customHeight="1">
      <c r="A70" s="5" t="s">
        <v>113</v>
      </c>
      <c r="B70" s="5" t="s">
        <v>114</v>
      </c>
      <c r="C70" s="5" t="s">
        <v>255</v>
      </c>
      <c r="D70" s="5" t="s">
        <v>346</v>
      </c>
      <c r="E70" s="5" t="s">
        <v>257</v>
      </c>
      <c r="F70" s="5" t="s">
        <v>55</v>
      </c>
      <c r="G70" s="5" t="s">
        <v>258</v>
      </c>
      <c r="H70" s="5" t="s">
        <v>343</v>
      </c>
    </row>
    <row r="71" spans="1:8" ht="90" customHeight="1">
      <c r="A71" s="5" t="s">
        <v>113</v>
      </c>
      <c r="B71" s="5" t="s">
        <v>114</v>
      </c>
      <c r="C71" s="5" t="s">
        <v>259</v>
      </c>
      <c r="D71" s="5" t="s">
        <v>260</v>
      </c>
      <c r="E71" s="5" t="s">
        <v>261</v>
      </c>
      <c r="F71" s="5" t="s">
        <v>55</v>
      </c>
      <c r="G71" s="5" t="s">
        <v>347</v>
      </c>
      <c r="H71" s="5" t="s">
        <v>343</v>
      </c>
    </row>
    <row r="72" spans="1:8" ht="90" customHeight="1">
      <c r="A72" s="5" t="s">
        <v>113</v>
      </c>
      <c r="B72" s="5" t="s">
        <v>114</v>
      </c>
      <c r="C72" s="5" t="s">
        <v>263</v>
      </c>
      <c r="D72" s="5" t="s">
        <v>304</v>
      </c>
      <c r="E72" s="5" t="s">
        <v>265</v>
      </c>
      <c r="F72" s="5" t="s">
        <v>305</v>
      </c>
      <c r="G72" s="5" t="s">
        <v>348</v>
      </c>
      <c r="H72" s="5" t="s">
        <v>343</v>
      </c>
    </row>
    <row r="73" spans="1:8" ht="90" customHeight="1">
      <c r="A73" s="5" t="s">
        <v>113</v>
      </c>
      <c r="B73" s="5" t="s">
        <v>114</v>
      </c>
      <c r="C73" s="5" t="s">
        <v>269</v>
      </c>
      <c r="D73" s="5" t="s">
        <v>270</v>
      </c>
      <c r="E73" s="5" t="s">
        <v>271</v>
      </c>
      <c r="F73" s="5" t="s">
        <v>55</v>
      </c>
      <c r="G73" s="5" t="s">
        <v>272</v>
      </c>
      <c r="H73" s="5" t="s">
        <v>343</v>
      </c>
    </row>
    <row r="74" spans="1:8" ht="90" customHeight="1">
      <c r="A74" s="5" t="s">
        <v>113</v>
      </c>
      <c r="B74" s="5" t="s">
        <v>114</v>
      </c>
      <c r="C74" s="5" t="s">
        <v>273</v>
      </c>
      <c r="D74" s="5" t="s">
        <v>274</v>
      </c>
      <c r="E74" s="5" t="s">
        <v>275</v>
      </c>
      <c r="F74" s="5" t="s">
        <v>276</v>
      </c>
      <c r="G74" s="5" t="s">
        <v>277</v>
      </c>
      <c r="H74" s="5" t="s">
        <v>278</v>
      </c>
    </row>
    <row r="75" spans="1:8" ht="90" customHeight="1">
      <c r="A75" s="5" t="s">
        <v>113</v>
      </c>
      <c r="B75" s="5" t="s">
        <v>114</v>
      </c>
      <c r="C75" s="5" t="s">
        <v>279</v>
      </c>
      <c r="D75" s="5" t="s">
        <v>280</v>
      </c>
      <c r="E75" s="5" t="s">
        <v>281</v>
      </c>
      <c r="F75" s="5" t="s">
        <v>55</v>
      </c>
      <c r="G75" s="5" t="s">
        <v>282</v>
      </c>
      <c r="H75" s="5" t="s">
        <v>283</v>
      </c>
    </row>
    <row r="76" spans="1:8" ht="90" customHeight="1">
      <c r="A76" s="5" t="s">
        <v>113</v>
      </c>
      <c r="B76" s="5" t="s">
        <v>114</v>
      </c>
      <c r="C76" s="5" t="s">
        <v>284</v>
      </c>
      <c r="D76" s="5" t="s">
        <v>285</v>
      </c>
      <c r="E76" s="5" t="s">
        <v>286</v>
      </c>
      <c r="F76" s="5" t="s">
        <v>55</v>
      </c>
      <c r="G76" s="5" t="s">
        <v>349</v>
      </c>
      <c r="H76" s="5" t="s">
        <v>350</v>
      </c>
    </row>
    <row r="77" spans="1:8" ht="90" customHeight="1">
      <c r="A77" s="5" t="s">
        <v>121</v>
      </c>
      <c r="B77" s="5" t="s">
        <v>122</v>
      </c>
      <c r="C77" s="5" t="s">
        <v>245</v>
      </c>
      <c r="D77" s="5" t="s">
        <v>246</v>
      </c>
      <c r="E77" s="5" t="s">
        <v>247</v>
      </c>
      <c r="F77" s="5" t="s">
        <v>55</v>
      </c>
      <c r="G77" s="5" t="s">
        <v>248</v>
      </c>
      <c r="H77" s="5" t="s">
        <v>351</v>
      </c>
    </row>
    <row r="78" spans="1:8" ht="90" customHeight="1">
      <c r="A78" s="5" t="s">
        <v>121</v>
      </c>
      <c r="B78" s="5" t="s">
        <v>122</v>
      </c>
      <c r="C78" s="5" t="s">
        <v>250</v>
      </c>
      <c r="D78" s="5" t="s">
        <v>352</v>
      </c>
      <c r="E78" s="5" t="s">
        <v>252</v>
      </c>
      <c r="F78" s="5" t="s">
        <v>55</v>
      </c>
      <c r="G78" s="5" t="s">
        <v>253</v>
      </c>
      <c r="H78" s="5" t="s">
        <v>353</v>
      </c>
    </row>
    <row r="79" spans="1:8" ht="90" customHeight="1">
      <c r="A79" s="5" t="s">
        <v>121</v>
      </c>
      <c r="B79" s="5" t="s">
        <v>122</v>
      </c>
      <c r="C79" s="5" t="s">
        <v>255</v>
      </c>
      <c r="D79" s="5" t="s">
        <v>354</v>
      </c>
      <c r="E79" s="5" t="s">
        <v>257</v>
      </c>
      <c r="F79" s="5" t="s">
        <v>55</v>
      </c>
      <c r="G79" s="5" t="s">
        <v>258</v>
      </c>
      <c r="H79" s="5" t="s">
        <v>351</v>
      </c>
    </row>
    <row r="80" spans="1:8" ht="90" customHeight="1">
      <c r="A80" s="5" t="s">
        <v>121</v>
      </c>
      <c r="B80" s="5" t="s">
        <v>122</v>
      </c>
      <c r="C80" s="5" t="s">
        <v>259</v>
      </c>
      <c r="D80" s="5" t="s">
        <v>260</v>
      </c>
      <c r="E80" s="5" t="s">
        <v>261</v>
      </c>
      <c r="F80" s="5" t="s">
        <v>55</v>
      </c>
      <c r="G80" s="5" t="s">
        <v>355</v>
      </c>
      <c r="H80" s="5" t="s">
        <v>351</v>
      </c>
    </row>
    <row r="81" spans="1:8" ht="90" customHeight="1">
      <c r="A81" s="5" t="s">
        <v>121</v>
      </c>
      <c r="B81" s="5" t="s">
        <v>122</v>
      </c>
      <c r="C81" s="5" t="s">
        <v>263</v>
      </c>
      <c r="D81" s="5" t="s">
        <v>304</v>
      </c>
      <c r="E81" s="5" t="s">
        <v>265</v>
      </c>
      <c r="F81" s="5" t="s">
        <v>305</v>
      </c>
      <c r="G81" s="5" t="s">
        <v>356</v>
      </c>
      <c r="H81" s="5" t="s">
        <v>351</v>
      </c>
    </row>
    <row r="82" spans="1:8" ht="90" customHeight="1">
      <c r="A82" s="5" t="s">
        <v>121</v>
      </c>
      <c r="B82" s="5" t="s">
        <v>122</v>
      </c>
      <c r="C82" s="5" t="s">
        <v>269</v>
      </c>
      <c r="D82" s="5" t="s">
        <v>270</v>
      </c>
      <c r="E82" s="5" t="s">
        <v>271</v>
      </c>
      <c r="F82" s="5" t="s">
        <v>55</v>
      </c>
      <c r="G82" s="5" t="s">
        <v>272</v>
      </c>
      <c r="H82" s="5" t="s">
        <v>351</v>
      </c>
    </row>
    <row r="83" spans="1:8" ht="90" customHeight="1">
      <c r="A83" s="5" t="s">
        <v>121</v>
      </c>
      <c r="B83" s="5" t="s">
        <v>122</v>
      </c>
      <c r="C83" s="5" t="s">
        <v>273</v>
      </c>
      <c r="D83" s="5" t="s">
        <v>274</v>
      </c>
      <c r="E83" s="5" t="s">
        <v>275</v>
      </c>
      <c r="F83" s="5" t="s">
        <v>276</v>
      </c>
      <c r="G83" s="5" t="s">
        <v>277</v>
      </c>
      <c r="H83" s="5" t="s">
        <v>278</v>
      </c>
    </row>
    <row r="84" spans="1:8" ht="90" customHeight="1">
      <c r="A84" s="5" t="s">
        <v>121</v>
      </c>
      <c r="B84" s="5" t="s">
        <v>122</v>
      </c>
      <c r="C84" s="5" t="s">
        <v>279</v>
      </c>
      <c r="D84" s="5" t="s">
        <v>280</v>
      </c>
      <c r="E84" s="5" t="s">
        <v>281</v>
      </c>
      <c r="F84" s="5" t="s">
        <v>55</v>
      </c>
      <c r="G84" s="5" t="s">
        <v>282</v>
      </c>
      <c r="H84" s="5" t="s">
        <v>283</v>
      </c>
    </row>
    <row r="85" spans="1:8" ht="90" customHeight="1">
      <c r="A85" s="5" t="s">
        <v>121</v>
      </c>
      <c r="B85" s="5" t="s">
        <v>122</v>
      </c>
      <c r="C85" s="5" t="s">
        <v>284</v>
      </c>
      <c r="D85" s="5" t="s">
        <v>285</v>
      </c>
      <c r="E85" s="5" t="s">
        <v>286</v>
      </c>
      <c r="F85" s="5" t="s">
        <v>55</v>
      </c>
      <c r="G85" s="5" t="s">
        <v>357</v>
      </c>
      <c r="H85" s="5" t="s">
        <v>358</v>
      </c>
    </row>
    <row r="86" spans="1:8" ht="90" customHeight="1">
      <c r="A86" s="5" t="s">
        <v>129</v>
      </c>
      <c r="B86" s="5" t="s">
        <v>130</v>
      </c>
      <c r="C86" s="5" t="s">
        <v>245</v>
      </c>
      <c r="D86" s="5" t="s">
        <v>246</v>
      </c>
      <c r="E86" s="5" t="s">
        <v>247</v>
      </c>
      <c r="F86" s="5" t="s">
        <v>55</v>
      </c>
      <c r="G86" s="5" t="s">
        <v>248</v>
      </c>
      <c r="H86" s="5" t="s">
        <v>359</v>
      </c>
    </row>
    <row r="87" spans="1:8" ht="90" customHeight="1">
      <c r="A87" s="5" t="s">
        <v>129</v>
      </c>
      <c r="B87" s="5" t="s">
        <v>130</v>
      </c>
      <c r="C87" s="5" t="s">
        <v>250</v>
      </c>
      <c r="D87" s="5" t="s">
        <v>360</v>
      </c>
      <c r="E87" s="5" t="s">
        <v>252</v>
      </c>
      <c r="F87" s="5" t="s">
        <v>55</v>
      </c>
      <c r="G87" s="5" t="s">
        <v>253</v>
      </c>
      <c r="H87" s="5" t="s">
        <v>361</v>
      </c>
    </row>
    <row r="88" spans="1:8" ht="90" customHeight="1">
      <c r="A88" s="5" t="s">
        <v>129</v>
      </c>
      <c r="B88" s="5" t="s">
        <v>130</v>
      </c>
      <c r="C88" s="5" t="s">
        <v>255</v>
      </c>
      <c r="D88" s="5" t="s">
        <v>312</v>
      </c>
      <c r="E88" s="5" t="s">
        <v>257</v>
      </c>
      <c r="F88" s="5" t="s">
        <v>55</v>
      </c>
      <c r="G88" s="5" t="s">
        <v>258</v>
      </c>
      <c r="H88" s="5" t="s">
        <v>359</v>
      </c>
    </row>
    <row r="89" spans="1:8" ht="90" customHeight="1">
      <c r="A89" s="5" t="s">
        <v>129</v>
      </c>
      <c r="B89" s="5" t="s">
        <v>130</v>
      </c>
      <c r="C89" s="5" t="s">
        <v>259</v>
      </c>
      <c r="D89" s="5" t="s">
        <v>260</v>
      </c>
      <c r="E89" s="5" t="s">
        <v>261</v>
      </c>
      <c r="F89" s="5" t="s">
        <v>55</v>
      </c>
      <c r="G89" s="5" t="s">
        <v>362</v>
      </c>
      <c r="H89" s="5" t="s">
        <v>359</v>
      </c>
    </row>
    <row r="90" spans="1:8" ht="90" customHeight="1">
      <c r="A90" s="5" t="s">
        <v>129</v>
      </c>
      <c r="B90" s="5" t="s">
        <v>130</v>
      </c>
      <c r="C90" s="5" t="s">
        <v>263</v>
      </c>
      <c r="D90" s="5" t="s">
        <v>304</v>
      </c>
      <c r="E90" s="5" t="s">
        <v>265</v>
      </c>
      <c r="F90" s="5" t="s">
        <v>305</v>
      </c>
      <c r="G90" s="5" t="s">
        <v>363</v>
      </c>
      <c r="H90" s="5" t="s">
        <v>359</v>
      </c>
    </row>
    <row r="91" spans="1:8" ht="90" customHeight="1">
      <c r="A91" s="5" t="s">
        <v>129</v>
      </c>
      <c r="B91" s="5" t="s">
        <v>130</v>
      </c>
      <c r="C91" s="5" t="s">
        <v>269</v>
      </c>
      <c r="D91" s="5" t="s">
        <v>270</v>
      </c>
      <c r="E91" s="5" t="s">
        <v>271</v>
      </c>
      <c r="F91" s="5" t="s">
        <v>55</v>
      </c>
      <c r="G91" s="5" t="s">
        <v>272</v>
      </c>
      <c r="H91" s="5" t="s">
        <v>359</v>
      </c>
    </row>
    <row r="92" spans="1:8" ht="90" customHeight="1">
      <c r="A92" s="5" t="s">
        <v>129</v>
      </c>
      <c r="B92" s="5" t="s">
        <v>130</v>
      </c>
      <c r="C92" s="5" t="s">
        <v>273</v>
      </c>
      <c r="D92" s="5" t="s">
        <v>274</v>
      </c>
      <c r="E92" s="5" t="s">
        <v>275</v>
      </c>
      <c r="F92" s="5" t="s">
        <v>276</v>
      </c>
      <c r="G92" s="5" t="s">
        <v>277</v>
      </c>
      <c r="H92" s="5" t="s">
        <v>278</v>
      </c>
    </row>
    <row r="93" spans="1:8" ht="90" customHeight="1">
      <c r="A93" s="5" t="s">
        <v>129</v>
      </c>
      <c r="B93" s="5" t="s">
        <v>130</v>
      </c>
      <c r="C93" s="5" t="s">
        <v>279</v>
      </c>
      <c r="D93" s="5" t="s">
        <v>280</v>
      </c>
      <c r="E93" s="5" t="s">
        <v>281</v>
      </c>
      <c r="F93" s="5" t="s">
        <v>55</v>
      </c>
      <c r="G93" s="5" t="s">
        <v>282</v>
      </c>
      <c r="H93" s="5" t="s">
        <v>283</v>
      </c>
    </row>
    <row r="94" spans="1:8" ht="90" customHeight="1">
      <c r="A94" s="5" t="s">
        <v>129</v>
      </c>
      <c r="B94" s="5" t="s">
        <v>130</v>
      </c>
      <c r="C94" s="5" t="s">
        <v>284</v>
      </c>
      <c r="D94" s="5" t="s">
        <v>285</v>
      </c>
      <c r="E94" s="5" t="s">
        <v>286</v>
      </c>
      <c r="F94" s="5" t="s">
        <v>55</v>
      </c>
      <c r="G94" s="5" t="s">
        <v>364</v>
      </c>
      <c r="H94" s="5" t="s">
        <v>365</v>
      </c>
    </row>
    <row r="95" spans="1:8" ht="90" customHeight="1">
      <c r="A95" s="5" t="s">
        <v>137</v>
      </c>
      <c r="B95" s="5" t="s">
        <v>138</v>
      </c>
      <c r="C95" s="5" t="s">
        <v>245</v>
      </c>
      <c r="D95" s="5" t="s">
        <v>246</v>
      </c>
      <c r="E95" s="5" t="s">
        <v>247</v>
      </c>
      <c r="F95" s="5" t="s">
        <v>55</v>
      </c>
      <c r="G95" s="5" t="s">
        <v>248</v>
      </c>
      <c r="H95" s="5" t="s">
        <v>366</v>
      </c>
    </row>
    <row r="96" spans="1:8" ht="90" customHeight="1">
      <c r="A96" s="5" t="s">
        <v>137</v>
      </c>
      <c r="B96" s="5" t="s">
        <v>138</v>
      </c>
      <c r="C96" s="5" t="s">
        <v>250</v>
      </c>
      <c r="D96" s="5" t="s">
        <v>367</v>
      </c>
      <c r="E96" s="5" t="s">
        <v>252</v>
      </c>
      <c r="F96" s="5" t="s">
        <v>55</v>
      </c>
      <c r="G96" s="5" t="s">
        <v>253</v>
      </c>
      <c r="H96" s="5" t="s">
        <v>368</v>
      </c>
    </row>
    <row r="97" spans="1:8" ht="90" customHeight="1">
      <c r="A97" s="5" t="s">
        <v>137</v>
      </c>
      <c r="B97" s="5" t="s">
        <v>138</v>
      </c>
      <c r="C97" s="5" t="s">
        <v>255</v>
      </c>
      <c r="D97" s="5" t="s">
        <v>369</v>
      </c>
      <c r="E97" s="5" t="s">
        <v>257</v>
      </c>
      <c r="F97" s="5" t="s">
        <v>55</v>
      </c>
      <c r="G97" s="5" t="s">
        <v>258</v>
      </c>
      <c r="H97" s="5" t="s">
        <v>366</v>
      </c>
    </row>
    <row r="98" spans="1:8" ht="90" customHeight="1">
      <c r="A98" s="5" t="s">
        <v>137</v>
      </c>
      <c r="B98" s="5" t="s">
        <v>138</v>
      </c>
      <c r="C98" s="5" t="s">
        <v>259</v>
      </c>
      <c r="D98" s="5" t="s">
        <v>260</v>
      </c>
      <c r="E98" s="5" t="s">
        <v>261</v>
      </c>
      <c r="F98" s="5" t="s">
        <v>55</v>
      </c>
      <c r="G98" s="5" t="s">
        <v>370</v>
      </c>
      <c r="H98" s="5" t="s">
        <v>366</v>
      </c>
    </row>
    <row r="99" spans="1:8" ht="90" customHeight="1">
      <c r="A99" s="5" t="s">
        <v>137</v>
      </c>
      <c r="B99" s="5" t="s">
        <v>138</v>
      </c>
      <c r="C99" s="5" t="s">
        <v>263</v>
      </c>
      <c r="D99" s="5" t="s">
        <v>304</v>
      </c>
      <c r="E99" s="5" t="s">
        <v>265</v>
      </c>
      <c r="F99" s="5" t="s">
        <v>305</v>
      </c>
      <c r="G99" s="5" t="s">
        <v>371</v>
      </c>
      <c r="H99" s="5" t="s">
        <v>366</v>
      </c>
    </row>
    <row r="100" spans="1:8" ht="90" customHeight="1">
      <c r="A100" s="5" t="s">
        <v>137</v>
      </c>
      <c r="B100" s="5" t="s">
        <v>138</v>
      </c>
      <c r="C100" s="5" t="s">
        <v>269</v>
      </c>
      <c r="D100" s="5" t="s">
        <v>270</v>
      </c>
      <c r="E100" s="5" t="s">
        <v>271</v>
      </c>
      <c r="F100" s="5" t="s">
        <v>55</v>
      </c>
      <c r="G100" s="5" t="s">
        <v>272</v>
      </c>
      <c r="H100" s="5" t="s">
        <v>366</v>
      </c>
    </row>
    <row r="101" spans="1:8" ht="90" customHeight="1">
      <c r="A101" s="5" t="s">
        <v>137</v>
      </c>
      <c r="B101" s="5" t="s">
        <v>138</v>
      </c>
      <c r="C101" s="5" t="s">
        <v>273</v>
      </c>
      <c r="D101" s="5" t="s">
        <v>274</v>
      </c>
      <c r="E101" s="5" t="s">
        <v>275</v>
      </c>
      <c r="F101" s="5" t="s">
        <v>276</v>
      </c>
      <c r="G101" s="5" t="s">
        <v>277</v>
      </c>
      <c r="H101" s="5" t="s">
        <v>278</v>
      </c>
    </row>
    <row r="102" spans="1:8" ht="90" customHeight="1">
      <c r="A102" s="5" t="s">
        <v>137</v>
      </c>
      <c r="B102" s="5" t="s">
        <v>138</v>
      </c>
      <c r="C102" s="5" t="s">
        <v>279</v>
      </c>
      <c r="D102" s="5" t="s">
        <v>280</v>
      </c>
      <c r="E102" s="5" t="s">
        <v>281</v>
      </c>
      <c r="F102" s="5" t="s">
        <v>55</v>
      </c>
      <c r="G102" s="5" t="s">
        <v>282</v>
      </c>
      <c r="H102" s="5" t="s">
        <v>283</v>
      </c>
    </row>
    <row r="103" spans="1:8" ht="90" customHeight="1">
      <c r="A103" s="5" t="s">
        <v>137</v>
      </c>
      <c r="B103" s="5" t="s">
        <v>138</v>
      </c>
      <c r="C103" s="5" t="s">
        <v>284</v>
      </c>
      <c r="D103" s="5" t="s">
        <v>285</v>
      </c>
      <c r="E103" s="5" t="s">
        <v>286</v>
      </c>
      <c r="F103" s="5" t="s">
        <v>55</v>
      </c>
      <c r="G103" s="5" t="s">
        <v>372</v>
      </c>
      <c r="H103" s="5" t="s">
        <v>373</v>
      </c>
    </row>
    <row r="104" spans="1:8" ht="90" customHeight="1">
      <c r="A104" s="5" t="s">
        <v>145</v>
      </c>
      <c r="B104" s="5" t="s">
        <v>146</v>
      </c>
      <c r="C104" s="5" t="s">
        <v>245</v>
      </c>
      <c r="D104" s="5" t="s">
        <v>246</v>
      </c>
      <c r="E104" s="5" t="s">
        <v>247</v>
      </c>
      <c r="F104" s="5" t="s">
        <v>55</v>
      </c>
      <c r="G104" s="5" t="s">
        <v>248</v>
      </c>
      <c r="H104" s="5" t="s">
        <v>374</v>
      </c>
    </row>
    <row r="105" spans="1:8" ht="90" customHeight="1">
      <c r="A105" s="5" t="s">
        <v>145</v>
      </c>
      <c r="B105" s="5" t="s">
        <v>146</v>
      </c>
      <c r="C105" s="5" t="s">
        <v>250</v>
      </c>
      <c r="D105" s="5" t="s">
        <v>375</v>
      </c>
      <c r="E105" s="5" t="s">
        <v>252</v>
      </c>
      <c r="F105" s="5" t="s">
        <v>55</v>
      </c>
      <c r="G105" s="5" t="s">
        <v>253</v>
      </c>
      <c r="H105" s="5" t="s">
        <v>376</v>
      </c>
    </row>
    <row r="106" spans="1:8" ht="90" customHeight="1">
      <c r="A106" s="5" t="s">
        <v>145</v>
      </c>
      <c r="B106" s="5" t="s">
        <v>146</v>
      </c>
      <c r="C106" s="5" t="s">
        <v>255</v>
      </c>
      <c r="D106" s="5" t="s">
        <v>377</v>
      </c>
      <c r="E106" s="5" t="s">
        <v>257</v>
      </c>
      <c r="F106" s="5" t="s">
        <v>55</v>
      </c>
      <c r="G106" s="5" t="s">
        <v>258</v>
      </c>
      <c r="H106" s="5" t="s">
        <v>374</v>
      </c>
    </row>
    <row r="107" spans="1:8" ht="90" customHeight="1">
      <c r="A107" s="5" t="s">
        <v>145</v>
      </c>
      <c r="B107" s="5" t="s">
        <v>146</v>
      </c>
      <c r="C107" s="5" t="s">
        <v>259</v>
      </c>
      <c r="D107" s="5" t="s">
        <v>260</v>
      </c>
      <c r="E107" s="5" t="s">
        <v>261</v>
      </c>
      <c r="F107" s="5" t="s">
        <v>55</v>
      </c>
      <c r="G107" s="5" t="s">
        <v>378</v>
      </c>
      <c r="H107" s="5" t="s">
        <v>374</v>
      </c>
    </row>
    <row r="108" spans="1:8" ht="90" customHeight="1">
      <c r="A108" s="5" t="s">
        <v>145</v>
      </c>
      <c r="B108" s="5" t="s">
        <v>146</v>
      </c>
      <c r="C108" s="5" t="s">
        <v>263</v>
      </c>
      <c r="D108" s="5" t="s">
        <v>304</v>
      </c>
      <c r="E108" s="5" t="s">
        <v>265</v>
      </c>
      <c r="F108" s="5" t="s">
        <v>305</v>
      </c>
      <c r="G108" s="5" t="s">
        <v>379</v>
      </c>
      <c r="H108" s="5" t="s">
        <v>374</v>
      </c>
    </row>
    <row r="109" spans="1:8" ht="90" customHeight="1">
      <c r="A109" s="5" t="s">
        <v>145</v>
      </c>
      <c r="B109" s="5" t="s">
        <v>146</v>
      </c>
      <c r="C109" s="5" t="s">
        <v>269</v>
      </c>
      <c r="D109" s="5" t="s">
        <v>270</v>
      </c>
      <c r="E109" s="5" t="s">
        <v>271</v>
      </c>
      <c r="F109" s="5" t="s">
        <v>55</v>
      </c>
      <c r="G109" s="5" t="s">
        <v>272</v>
      </c>
      <c r="H109" s="5" t="s">
        <v>374</v>
      </c>
    </row>
    <row r="110" spans="1:8" ht="90" customHeight="1">
      <c r="A110" s="5" t="s">
        <v>145</v>
      </c>
      <c r="B110" s="5" t="s">
        <v>146</v>
      </c>
      <c r="C110" s="5" t="s">
        <v>273</v>
      </c>
      <c r="D110" s="5" t="s">
        <v>274</v>
      </c>
      <c r="E110" s="5" t="s">
        <v>275</v>
      </c>
      <c r="F110" s="5" t="s">
        <v>276</v>
      </c>
      <c r="G110" s="5" t="s">
        <v>277</v>
      </c>
      <c r="H110" s="5" t="s">
        <v>278</v>
      </c>
    </row>
    <row r="111" spans="1:8" ht="90" customHeight="1">
      <c r="A111" s="5" t="s">
        <v>145</v>
      </c>
      <c r="B111" s="5" t="s">
        <v>146</v>
      </c>
      <c r="C111" s="5" t="s">
        <v>279</v>
      </c>
      <c r="D111" s="5" t="s">
        <v>280</v>
      </c>
      <c r="E111" s="5" t="s">
        <v>281</v>
      </c>
      <c r="F111" s="5" t="s">
        <v>55</v>
      </c>
      <c r="G111" s="5" t="s">
        <v>282</v>
      </c>
      <c r="H111" s="5" t="s">
        <v>283</v>
      </c>
    </row>
    <row r="112" spans="1:8" ht="90" customHeight="1">
      <c r="A112" s="5" t="s">
        <v>145</v>
      </c>
      <c r="B112" s="5" t="s">
        <v>146</v>
      </c>
      <c r="C112" s="5" t="s">
        <v>284</v>
      </c>
      <c r="D112" s="5" t="s">
        <v>285</v>
      </c>
      <c r="E112" s="5" t="s">
        <v>286</v>
      </c>
      <c r="F112" s="5" t="s">
        <v>55</v>
      </c>
      <c r="G112" s="5" t="s">
        <v>380</v>
      </c>
      <c r="H112" s="5" t="s">
        <v>381</v>
      </c>
    </row>
    <row r="113" spans="1:8" ht="90" customHeight="1">
      <c r="A113" s="5" t="s">
        <v>153</v>
      </c>
      <c r="B113" s="5" t="s">
        <v>154</v>
      </c>
      <c r="C113" s="5" t="s">
        <v>245</v>
      </c>
      <c r="D113" s="5" t="s">
        <v>246</v>
      </c>
      <c r="E113" s="5" t="s">
        <v>247</v>
      </c>
      <c r="F113" s="5" t="s">
        <v>55</v>
      </c>
      <c r="G113" s="5" t="s">
        <v>248</v>
      </c>
      <c r="H113" s="5" t="s">
        <v>382</v>
      </c>
    </row>
    <row r="114" spans="1:8" ht="90" customHeight="1">
      <c r="A114" s="5" t="s">
        <v>153</v>
      </c>
      <c r="B114" s="5" t="s">
        <v>154</v>
      </c>
      <c r="C114" s="5" t="s">
        <v>250</v>
      </c>
      <c r="D114" s="5" t="s">
        <v>383</v>
      </c>
      <c r="E114" s="5" t="s">
        <v>252</v>
      </c>
      <c r="F114" s="5" t="s">
        <v>55</v>
      </c>
      <c r="G114" s="5" t="s">
        <v>253</v>
      </c>
      <c r="H114" s="5" t="s">
        <v>384</v>
      </c>
    </row>
    <row r="115" spans="1:8" ht="90" customHeight="1">
      <c r="A115" s="5" t="s">
        <v>153</v>
      </c>
      <c r="B115" s="5" t="s">
        <v>154</v>
      </c>
      <c r="C115" s="5" t="s">
        <v>255</v>
      </c>
      <c r="D115" s="5" t="s">
        <v>385</v>
      </c>
      <c r="E115" s="5" t="s">
        <v>257</v>
      </c>
      <c r="F115" s="5" t="s">
        <v>55</v>
      </c>
      <c r="G115" s="5" t="s">
        <v>258</v>
      </c>
      <c r="H115" s="5" t="s">
        <v>382</v>
      </c>
    </row>
    <row r="116" spans="1:8" ht="90" customHeight="1">
      <c r="A116" s="5" t="s">
        <v>153</v>
      </c>
      <c r="B116" s="5" t="s">
        <v>154</v>
      </c>
      <c r="C116" s="5" t="s">
        <v>259</v>
      </c>
      <c r="D116" s="5" t="s">
        <v>260</v>
      </c>
      <c r="E116" s="5" t="s">
        <v>261</v>
      </c>
      <c r="F116" s="5" t="s">
        <v>55</v>
      </c>
      <c r="G116" s="5" t="s">
        <v>386</v>
      </c>
      <c r="H116" s="5" t="s">
        <v>382</v>
      </c>
    </row>
    <row r="117" spans="1:8" ht="90" customHeight="1">
      <c r="A117" s="5" t="s">
        <v>153</v>
      </c>
      <c r="B117" s="5" t="s">
        <v>154</v>
      </c>
      <c r="C117" s="5" t="s">
        <v>263</v>
      </c>
      <c r="D117" s="5" t="s">
        <v>387</v>
      </c>
      <c r="E117" s="5" t="s">
        <v>265</v>
      </c>
      <c r="F117" s="5" t="s">
        <v>266</v>
      </c>
      <c r="G117" s="5" t="s">
        <v>388</v>
      </c>
      <c r="H117" s="5" t="s">
        <v>389</v>
      </c>
    </row>
    <row r="118" spans="1:8" ht="90" customHeight="1">
      <c r="A118" s="5" t="s">
        <v>153</v>
      </c>
      <c r="B118" s="5" t="s">
        <v>154</v>
      </c>
      <c r="C118" s="5" t="s">
        <v>269</v>
      </c>
      <c r="D118" s="5" t="s">
        <v>270</v>
      </c>
      <c r="E118" s="5" t="s">
        <v>271</v>
      </c>
      <c r="F118" s="5" t="s">
        <v>55</v>
      </c>
      <c r="G118" s="5" t="s">
        <v>272</v>
      </c>
      <c r="H118" s="5" t="s">
        <v>382</v>
      </c>
    </row>
    <row r="119" spans="1:8" ht="90" customHeight="1">
      <c r="A119" s="5" t="s">
        <v>153</v>
      </c>
      <c r="B119" s="5" t="s">
        <v>154</v>
      </c>
      <c r="C119" s="5" t="s">
        <v>273</v>
      </c>
      <c r="D119" s="5" t="s">
        <v>274</v>
      </c>
      <c r="E119" s="5" t="s">
        <v>275</v>
      </c>
      <c r="F119" s="5" t="s">
        <v>276</v>
      </c>
      <c r="G119" s="5" t="s">
        <v>277</v>
      </c>
      <c r="H119" s="5" t="s">
        <v>278</v>
      </c>
    </row>
    <row r="120" spans="1:8" ht="90" customHeight="1">
      <c r="A120" s="5" t="s">
        <v>153</v>
      </c>
      <c r="B120" s="5" t="s">
        <v>154</v>
      </c>
      <c r="C120" s="5" t="s">
        <v>279</v>
      </c>
      <c r="D120" s="5" t="s">
        <v>280</v>
      </c>
      <c r="E120" s="5" t="s">
        <v>281</v>
      </c>
      <c r="F120" s="5" t="s">
        <v>55</v>
      </c>
      <c r="G120" s="5" t="s">
        <v>282</v>
      </c>
      <c r="H120" s="5" t="s">
        <v>283</v>
      </c>
    </row>
    <row r="121" spans="1:8" ht="90" customHeight="1">
      <c r="A121" s="5" t="s">
        <v>153</v>
      </c>
      <c r="B121" s="5" t="s">
        <v>154</v>
      </c>
      <c r="C121" s="5" t="s">
        <v>284</v>
      </c>
      <c r="D121" s="5" t="s">
        <v>285</v>
      </c>
      <c r="E121" s="5" t="s">
        <v>286</v>
      </c>
      <c r="F121" s="5" t="s">
        <v>55</v>
      </c>
      <c r="G121" s="5" t="s">
        <v>390</v>
      </c>
      <c r="H121" s="5" t="s">
        <v>391</v>
      </c>
    </row>
    <row r="122" spans="1:8" ht="90" customHeight="1">
      <c r="A122" s="5" t="s">
        <v>162</v>
      </c>
      <c r="B122" s="5" t="s">
        <v>163</v>
      </c>
      <c r="C122" s="5" t="s">
        <v>245</v>
      </c>
      <c r="D122" s="5" t="s">
        <v>246</v>
      </c>
      <c r="E122" s="5" t="s">
        <v>247</v>
      </c>
      <c r="F122" s="5" t="s">
        <v>55</v>
      </c>
      <c r="G122" s="5" t="s">
        <v>248</v>
      </c>
      <c r="H122" s="5" t="s">
        <v>392</v>
      </c>
    </row>
    <row r="123" spans="1:8" ht="90" customHeight="1">
      <c r="A123" s="5" t="s">
        <v>162</v>
      </c>
      <c r="B123" s="5" t="s">
        <v>163</v>
      </c>
      <c r="C123" s="5" t="s">
        <v>250</v>
      </c>
      <c r="D123" s="5" t="s">
        <v>393</v>
      </c>
      <c r="E123" s="5" t="s">
        <v>252</v>
      </c>
      <c r="F123" s="5" t="s">
        <v>55</v>
      </c>
      <c r="G123" s="5" t="s">
        <v>253</v>
      </c>
      <c r="H123" s="5" t="s">
        <v>394</v>
      </c>
    </row>
    <row r="124" spans="1:8" ht="90" customHeight="1">
      <c r="A124" s="5" t="s">
        <v>162</v>
      </c>
      <c r="B124" s="5" t="s">
        <v>163</v>
      </c>
      <c r="C124" s="5" t="s">
        <v>255</v>
      </c>
      <c r="D124" s="5" t="s">
        <v>395</v>
      </c>
      <c r="E124" s="5" t="s">
        <v>257</v>
      </c>
      <c r="F124" s="5" t="s">
        <v>55</v>
      </c>
      <c r="G124" s="5" t="s">
        <v>258</v>
      </c>
      <c r="H124" s="5" t="s">
        <v>392</v>
      </c>
    </row>
    <row r="125" spans="1:8" ht="90" customHeight="1">
      <c r="A125" s="5" t="s">
        <v>162</v>
      </c>
      <c r="B125" s="5" t="s">
        <v>163</v>
      </c>
      <c r="C125" s="5" t="s">
        <v>259</v>
      </c>
      <c r="D125" s="5" t="s">
        <v>260</v>
      </c>
      <c r="E125" s="5" t="s">
        <v>261</v>
      </c>
      <c r="F125" s="5" t="s">
        <v>55</v>
      </c>
      <c r="G125" s="5" t="s">
        <v>396</v>
      </c>
      <c r="H125" s="5" t="s">
        <v>392</v>
      </c>
    </row>
    <row r="126" spans="1:8" ht="90" customHeight="1">
      <c r="A126" s="5" t="s">
        <v>162</v>
      </c>
      <c r="B126" s="5" t="s">
        <v>163</v>
      </c>
      <c r="C126" s="5" t="s">
        <v>263</v>
      </c>
      <c r="D126" s="5" t="s">
        <v>397</v>
      </c>
      <c r="E126" s="5" t="s">
        <v>265</v>
      </c>
      <c r="F126" s="5" t="s">
        <v>266</v>
      </c>
      <c r="G126" s="5" t="s">
        <v>398</v>
      </c>
      <c r="H126" s="5" t="s">
        <v>399</v>
      </c>
    </row>
    <row r="127" spans="1:8" ht="90" customHeight="1">
      <c r="A127" s="5" t="s">
        <v>162</v>
      </c>
      <c r="B127" s="5" t="s">
        <v>163</v>
      </c>
      <c r="C127" s="5" t="s">
        <v>269</v>
      </c>
      <c r="D127" s="5" t="s">
        <v>270</v>
      </c>
      <c r="E127" s="5" t="s">
        <v>271</v>
      </c>
      <c r="F127" s="5" t="s">
        <v>55</v>
      </c>
      <c r="G127" s="5" t="s">
        <v>272</v>
      </c>
      <c r="H127" s="5" t="s">
        <v>392</v>
      </c>
    </row>
    <row r="128" spans="1:8" ht="90" customHeight="1">
      <c r="A128" s="5" t="s">
        <v>162</v>
      </c>
      <c r="B128" s="5" t="s">
        <v>163</v>
      </c>
      <c r="C128" s="5" t="s">
        <v>273</v>
      </c>
      <c r="D128" s="5" t="s">
        <v>274</v>
      </c>
      <c r="E128" s="5" t="s">
        <v>275</v>
      </c>
      <c r="F128" s="5" t="s">
        <v>276</v>
      </c>
      <c r="G128" s="5" t="s">
        <v>277</v>
      </c>
      <c r="H128" s="5" t="s">
        <v>278</v>
      </c>
    </row>
    <row r="129" spans="1:8" ht="90" customHeight="1">
      <c r="A129" s="5" t="s">
        <v>162</v>
      </c>
      <c r="B129" s="5" t="s">
        <v>163</v>
      </c>
      <c r="C129" s="5" t="s">
        <v>279</v>
      </c>
      <c r="D129" s="5" t="s">
        <v>280</v>
      </c>
      <c r="E129" s="5" t="s">
        <v>281</v>
      </c>
      <c r="F129" s="5" t="s">
        <v>55</v>
      </c>
      <c r="G129" s="5" t="s">
        <v>282</v>
      </c>
      <c r="H129" s="5" t="s">
        <v>283</v>
      </c>
    </row>
    <row r="130" spans="1:8" ht="90" customHeight="1">
      <c r="A130" s="5" t="s">
        <v>162</v>
      </c>
      <c r="B130" s="5" t="s">
        <v>163</v>
      </c>
      <c r="C130" s="5" t="s">
        <v>284</v>
      </c>
      <c r="D130" s="5" t="s">
        <v>285</v>
      </c>
      <c r="E130" s="5" t="s">
        <v>286</v>
      </c>
      <c r="F130" s="5" t="s">
        <v>55</v>
      </c>
      <c r="G130" s="5" t="s">
        <v>400</v>
      </c>
      <c r="H130" s="5" t="s">
        <v>401</v>
      </c>
    </row>
    <row r="131" spans="1:8" ht="90" customHeight="1">
      <c r="A131" s="5" t="s">
        <v>171</v>
      </c>
      <c r="B131" s="5" t="s">
        <v>172</v>
      </c>
      <c r="C131" s="5" t="s">
        <v>245</v>
      </c>
      <c r="D131" s="5" t="s">
        <v>246</v>
      </c>
      <c r="E131" s="5" t="s">
        <v>247</v>
      </c>
      <c r="F131" s="5" t="s">
        <v>55</v>
      </c>
      <c r="G131" s="5" t="s">
        <v>248</v>
      </c>
      <c r="H131" s="5" t="s">
        <v>402</v>
      </c>
    </row>
    <row r="132" spans="1:8" ht="90" customHeight="1">
      <c r="A132" s="5" t="s">
        <v>171</v>
      </c>
      <c r="B132" s="5" t="s">
        <v>172</v>
      </c>
      <c r="C132" s="5" t="s">
        <v>250</v>
      </c>
      <c r="D132" s="5" t="s">
        <v>403</v>
      </c>
      <c r="E132" s="5" t="s">
        <v>252</v>
      </c>
      <c r="F132" s="5" t="s">
        <v>55</v>
      </c>
      <c r="G132" s="5" t="s">
        <v>253</v>
      </c>
      <c r="H132" s="5" t="s">
        <v>404</v>
      </c>
    </row>
    <row r="133" spans="1:8" ht="90" customHeight="1">
      <c r="A133" s="5" t="s">
        <v>171</v>
      </c>
      <c r="B133" s="5" t="s">
        <v>172</v>
      </c>
      <c r="C133" s="5" t="s">
        <v>255</v>
      </c>
      <c r="D133" s="5" t="s">
        <v>405</v>
      </c>
      <c r="E133" s="5" t="s">
        <v>257</v>
      </c>
      <c r="F133" s="5" t="s">
        <v>55</v>
      </c>
      <c r="G133" s="5" t="s">
        <v>258</v>
      </c>
      <c r="H133" s="5" t="s">
        <v>402</v>
      </c>
    </row>
    <row r="134" spans="1:8" ht="90" customHeight="1">
      <c r="A134" s="5" t="s">
        <v>171</v>
      </c>
      <c r="B134" s="5" t="s">
        <v>172</v>
      </c>
      <c r="C134" s="5" t="s">
        <v>259</v>
      </c>
      <c r="D134" s="5" t="s">
        <v>260</v>
      </c>
      <c r="E134" s="5" t="s">
        <v>261</v>
      </c>
      <c r="F134" s="5" t="s">
        <v>55</v>
      </c>
      <c r="G134" s="5" t="s">
        <v>406</v>
      </c>
      <c r="H134" s="5" t="s">
        <v>402</v>
      </c>
    </row>
    <row r="135" spans="1:8" ht="90" customHeight="1">
      <c r="A135" s="5" t="s">
        <v>171</v>
      </c>
      <c r="B135" s="5" t="s">
        <v>172</v>
      </c>
      <c r="C135" s="5" t="s">
        <v>263</v>
      </c>
      <c r="D135" s="5" t="s">
        <v>407</v>
      </c>
      <c r="E135" s="5" t="s">
        <v>265</v>
      </c>
      <c r="F135" s="5" t="s">
        <v>266</v>
      </c>
      <c r="G135" s="5" t="s">
        <v>408</v>
      </c>
      <c r="H135" s="5" t="s">
        <v>409</v>
      </c>
    </row>
    <row r="136" spans="1:8" ht="90" customHeight="1">
      <c r="A136" s="5" t="s">
        <v>171</v>
      </c>
      <c r="B136" s="5" t="s">
        <v>172</v>
      </c>
      <c r="C136" s="5" t="s">
        <v>269</v>
      </c>
      <c r="D136" s="5" t="s">
        <v>270</v>
      </c>
      <c r="E136" s="5" t="s">
        <v>271</v>
      </c>
      <c r="F136" s="5" t="s">
        <v>55</v>
      </c>
      <c r="G136" s="5" t="s">
        <v>272</v>
      </c>
      <c r="H136" s="5" t="s">
        <v>402</v>
      </c>
    </row>
    <row r="137" spans="1:8" ht="90" customHeight="1">
      <c r="A137" s="5" t="s">
        <v>171</v>
      </c>
      <c r="B137" s="5" t="s">
        <v>172</v>
      </c>
      <c r="C137" s="5" t="s">
        <v>273</v>
      </c>
      <c r="D137" s="5" t="s">
        <v>274</v>
      </c>
      <c r="E137" s="5" t="s">
        <v>275</v>
      </c>
      <c r="F137" s="5" t="s">
        <v>276</v>
      </c>
      <c r="G137" s="5" t="s">
        <v>277</v>
      </c>
      <c r="H137" s="5" t="s">
        <v>278</v>
      </c>
    </row>
    <row r="138" spans="1:8" ht="90" customHeight="1">
      <c r="A138" s="5" t="s">
        <v>171</v>
      </c>
      <c r="B138" s="5" t="s">
        <v>172</v>
      </c>
      <c r="C138" s="5" t="s">
        <v>279</v>
      </c>
      <c r="D138" s="5" t="s">
        <v>280</v>
      </c>
      <c r="E138" s="5" t="s">
        <v>281</v>
      </c>
      <c r="F138" s="5" t="s">
        <v>55</v>
      </c>
      <c r="G138" s="5" t="s">
        <v>282</v>
      </c>
      <c r="H138" s="5" t="s">
        <v>283</v>
      </c>
    </row>
    <row r="139" spans="1:8" ht="90" customHeight="1">
      <c r="A139" s="5" t="s">
        <v>171</v>
      </c>
      <c r="B139" s="5" t="s">
        <v>172</v>
      </c>
      <c r="C139" s="5" t="s">
        <v>284</v>
      </c>
      <c r="D139" s="5" t="s">
        <v>285</v>
      </c>
      <c r="E139" s="5" t="s">
        <v>286</v>
      </c>
      <c r="F139" s="5" t="s">
        <v>55</v>
      </c>
      <c r="G139" s="5" t="s">
        <v>410</v>
      </c>
      <c r="H139" s="5" t="s">
        <v>411</v>
      </c>
    </row>
    <row r="140" spans="1:8" ht="90" customHeight="1">
      <c r="A140" s="5" t="s">
        <v>180</v>
      </c>
      <c r="B140" s="5" t="s">
        <v>181</v>
      </c>
      <c r="C140" s="5" t="s">
        <v>245</v>
      </c>
      <c r="D140" s="5" t="s">
        <v>246</v>
      </c>
      <c r="E140" s="5" t="s">
        <v>247</v>
      </c>
      <c r="F140" s="5" t="s">
        <v>55</v>
      </c>
      <c r="G140" s="5" t="s">
        <v>248</v>
      </c>
      <c r="H140" s="5" t="s">
        <v>412</v>
      </c>
    </row>
    <row r="141" spans="1:8" ht="90" customHeight="1">
      <c r="A141" s="5" t="s">
        <v>180</v>
      </c>
      <c r="B141" s="5" t="s">
        <v>181</v>
      </c>
      <c r="C141" s="5" t="s">
        <v>250</v>
      </c>
      <c r="D141" s="5" t="s">
        <v>413</v>
      </c>
      <c r="E141" s="5" t="s">
        <v>252</v>
      </c>
      <c r="F141" s="5" t="s">
        <v>55</v>
      </c>
      <c r="G141" s="5" t="s">
        <v>253</v>
      </c>
      <c r="H141" s="5" t="s">
        <v>414</v>
      </c>
    </row>
    <row r="142" spans="1:8" ht="90" customHeight="1">
      <c r="A142" s="5" t="s">
        <v>180</v>
      </c>
      <c r="B142" s="5" t="s">
        <v>181</v>
      </c>
      <c r="C142" s="5" t="s">
        <v>255</v>
      </c>
      <c r="D142" s="5" t="s">
        <v>354</v>
      </c>
      <c r="E142" s="5" t="s">
        <v>257</v>
      </c>
      <c r="F142" s="5" t="s">
        <v>55</v>
      </c>
      <c r="G142" s="5" t="s">
        <v>258</v>
      </c>
      <c r="H142" s="5" t="s">
        <v>412</v>
      </c>
    </row>
    <row r="143" spans="1:8" ht="90" customHeight="1">
      <c r="A143" s="5" t="s">
        <v>180</v>
      </c>
      <c r="B143" s="5" t="s">
        <v>181</v>
      </c>
      <c r="C143" s="5" t="s">
        <v>259</v>
      </c>
      <c r="D143" s="5" t="s">
        <v>260</v>
      </c>
      <c r="E143" s="5" t="s">
        <v>261</v>
      </c>
      <c r="F143" s="5" t="s">
        <v>55</v>
      </c>
      <c r="G143" s="5" t="s">
        <v>415</v>
      </c>
      <c r="H143" s="5" t="s">
        <v>412</v>
      </c>
    </row>
    <row r="144" spans="1:8" ht="90" customHeight="1">
      <c r="A144" s="5" t="s">
        <v>180</v>
      </c>
      <c r="B144" s="5" t="s">
        <v>181</v>
      </c>
      <c r="C144" s="5" t="s">
        <v>263</v>
      </c>
      <c r="D144" s="5" t="s">
        <v>304</v>
      </c>
      <c r="E144" s="5" t="s">
        <v>265</v>
      </c>
      <c r="F144" s="5" t="s">
        <v>305</v>
      </c>
      <c r="G144" s="5" t="s">
        <v>416</v>
      </c>
      <c r="H144" s="5" t="s">
        <v>412</v>
      </c>
    </row>
    <row r="145" spans="1:8" ht="90" customHeight="1">
      <c r="A145" s="5" t="s">
        <v>180</v>
      </c>
      <c r="B145" s="5" t="s">
        <v>181</v>
      </c>
      <c r="C145" s="5" t="s">
        <v>269</v>
      </c>
      <c r="D145" s="5" t="s">
        <v>270</v>
      </c>
      <c r="E145" s="5" t="s">
        <v>271</v>
      </c>
      <c r="F145" s="5" t="s">
        <v>55</v>
      </c>
      <c r="G145" s="5" t="s">
        <v>272</v>
      </c>
      <c r="H145" s="5" t="s">
        <v>412</v>
      </c>
    </row>
    <row r="146" spans="1:8" ht="90" customHeight="1">
      <c r="A146" s="5" t="s">
        <v>180</v>
      </c>
      <c r="B146" s="5" t="s">
        <v>181</v>
      </c>
      <c r="C146" s="5" t="s">
        <v>273</v>
      </c>
      <c r="D146" s="5" t="s">
        <v>274</v>
      </c>
      <c r="E146" s="5" t="s">
        <v>275</v>
      </c>
      <c r="F146" s="5" t="s">
        <v>276</v>
      </c>
      <c r="G146" s="5" t="s">
        <v>277</v>
      </c>
      <c r="H146" s="5" t="s">
        <v>278</v>
      </c>
    </row>
    <row r="147" spans="1:8" ht="90" customHeight="1">
      <c r="A147" s="5" t="s">
        <v>180</v>
      </c>
      <c r="B147" s="5" t="s">
        <v>181</v>
      </c>
      <c r="C147" s="5" t="s">
        <v>279</v>
      </c>
      <c r="D147" s="5" t="s">
        <v>280</v>
      </c>
      <c r="E147" s="5" t="s">
        <v>281</v>
      </c>
      <c r="F147" s="5" t="s">
        <v>55</v>
      </c>
      <c r="G147" s="5" t="s">
        <v>282</v>
      </c>
      <c r="H147" s="5" t="s">
        <v>283</v>
      </c>
    </row>
    <row r="148" spans="1:8" ht="90" customHeight="1">
      <c r="A148" s="5" t="s">
        <v>180</v>
      </c>
      <c r="B148" s="5" t="s">
        <v>181</v>
      </c>
      <c r="C148" s="5" t="s">
        <v>284</v>
      </c>
      <c r="D148" s="5" t="s">
        <v>285</v>
      </c>
      <c r="E148" s="5" t="s">
        <v>286</v>
      </c>
      <c r="F148" s="5" t="s">
        <v>55</v>
      </c>
      <c r="G148" s="5" t="s">
        <v>417</v>
      </c>
      <c r="H148" s="5" t="s">
        <v>418</v>
      </c>
    </row>
    <row r="149" spans="1:8" ht="90" customHeight="1">
      <c r="A149" s="5" t="s">
        <v>188</v>
      </c>
      <c r="B149" s="5" t="s">
        <v>189</v>
      </c>
      <c r="C149" s="5" t="s">
        <v>245</v>
      </c>
      <c r="D149" s="5" t="s">
        <v>246</v>
      </c>
      <c r="E149" s="5" t="s">
        <v>247</v>
      </c>
      <c r="F149" s="5" t="s">
        <v>55</v>
      </c>
      <c r="G149" s="5" t="s">
        <v>248</v>
      </c>
      <c r="H149" s="5" t="s">
        <v>419</v>
      </c>
    </row>
    <row r="150" spans="1:8" ht="90" customHeight="1">
      <c r="A150" s="5" t="s">
        <v>188</v>
      </c>
      <c r="B150" s="5" t="s">
        <v>189</v>
      </c>
      <c r="C150" s="5" t="s">
        <v>250</v>
      </c>
      <c r="D150" s="5" t="s">
        <v>420</v>
      </c>
      <c r="E150" s="5" t="s">
        <v>252</v>
      </c>
      <c r="F150" s="5" t="s">
        <v>55</v>
      </c>
      <c r="G150" s="5" t="s">
        <v>253</v>
      </c>
      <c r="H150" s="5" t="s">
        <v>421</v>
      </c>
    </row>
    <row r="151" spans="1:8" ht="90" customHeight="1">
      <c r="A151" s="5" t="s">
        <v>188</v>
      </c>
      <c r="B151" s="5" t="s">
        <v>189</v>
      </c>
      <c r="C151" s="5" t="s">
        <v>255</v>
      </c>
      <c r="D151" s="5" t="s">
        <v>422</v>
      </c>
      <c r="E151" s="5" t="s">
        <v>257</v>
      </c>
      <c r="F151" s="5" t="s">
        <v>55</v>
      </c>
      <c r="G151" s="5" t="s">
        <v>258</v>
      </c>
      <c r="H151" s="5" t="s">
        <v>419</v>
      </c>
    </row>
    <row r="152" spans="1:8" ht="90" customHeight="1">
      <c r="A152" s="5" t="s">
        <v>188</v>
      </c>
      <c r="B152" s="5" t="s">
        <v>189</v>
      </c>
      <c r="C152" s="5" t="s">
        <v>259</v>
      </c>
      <c r="D152" s="5" t="s">
        <v>260</v>
      </c>
      <c r="E152" s="5" t="s">
        <v>261</v>
      </c>
      <c r="F152" s="5" t="s">
        <v>55</v>
      </c>
      <c r="G152" s="5" t="s">
        <v>423</v>
      </c>
      <c r="H152" s="5" t="s">
        <v>419</v>
      </c>
    </row>
    <row r="153" spans="1:8" ht="90" customHeight="1">
      <c r="A153" s="5" t="s">
        <v>188</v>
      </c>
      <c r="B153" s="5" t="s">
        <v>189</v>
      </c>
      <c r="C153" s="5" t="s">
        <v>263</v>
      </c>
      <c r="D153" s="5" t="s">
        <v>304</v>
      </c>
      <c r="E153" s="5" t="s">
        <v>265</v>
      </c>
      <c r="F153" s="5" t="s">
        <v>305</v>
      </c>
      <c r="G153" s="5" t="s">
        <v>424</v>
      </c>
      <c r="H153" s="5" t="s">
        <v>419</v>
      </c>
    </row>
    <row r="154" spans="1:8" ht="90" customHeight="1">
      <c r="A154" s="5" t="s">
        <v>188</v>
      </c>
      <c r="B154" s="5" t="s">
        <v>189</v>
      </c>
      <c r="C154" s="5" t="s">
        <v>269</v>
      </c>
      <c r="D154" s="5" t="s">
        <v>270</v>
      </c>
      <c r="E154" s="5" t="s">
        <v>271</v>
      </c>
      <c r="F154" s="5" t="s">
        <v>55</v>
      </c>
      <c r="G154" s="5" t="s">
        <v>272</v>
      </c>
      <c r="H154" s="5" t="s">
        <v>419</v>
      </c>
    </row>
    <row r="155" spans="1:8" ht="90" customHeight="1">
      <c r="A155" s="5" t="s">
        <v>188</v>
      </c>
      <c r="B155" s="5" t="s">
        <v>189</v>
      </c>
      <c r="C155" s="5" t="s">
        <v>273</v>
      </c>
      <c r="D155" s="5" t="s">
        <v>274</v>
      </c>
      <c r="E155" s="5" t="s">
        <v>275</v>
      </c>
      <c r="F155" s="5" t="s">
        <v>276</v>
      </c>
      <c r="G155" s="5" t="s">
        <v>277</v>
      </c>
      <c r="H155" s="5" t="s">
        <v>278</v>
      </c>
    </row>
    <row r="156" spans="1:8" ht="90" customHeight="1">
      <c r="A156" s="5" t="s">
        <v>188</v>
      </c>
      <c r="B156" s="5" t="s">
        <v>189</v>
      </c>
      <c r="C156" s="5" t="s">
        <v>279</v>
      </c>
      <c r="D156" s="5" t="s">
        <v>280</v>
      </c>
      <c r="E156" s="5" t="s">
        <v>281</v>
      </c>
      <c r="F156" s="5" t="s">
        <v>55</v>
      </c>
      <c r="G156" s="5" t="s">
        <v>282</v>
      </c>
      <c r="H156" s="5" t="s">
        <v>283</v>
      </c>
    </row>
    <row r="157" spans="1:8" ht="90" customHeight="1">
      <c r="A157" s="5" t="s">
        <v>188</v>
      </c>
      <c r="B157" s="5" t="s">
        <v>189</v>
      </c>
      <c r="C157" s="5" t="s">
        <v>284</v>
      </c>
      <c r="D157" s="5" t="s">
        <v>285</v>
      </c>
      <c r="E157" s="5" t="s">
        <v>286</v>
      </c>
      <c r="F157" s="5" t="s">
        <v>55</v>
      </c>
      <c r="G157" s="5" t="s">
        <v>425</v>
      </c>
      <c r="H157" s="5" t="s">
        <v>426</v>
      </c>
    </row>
    <row r="158" spans="1:8" ht="90" customHeight="1">
      <c r="A158" s="5" t="s">
        <v>196</v>
      </c>
      <c r="B158" s="5" t="s">
        <v>197</v>
      </c>
      <c r="C158" s="5" t="s">
        <v>245</v>
      </c>
      <c r="D158" s="5" t="s">
        <v>246</v>
      </c>
      <c r="E158" s="5" t="s">
        <v>247</v>
      </c>
      <c r="F158" s="5" t="s">
        <v>55</v>
      </c>
      <c r="G158" s="5" t="s">
        <v>248</v>
      </c>
      <c r="H158" s="5" t="s">
        <v>427</v>
      </c>
    </row>
    <row r="159" spans="1:8" ht="90" customHeight="1">
      <c r="A159" s="5" t="s">
        <v>196</v>
      </c>
      <c r="B159" s="5" t="s">
        <v>197</v>
      </c>
      <c r="C159" s="5" t="s">
        <v>250</v>
      </c>
      <c r="D159" s="5" t="s">
        <v>428</v>
      </c>
      <c r="E159" s="5" t="s">
        <v>252</v>
      </c>
      <c r="F159" s="5" t="s">
        <v>55</v>
      </c>
      <c r="G159" s="5" t="s">
        <v>253</v>
      </c>
      <c r="H159" s="5" t="s">
        <v>429</v>
      </c>
    </row>
    <row r="160" spans="1:8" ht="90" customHeight="1">
      <c r="A160" s="5" t="s">
        <v>196</v>
      </c>
      <c r="B160" s="5" t="s">
        <v>197</v>
      </c>
      <c r="C160" s="5" t="s">
        <v>255</v>
      </c>
      <c r="D160" s="5" t="s">
        <v>430</v>
      </c>
      <c r="E160" s="5" t="s">
        <v>257</v>
      </c>
      <c r="F160" s="5" t="s">
        <v>55</v>
      </c>
      <c r="G160" s="5" t="s">
        <v>258</v>
      </c>
      <c r="H160" s="5" t="s">
        <v>427</v>
      </c>
    </row>
    <row r="161" spans="1:8" ht="90" customHeight="1">
      <c r="A161" s="5" t="s">
        <v>196</v>
      </c>
      <c r="B161" s="5" t="s">
        <v>197</v>
      </c>
      <c r="C161" s="5" t="s">
        <v>259</v>
      </c>
      <c r="D161" s="5" t="s">
        <v>260</v>
      </c>
      <c r="E161" s="5" t="s">
        <v>261</v>
      </c>
      <c r="F161" s="5" t="s">
        <v>55</v>
      </c>
      <c r="G161" s="5" t="s">
        <v>431</v>
      </c>
      <c r="H161" s="5" t="s">
        <v>427</v>
      </c>
    </row>
    <row r="162" spans="1:8" ht="90" customHeight="1">
      <c r="A162" s="5" t="s">
        <v>196</v>
      </c>
      <c r="B162" s="5" t="s">
        <v>197</v>
      </c>
      <c r="C162" s="5" t="s">
        <v>263</v>
      </c>
      <c r="D162" s="5" t="s">
        <v>304</v>
      </c>
      <c r="E162" s="5" t="s">
        <v>265</v>
      </c>
      <c r="F162" s="5" t="s">
        <v>305</v>
      </c>
      <c r="G162" s="5" t="s">
        <v>432</v>
      </c>
      <c r="H162" s="5" t="s">
        <v>427</v>
      </c>
    </row>
    <row r="163" spans="1:8" ht="90" customHeight="1">
      <c r="A163" s="5" t="s">
        <v>196</v>
      </c>
      <c r="B163" s="5" t="s">
        <v>197</v>
      </c>
      <c r="C163" s="5" t="s">
        <v>269</v>
      </c>
      <c r="D163" s="5" t="s">
        <v>270</v>
      </c>
      <c r="E163" s="5" t="s">
        <v>271</v>
      </c>
      <c r="F163" s="5" t="s">
        <v>55</v>
      </c>
      <c r="G163" s="5" t="s">
        <v>272</v>
      </c>
      <c r="H163" s="5" t="s">
        <v>427</v>
      </c>
    </row>
    <row r="164" spans="1:8" ht="90" customHeight="1">
      <c r="A164" s="5" t="s">
        <v>196</v>
      </c>
      <c r="B164" s="5" t="s">
        <v>197</v>
      </c>
      <c r="C164" s="5" t="s">
        <v>273</v>
      </c>
      <c r="D164" s="5" t="s">
        <v>274</v>
      </c>
      <c r="E164" s="5" t="s">
        <v>275</v>
      </c>
      <c r="F164" s="5" t="s">
        <v>276</v>
      </c>
      <c r="G164" s="5" t="s">
        <v>277</v>
      </c>
      <c r="H164" s="5" t="s">
        <v>278</v>
      </c>
    </row>
    <row r="165" spans="1:8" ht="90" customHeight="1">
      <c r="A165" s="5" t="s">
        <v>196</v>
      </c>
      <c r="B165" s="5" t="s">
        <v>197</v>
      </c>
      <c r="C165" s="5" t="s">
        <v>279</v>
      </c>
      <c r="D165" s="5" t="s">
        <v>280</v>
      </c>
      <c r="E165" s="5" t="s">
        <v>281</v>
      </c>
      <c r="F165" s="5" t="s">
        <v>55</v>
      </c>
      <c r="G165" s="5" t="s">
        <v>282</v>
      </c>
      <c r="H165" s="5" t="s">
        <v>283</v>
      </c>
    </row>
    <row r="166" spans="1:8" ht="90" customHeight="1">
      <c r="A166" s="5" t="s">
        <v>196</v>
      </c>
      <c r="B166" s="5" t="s">
        <v>197</v>
      </c>
      <c r="C166" s="5" t="s">
        <v>284</v>
      </c>
      <c r="D166" s="5" t="s">
        <v>285</v>
      </c>
      <c r="E166" s="5" t="s">
        <v>286</v>
      </c>
      <c r="F166" s="5" t="s">
        <v>55</v>
      </c>
      <c r="G166" s="5" t="s">
        <v>433</v>
      </c>
      <c r="H166" s="5" t="s">
        <v>434</v>
      </c>
    </row>
    <row r="167" spans="1:8" ht="90" customHeight="1">
      <c r="A167" s="5" t="s">
        <v>204</v>
      </c>
      <c r="B167" s="5" t="s">
        <v>205</v>
      </c>
      <c r="C167" s="5" t="s">
        <v>245</v>
      </c>
      <c r="D167" s="5" t="s">
        <v>246</v>
      </c>
      <c r="E167" s="5" t="s">
        <v>247</v>
      </c>
      <c r="F167" s="5" t="s">
        <v>55</v>
      </c>
      <c r="G167" s="5" t="s">
        <v>248</v>
      </c>
      <c r="H167" s="5" t="s">
        <v>435</v>
      </c>
    </row>
    <row r="168" spans="1:8" ht="90" customHeight="1">
      <c r="A168" s="5" t="s">
        <v>204</v>
      </c>
      <c r="B168" s="5" t="s">
        <v>205</v>
      </c>
      <c r="C168" s="5" t="s">
        <v>250</v>
      </c>
      <c r="D168" s="5" t="s">
        <v>436</v>
      </c>
      <c r="E168" s="5" t="s">
        <v>252</v>
      </c>
      <c r="F168" s="5" t="s">
        <v>55</v>
      </c>
      <c r="G168" s="5" t="s">
        <v>253</v>
      </c>
      <c r="H168" s="5" t="s">
        <v>437</v>
      </c>
    </row>
    <row r="169" spans="1:8" ht="90" customHeight="1">
      <c r="A169" s="5" t="s">
        <v>204</v>
      </c>
      <c r="B169" s="5" t="s">
        <v>205</v>
      </c>
      <c r="C169" s="5" t="s">
        <v>255</v>
      </c>
      <c r="D169" s="5" t="s">
        <v>438</v>
      </c>
      <c r="E169" s="5" t="s">
        <v>257</v>
      </c>
      <c r="F169" s="5" t="s">
        <v>55</v>
      </c>
      <c r="G169" s="5" t="s">
        <v>258</v>
      </c>
      <c r="H169" s="5" t="s">
        <v>435</v>
      </c>
    </row>
    <row r="170" spans="1:8" ht="90" customHeight="1">
      <c r="A170" s="5" t="s">
        <v>204</v>
      </c>
      <c r="B170" s="5" t="s">
        <v>205</v>
      </c>
      <c r="C170" s="5" t="s">
        <v>259</v>
      </c>
      <c r="D170" s="5" t="s">
        <v>260</v>
      </c>
      <c r="E170" s="5" t="s">
        <v>261</v>
      </c>
      <c r="F170" s="5" t="s">
        <v>55</v>
      </c>
      <c r="G170" s="5" t="s">
        <v>439</v>
      </c>
      <c r="H170" s="5" t="s">
        <v>435</v>
      </c>
    </row>
    <row r="171" spans="1:8" ht="90" customHeight="1">
      <c r="A171" s="5" t="s">
        <v>204</v>
      </c>
      <c r="B171" s="5" t="s">
        <v>205</v>
      </c>
      <c r="C171" s="5" t="s">
        <v>263</v>
      </c>
      <c r="D171" s="5" t="s">
        <v>304</v>
      </c>
      <c r="E171" s="5" t="s">
        <v>265</v>
      </c>
      <c r="F171" s="5" t="s">
        <v>305</v>
      </c>
      <c r="G171" s="5" t="s">
        <v>440</v>
      </c>
      <c r="H171" s="5" t="s">
        <v>435</v>
      </c>
    </row>
    <row r="172" spans="1:8" ht="90" customHeight="1">
      <c r="A172" s="5" t="s">
        <v>204</v>
      </c>
      <c r="B172" s="5" t="s">
        <v>205</v>
      </c>
      <c r="C172" s="5" t="s">
        <v>269</v>
      </c>
      <c r="D172" s="5" t="s">
        <v>270</v>
      </c>
      <c r="E172" s="5" t="s">
        <v>271</v>
      </c>
      <c r="F172" s="5" t="s">
        <v>55</v>
      </c>
      <c r="G172" s="5" t="s">
        <v>272</v>
      </c>
      <c r="H172" s="5" t="s">
        <v>435</v>
      </c>
    </row>
    <row r="173" spans="1:8" ht="90" customHeight="1">
      <c r="A173" s="5" t="s">
        <v>204</v>
      </c>
      <c r="B173" s="5" t="s">
        <v>205</v>
      </c>
      <c r="C173" s="5" t="s">
        <v>273</v>
      </c>
      <c r="D173" s="5" t="s">
        <v>274</v>
      </c>
      <c r="E173" s="5" t="s">
        <v>275</v>
      </c>
      <c r="F173" s="5" t="s">
        <v>276</v>
      </c>
      <c r="G173" s="5" t="s">
        <v>277</v>
      </c>
      <c r="H173" s="5" t="s">
        <v>278</v>
      </c>
    </row>
    <row r="174" spans="1:8" ht="90" customHeight="1">
      <c r="A174" s="5" t="s">
        <v>204</v>
      </c>
      <c r="B174" s="5" t="s">
        <v>205</v>
      </c>
      <c r="C174" s="5" t="s">
        <v>279</v>
      </c>
      <c r="D174" s="5" t="s">
        <v>280</v>
      </c>
      <c r="E174" s="5" t="s">
        <v>281</v>
      </c>
      <c r="F174" s="5" t="s">
        <v>55</v>
      </c>
      <c r="G174" s="5" t="s">
        <v>282</v>
      </c>
      <c r="H174" s="5" t="s">
        <v>283</v>
      </c>
    </row>
    <row r="175" spans="1:8" ht="90" customHeight="1">
      <c r="A175" s="5" t="s">
        <v>204</v>
      </c>
      <c r="B175" s="5" t="s">
        <v>205</v>
      </c>
      <c r="C175" s="5" t="s">
        <v>284</v>
      </c>
      <c r="D175" s="5" t="s">
        <v>285</v>
      </c>
      <c r="E175" s="5" t="s">
        <v>286</v>
      </c>
      <c r="F175" s="5" t="s">
        <v>55</v>
      </c>
      <c r="G175" s="5" t="s">
        <v>441</v>
      </c>
      <c r="H175" s="5" t="s">
        <v>442</v>
      </c>
    </row>
    <row r="176" spans="1:8" ht="90" customHeight="1">
      <c r="A176" s="5" t="s">
        <v>212</v>
      </c>
      <c r="B176" s="5" t="s">
        <v>213</v>
      </c>
      <c r="C176" s="5" t="s">
        <v>245</v>
      </c>
      <c r="D176" s="5" t="s">
        <v>246</v>
      </c>
      <c r="E176" s="5" t="s">
        <v>247</v>
      </c>
      <c r="F176" s="5" t="s">
        <v>55</v>
      </c>
      <c r="G176" s="5" t="s">
        <v>248</v>
      </c>
      <c r="H176" s="5" t="s">
        <v>443</v>
      </c>
    </row>
    <row r="177" spans="1:8" ht="90" customHeight="1">
      <c r="A177" s="5" t="s">
        <v>212</v>
      </c>
      <c r="B177" s="5" t="s">
        <v>213</v>
      </c>
      <c r="C177" s="5" t="s">
        <v>250</v>
      </c>
      <c r="D177" s="5" t="s">
        <v>444</v>
      </c>
      <c r="E177" s="5" t="s">
        <v>252</v>
      </c>
      <c r="F177" s="5" t="s">
        <v>55</v>
      </c>
      <c r="G177" s="5" t="s">
        <v>253</v>
      </c>
      <c r="H177" s="5" t="s">
        <v>445</v>
      </c>
    </row>
    <row r="178" spans="1:8" ht="90" customHeight="1">
      <c r="A178" s="5" t="s">
        <v>212</v>
      </c>
      <c r="B178" s="5" t="s">
        <v>213</v>
      </c>
      <c r="C178" s="5" t="s">
        <v>255</v>
      </c>
      <c r="D178" s="5" t="s">
        <v>446</v>
      </c>
      <c r="E178" s="5" t="s">
        <v>257</v>
      </c>
      <c r="F178" s="5" t="s">
        <v>55</v>
      </c>
      <c r="G178" s="5" t="s">
        <v>258</v>
      </c>
      <c r="H178" s="5" t="s">
        <v>443</v>
      </c>
    </row>
    <row r="179" spans="1:8" ht="90" customHeight="1">
      <c r="A179" s="5" t="s">
        <v>212</v>
      </c>
      <c r="B179" s="5" t="s">
        <v>213</v>
      </c>
      <c r="C179" s="5" t="s">
        <v>259</v>
      </c>
      <c r="D179" s="5" t="s">
        <v>260</v>
      </c>
      <c r="E179" s="5" t="s">
        <v>261</v>
      </c>
      <c r="F179" s="5" t="s">
        <v>55</v>
      </c>
      <c r="G179" s="5" t="s">
        <v>447</v>
      </c>
      <c r="H179" s="5" t="s">
        <v>443</v>
      </c>
    </row>
    <row r="180" spans="1:8" ht="90" customHeight="1">
      <c r="A180" s="5" t="s">
        <v>212</v>
      </c>
      <c r="B180" s="5" t="s">
        <v>213</v>
      </c>
      <c r="C180" s="5" t="s">
        <v>263</v>
      </c>
      <c r="D180" s="5" t="s">
        <v>304</v>
      </c>
      <c r="E180" s="5" t="s">
        <v>265</v>
      </c>
      <c r="F180" s="5" t="s">
        <v>305</v>
      </c>
      <c r="G180" s="5" t="s">
        <v>448</v>
      </c>
      <c r="H180" s="5" t="s">
        <v>443</v>
      </c>
    </row>
    <row r="181" spans="1:8" ht="90" customHeight="1">
      <c r="A181" s="5" t="s">
        <v>212</v>
      </c>
      <c r="B181" s="5" t="s">
        <v>213</v>
      </c>
      <c r="C181" s="5" t="s">
        <v>269</v>
      </c>
      <c r="D181" s="5" t="s">
        <v>270</v>
      </c>
      <c r="E181" s="5" t="s">
        <v>271</v>
      </c>
      <c r="F181" s="5" t="s">
        <v>55</v>
      </c>
      <c r="G181" s="5" t="s">
        <v>272</v>
      </c>
      <c r="H181" s="5" t="s">
        <v>443</v>
      </c>
    </row>
    <row r="182" spans="1:8" ht="90" customHeight="1">
      <c r="A182" s="5" t="s">
        <v>212</v>
      </c>
      <c r="B182" s="5" t="s">
        <v>213</v>
      </c>
      <c r="C182" s="5" t="s">
        <v>273</v>
      </c>
      <c r="D182" s="5" t="s">
        <v>274</v>
      </c>
      <c r="E182" s="5" t="s">
        <v>275</v>
      </c>
      <c r="F182" s="5" t="s">
        <v>276</v>
      </c>
      <c r="G182" s="5" t="s">
        <v>277</v>
      </c>
      <c r="H182" s="5" t="s">
        <v>278</v>
      </c>
    </row>
    <row r="183" spans="1:8" ht="90" customHeight="1">
      <c r="A183" s="5" t="s">
        <v>212</v>
      </c>
      <c r="B183" s="5" t="s">
        <v>213</v>
      </c>
      <c r="C183" s="5" t="s">
        <v>279</v>
      </c>
      <c r="D183" s="5" t="s">
        <v>280</v>
      </c>
      <c r="E183" s="5" t="s">
        <v>281</v>
      </c>
      <c r="F183" s="5" t="s">
        <v>55</v>
      </c>
      <c r="G183" s="5" t="s">
        <v>282</v>
      </c>
      <c r="H183" s="5" t="s">
        <v>283</v>
      </c>
    </row>
    <row r="184" spans="1:8" ht="90" customHeight="1">
      <c r="A184" s="5" t="s">
        <v>212</v>
      </c>
      <c r="B184" s="5" t="s">
        <v>213</v>
      </c>
      <c r="C184" s="5" t="s">
        <v>284</v>
      </c>
      <c r="D184" s="5" t="s">
        <v>285</v>
      </c>
      <c r="E184" s="5" t="s">
        <v>286</v>
      </c>
      <c r="F184" s="5" t="s">
        <v>55</v>
      </c>
      <c r="G184" s="5" t="s">
        <v>449</v>
      </c>
      <c r="H184" s="5" t="s">
        <v>450</v>
      </c>
    </row>
    <row r="185" spans="1:8" ht="90" customHeight="1">
      <c r="A185" s="5" t="s">
        <v>220</v>
      </c>
      <c r="B185" s="5" t="s">
        <v>221</v>
      </c>
      <c r="C185" s="5" t="s">
        <v>245</v>
      </c>
      <c r="D185" s="5" t="s">
        <v>246</v>
      </c>
      <c r="E185" s="5" t="s">
        <v>247</v>
      </c>
      <c r="F185" s="5" t="s">
        <v>55</v>
      </c>
      <c r="G185" s="5" t="s">
        <v>248</v>
      </c>
      <c r="H185" s="5" t="s">
        <v>451</v>
      </c>
    </row>
    <row r="186" spans="1:8" ht="90" customHeight="1">
      <c r="A186" s="5" t="s">
        <v>220</v>
      </c>
      <c r="B186" s="5" t="s">
        <v>221</v>
      </c>
      <c r="C186" s="5" t="s">
        <v>250</v>
      </c>
      <c r="D186" s="5" t="s">
        <v>452</v>
      </c>
      <c r="E186" s="5" t="s">
        <v>252</v>
      </c>
      <c r="F186" s="5" t="s">
        <v>55</v>
      </c>
      <c r="G186" s="5" t="s">
        <v>253</v>
      </c>
      <c r="H186" s="5" t="s">
        <v>453</v>
      </c>
    </row>
    <row r="187" spans="1:8" ht="90" customHeight="1">
      <c r="A187" s="5" t="s">
        <v>220</v>
      </c>
      <c r="B187" s="5" t="s">
        <v>221</v>
      </c>
      <c r="C187" s="5" t="s">
        <v>255</v>
      </c>
      <c r="D187" s="5" t="s">
        <v>454</v>
      </c>
      <c r="E187" s="5" t="s">
        <v>257</v>
      </c>
      <c r="F187" s="5" t="s">
        <v>55</v>
      </c>
      <c r="G187" s="5" t="s">
        <v>258</v>
      </c>
      <c r="H187" s="5" t="s">
        <v>451</v>
      </c>
    </row>
    <row r="188" spans="1:8" ht="90" customHeight="1">
      <c r="A188" s="5" t="s">
        <v>220</v>
      </c>
      <c r="B188" s="5" t="s">
        <v>221</v>
      </c>
      <c r="C188" s="5" t="s">
        <v>259</v>
      </c>
      <c r="D188" s="5" t="s">
        <v>260</v>
      </c>
      <c r="E188" s="5" t="s">
        <v>261</v>
      </c>
      <c r="F188" s="5" t="s">
        <v>55</v>
      </c>
      <c r="G188" s="5" t="s">
        <v>455</v>
      </c>
      <c r="H188" s="5" t="s">
        <v>451</v>
      </c>
    </row>
    <row r="189" spans="1:8" ht="90" customHeight="1">
      <c r="A189" s="5" t="s">
        <v>220</v>
      </c>
      <c r="B189" s="5" t="s">
        <v>221</v>
      </c>
      <c r="C189" s="5" t="s">
        <v>263</v>
      </c>
      <c r="D189" s="5" t="s">
        <v>304</v>
      </c>
      <c r="E189" s="5" t="s">
        <v>265</v>
      </c>
      <c r="F189" s="5" t="s">
        <v>305</v>
      </c>
      <c r="G189" s="5" t="s">
        <v>456</v>
      </c>
      <c r="H189" s="5" t="s">
        <v>451</v>
      </c>
    </row>
    <row r="190" spans="1:8" ht="90" customHeight="1">
      <c r="A190" s="5" t="s">
        <v>220</v>
      </c>
      <c r="B190" s="5" t="s">
        <v>221</v>
      </c>
      <c r="C190" s="5" t="s">
        <v>269</v>
      </c>
      <c r="D190" s="5" t="s">
        <v>270</v>
      </c>
      <c r="E190" s="5" t="s">
        <v>271</v>
      </c>
      <c r="F190" s="5" t="s">
        <v>55</v>
      </c>
      <c r="G190" s="5" t="s">
        <v>272</v>
      </c>
      <c r="H190" s="5" t="s">
        <v>451</v>
      </c>
    </row>
    <row r="191" spans="1:8" ht="90" customHeight="1">
      <c r="A191" s="5" t="s">
        <v>220</v>
      </c>
      <c r="B191" s="5" t="s">
        <v>221</v>
      </c>
      <c r="C191" s="5" t="s">
        <v>273</v>
      </c>
      <c r="D191" s="5" t="s">
        <v>274</v>
      </c>
      <c r="E191" s="5" t="s">
        <v>275</v>
      </c>
      <c r="F191" s="5" t="s">
        <v>276</v>
      </c>
      <c r="G191" s="5" t="s">
        <v>277</v>
      </c>
      <c r="H191" s="5" t="s">
        <v>278</v>
      </c>
    </row>
    <row r="192" spans="1:8" ht="90" customHeight="1">
      <c r="A192" s="5" t="s">
        <v>220</v>
      </c>
      <c r="B192" s="5" t="s">
        <v>221</v>
      </c>
      <c r="C192" s="5" t="s">
        <v>279</v>
      </c>
      <c r="D192" s="5" t="s">
        <v>280</v>
      </c>
      <c r="E192" s="5" t="s">
        <v>281</v>
      </c>
      <c r="F192" s="5" t="s">
        <v>55</v>
      </c>
      <c r="G192" s="5" t="s">
        <v>282</v>
      </c>
      <c r="H192" s="5" t="s">
        <v>283</v>
      </c>
    </row>
    <row r="193" spans="1:8" ht="90" customHeight="1">
      <c r="A193" s="5" t="s">
        <v>220</v>
      </c>
      <c r="B193" s="5" t="s">
        <v>221</v>
      </c>
      <c r="C193" s="5" t="s">
        <v>284</v>
      </c>
      <c r="D193" s="5" t="s">
        <v>285</v>
      </c>
      <c r="E193" s="5" t="s">
        <v>286</v>
      </c>
      <c r="F193" s="5" t="s">
        <v>55</v>
      </c>
      <c r="G193" s="5" t="s">
        <v>457</v>
      </c>
      <c r="H193" s="5" t="s">
        <v>458</v>
      </c>
    </row>
    <row r="194" spans="1:8" ht="90" customHeight="1">
      <c r="A194" s="5" t="s">
        <v>228</v>
      </c>
      <c r="B194" s="5" t="s">
        <v>229</v>
      </c>
      <c r="C194" s="5" t="s">
        <v>245</v>
      </c>
      <c r="D194" s="5" t="s">
        <v>246</v>
      </c>
      <c r="E194" s="5" t="s">
        <v>247</v>
      </c>
      <c r="F194" s="5" t="s">
        <v>55</v>
      </c>
      <c r="G194" s="5" t="s">
        <v>248</v>
      </c>
      <c r="H194" s="5" t="s">
        <v>459</v>
      </c>
    </row>
    <row r="195" spans="1:8" ht="90" customHeight="1">
      <c r="A195" s="5" t="s">
        <v>228</v>
      </c>
      <c r="B195" s="5" t="s">
        <v>229</v>
      </c>
      <c r="C195" s="5" t="s">
        <v>250</v>
      </c>
      <c r="D195" s="5" t="s">
        <v>460</v>
      </c>
      <c r="E195" s="5" t="s">
        <v>252</v>
      </c>
      <c r="F195" s="5" t="s">
        <v>55</v>
      </c>
      <c r="G195" s="5" t="s">
        <v>253</v>
      </c>
      <c r="H195" s="5" t="s">
        <v>461</v>
      </c>
    </row>
    <row r="196" spans="1:8" ht="90" customHeight="1">
      <c r="A196" s="5" t="s">
        <v>228</v>
      </c>
      <c r="B196" s="5" t="s">
        <v>229</v>
      </c>
      <c r="C196" s="5" t="s">
        <v>255</v>
      </c>
      <c r="D196" s="5" t="s">
        <v>462</v>
      </c>
      <c r="E196" s="5" t="s">
        <v>257</v>
      </c>
      <c r="F196" s="5" t="s">
        <v>55</v>
      </c>
      <c r="G196" s="5" t="s">
        <v>258</v>
      </c>
      <c r="H196" s="5" t="s">
        <v>459</v>
      </c>
    </row>
    <row r="197" spans="1:8" ht="90" customHeight="1">
      <c r="A197" s="5" t="s">
        <v>228</v>
      </c>
      <c r="B197" s="5" t="s">
        <v>229</v>
      </c>
      <c r="C197" s="5" t="s">
        <v>259</v>
      </c>
      <c r="D197" s="5" t="s">
        <v>260</v>
      </c>
      <c r="E197" s="5" t="s">
        <v>261</v>
      </c>
      <c r="F197" s="5" t="s">
        <v>55</v>
      </c>
      <c r="G197" s="5" t="s">
        <v>463</v>
      </c>
      <c r="H197" s="5" t="s">
        <v>459</v>
      </c>
    </row>
    <row r="198" spans="1:8" ht="90" customHeight="1">
      <c r="A198" s="5" t="s">
        <v>228</v>
      </c>
      <c r="B198" s="5" t="s">
        <v>229</v>
      </c>
      <c r="C198" s="5" t="s">
        <v>263</v>
      </c>
      <c r="D198" s="5" t="s">
        <v>304</v>
      </c>
      <c r="E198" s="5" t="s">
        <v>265</v>
      </c>
      <c r="F198" s="5" t="s">
        <v>305</v>
      </c>
      <c r="G198" s="5" t="s">
        <v>464</v>
      </c>
      <c r="H198" s="5" t="s">
        <v>459</v>
      </c>
    </row>
    <row r="199" spans="1:8" ht="90" customHeight="1">
      <c r="A199" s="5" t="s">
        <v>228</v>
      </c>
      <c r="B199" s="5" t="s">
        <v>229</v>
      </c>
      <c r="C199" s="5" t="s">
        <v>269</v>
      </c>
      <c r="D199" s="5" t="s">
        <v>270</v>
      </c>
      <c r="E199" s="5" t="s">
        <v>271</v>
      </c>
      <c r="F199" s="5" t="s">
        <v>55</v>
      </c>
      <c r="G199" s="5" t="s">
        <v>272</v>
      </c>
      <c r="H199" s="5" t="s">
        <v>459</v>
      </c>
    </row>
    <row r="200" spans="1:8" ht="90" customHeight="1">
      <c r="A200" s="5" t="s">
        <v>228</v>
      </c>
      <c r="B200" s="5" t="s">
        <v>229</v>
      </c>
      <c r="C200" s="5" t="s">
        <v>273</v>
      </c>
      <c r="D200" s="5" t="s">
        <v>274</v>
      </c>
      <c r="E200" s="5" t="s">
        <v>275</v>
      </c>
      <c r="F200" s="5" t="s">
        <v>276</v>
      </c>
      <c r="G200" s="5" t="s">
        <v>277</v>
      </c>
      <c r="H200" s="5" t="s">
        <v>278</v>
      </c>
    </row>
    <row r="201" spans="1:8" ht="90" customHeight="1">
      <c r="A201" s="5" t="s">
        <v>228</v>
      </c>
      <c r="B201" s="5" t="s">
        <v>229</v>
      </c>
      <c r="C201" s="5" t="s">
        <v>279</v>
      </c>
      <c r="D201" s="5" t="s">
        <v>280</v>
      </c>
      <c r="E201" s="5" t="s">
        <v>281</v>
      </c>
      <c r="F201" s="5" t="s">
        <v>55</v>
      </c>
      <c r="G201" s="5" t="s">
        <v>282</v>
      </c>
      <c r="H201" s="5" t="s">
        <v>283</v>
      </c>
    </row>
    <row r="202" spans="1:8" ht="90" customHeight="1">
      <c r="A202" s="5" t="s">
        <v>228</v>
      </c>
      <c r="B202" s="5" t="s">
        <v>229</v>
      </c>
      <c r="C202" s="5" t="s">
        <v>284</v>
      </c>
      <c r="D202" s="5" t="s">
        <v>285</v>
      </c>
      <c r="E202" s="5" t="s">
        <v>286</v>
      </c>
      <c r="F202" s="5" t="s">
        <v>55</v>
      </c>
      <c r="G202" s="5" t="s">
        <v>465</v>
      </c>
      <c r="H202" s="5" t="s">
        <v>466</v>
      </c>
    </row>
  </sheetData>
  <autoFilter ref="A4:H202"/>
  <mergeCells count="2">
    <mergeCell ref="A1:H1"/>
    <mergeCell ref="A2:H3"/>
  </mergeCells>
  <pageMargins left="0.7" right="0.7" top="0.75" bottom="0.75" header="0.3" footer="0.3"/>
  <pageSetup paperSize="9" fitToHeight="0" orientation="landscape"/>
  <headerFooter>
    <oddFooter>&amp;L菲律宾选品 · 证据审核&amp;R&amp;P / &amp;N</oddFooter>
  </headerFooter>
</worksheet>
</file>

<file path=xl/worksheets/sheet4.xml><?xml version="1.0" encoding="utf-8"?>
<worksheet xmlns="http://schemas.openxmlformats.org/spreadsheetml/2006/main" xmlns:r="http://schemas.openxmlformats.org/officeDocument/2006/relationships">
  <sheetPr>
    <pageSetUpPr fitToPage="1"/>
  </sheetPr>
  <dimension ref="A1:Z26"/>
  <sheetViews>
    <sheetView showGridLines="0" zoomScale="85" zoomScaleNormal="85"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22.7109375" customWidth="1"/>
    <col min="2" max="2" width="28.7109375" customWidth="1"/>
    <col min="3" max="10" width="22.7109375" customWidth="1"/>
    <col min="11" max="11" width="48.7109375" customWidth="1"/>
    <col min="12" max="12" width="23.7109375" customWidth="1"/>
    <col min="13" max="13" width="20.7109375" customWidth="1"/>
    <col min="14" max="26" width="22.7109375" customWidth="1"/>
  </cols>
  <sheetData>
    <row r="1" spans="1:26" ht="38" customHeight="1">
      <c r="A1" s="1" t="s">
        <v>467</v>
      </c>
      <c r="B1" s="1"/>
      <c r="C1" s="1"/>
      <c r="D1" s="1"/>
      <c r="E1" s="1"/>
      <c r="F1" s="1"/>
      <c r="G1" s="1"/>
      <c r="H1" s="1"/>
      <c r="I1" s="1"/>
      <c r="J1" s="1"/>
      <c r="K1" s="1"/>
      <c r="L1" s="1"/>
      <c r="M1" s="1"/>
      <c r="N1" s="1"/>
      <c r="O1" s="1"/>
      <c r="P1" s="1"/>
      <c r="Q1" s="1"/>
      <c r="R1" s="1"/>
      <c r="S1" s="1"/>
      <c r="T1" s="1"/>
      <c r="U1" s="1"/>
      <c r="V1" s="1"/>
      <c r="W1" s="1"/>
      <c r="X1" s="1"/>
      <c r="Y1" s="1"/>
      <c r="Z1" s="1"/>
    </row>
    <row r="2" spans="1:26" ht="26" customHeight="1">
      <c r="A2" s="2" t="s">
        <v>468</v>
      </c>
      <c r="B2" s="2"/>
      <c r="C2" s="2"/>
      <c r="D2" s="2"/>
      <c r="E2" s="2"/>
      <c r="F2" s="2"/>
      <c r="G2" s="2"/>
      <c r="H2" s="2"/>
      <c r="I2" s="2"/>
      <c r="J2" s="2"/>
      <c r="K2" s="2"/>
      <c r="L2" s="2"/>
      <c r="M2" s="2"/>
      <c r="N2" s="2"/>
      <c r="O2" s="2"/>
      <c r="P2" s="2"/>
      <c r="Q2" s="2"/>
      <c r="R2" s="2"/>
      <c r="S2" s="2"/>
      <c r="T2" s="2"/>
      <c r="U2" s="2"/>
      <c r="V2" s="2"/>
      <c r="W2" s="2"/>
      <c r="X2" s="2"/>
      <c r="Y2" s="2"/>
      <c r="Z2" s="2"/>
    </row>
    <row r="3" spans="1:26" ht="22" customHeight="1">
      <c r="A3" s="2"/>
      <c r="B3" s="2"/>
      <c r="C3" s="2"/>
      <c r="D3" s="2"/>
      <c r="E3" s="2"/>
      <c r="F3" s="2"/>
      <c r="G3" s="2"/>
      <c r="H3" s="2"/>
      <c r="I3" s="2"/>
      <c r="J3" s="2"/>
      <c r="K3" s="2"/>
      <c r="L3" s="2"/>
      <c r="M3" s="2"/>
      <c r="N3" s="2"/>
      <c r="O3" s="2"/>
      <c r="P3" s="2"/>
      <c r="Q3" s="2"/>
      <c r="R3" s="2"/>
      <c r="S3" s="2"/>
      <c r="T3" s="2"/>
      <c r="U3" s="2"/>
      <c r="V3" s="2"/>
      <c r="W3" s="2"/>
      <c r="X3" s="2"/>
      <c r="Y3" s="2"/>
      <c r="Z3" s="2"/>
    </row>
    <row r="4" spans="1:26" ht="34" customHeight="1">
      <c r="A4" s="4" t="s">
        <v>40</v>
      </c>
      <c r="B4" s="4" t="s">
        <v>238</v>
      </c>
      <c r="C4" s="4" t="s">
        <v>469</v>
      </c>
      <c r="D4" s="4" t="s">
        <v>470</v>
      </c>
      <c r="E4" s="4" t="s">
        <v>471</v>
      </c>
      <c r="F4" s="4" t="s">
        <v>472</v>
      </c>
      <c r="G4" s="4" t="s">
        <v>473</v>
      </c>
      <c r="H4" s="4" t="s">
        <v>474</v>
      </c>
      <c r="I4" s="4" t="s">
        <v>475</v>
      </c>
      <c r="J4" s="4" t="s">
        <v>476</v>
      </c>
      <c r="K4" s="4" t="s">
        <v>477</v>
      </c>
      <c r="L4" s="4" t="s">
        <v>478</v>
      </c>
      <c r="M4" s="4" t="s">
        <v>479</v>
      </c>
      <c r="N4" s="4" t="s">
        <v>480</v>
      </c>
      <c r="O4" s="4" t="s">
        <v>481</v>
      </c>
      <c r="P4" s="4" t="s">
        <v>482</v>
      </c>
      <c r="Q4" s="4" t="s">
        <v>483</v>
      </c>
      <c r="R4" s="4" t="s">
        <v>484</v>
      </c>
      <c r="S4" s="4" t="s">
        <v>485</v>
      </c>
      <c r="T4" s="4" t="s">
        <v>50</v>
      </c>
      <c r="U4" s="4" t="s">
        <v>486</v>
      </c>
      <c r="V4" s="4" t="s">
        <v>487</v>
      </c>
      <c r="W4" s="4" t="s">
        <v>488</v>
      </c>
      <c r="X4" s="4" t="s">
        <v>489</v>
      </c>
      <c r="Y4" s="4" t="s">
        <v>490</v>
      </c>
      <c r="Z4" s="4" t="s">
        <v>491</v>
      </c>
    </row>
    <row r="5" spans="1:26" ht="60" customHeight="1">
      <c r="A5" s="5" t="s">
        <v>53</v>
      </c>
      <c r="B5" s="5" t="s">
        <v>54</v>
      </c>
      <c r="C5" s="8"/>
      <c r="D5" s="8"/>
      <c r="E5" s="8"/>
      <c r="F5" s="8"/>
      <c r="G5" s="8"/>
      <c r="H5" s="8"/>
      <c r="I5" s="8"/>
      <c r="J5" s="8"/>
      <c r="K5" s="8"/>
      <c r="L5" s="3"/>
      <c r="M5" s="8" t="s">
        <v>506</v>
      </c>
      <c r="N5" s="6" t="str">
        <f>IF(COUNTIF('04_费用明细'!N5:N22,"完整")=18,"完整","待补证")</f>
        <v>待补证</v>
      </c>
      <c r="O5" s="9">
        <f>IF(N5="完整",SUM('04_费用明细'!L5:L22),"")</f>
        <v/>
      </c>
      <c r="P5" s="9">
        <f>IF(N5="完整",SUM('04_费用明细'!M5:M22),"")</f>
        <v/>
      </c>
      <c r="Q5" s="9">
        <f>IF(AND(COUNT(C5:J5)=8,C5&gt;0,D5&gt;=0,E5&gt;0,F5&gt;=0,G5&gt;0,G5=INT(G5),H5&gt;=0,I5&gt;=0,J5&gt;0,J5=INT(J5),K5&lt;&gt;"",ISNUMBER(L5),L5&gt;='00_审核入口'!$F$2,M5="已核实",N5="完整"),ROUND(ROUND((C5+D5)*E5,10),2),"")</f>
        <v/>
      </c>
      <c r="R5" s="9">
        <f>IF(AND(COUNT(C5:J5)=8,C5&gt;0,D5&gt;=0,E5&gt;0,F5&gt;=0,G5&gt;0,G5=INT(G5),H5&gt;=0,I5&gt;=0,J5&gt;0,J5=INT(J5),K5&lt;&gt;"",ISNUMBER(L5),L5&gt;='00_审核入口'!$F$2,M5="已核实",N5="完整"),ROUND(ROUND(F5*G5*(1+H5),10),2),"")</f>
        <v/>
      </c>
      <c r="S5" s="9">
        <f>IF(AND(COUNT(C5:J5)=8,C5&gt;0,D5&gt;=0,E5&gt;0,F5&gt;=0,G5&gt;0,G5=INT(G5),H5&gt;=0,I5&gt;=0,J5&gt;0,J5=INT(J5),K5&lt;&gt;"",ISNUMBER(L5),L5&gt;='00_审核入口'!$F$2,M5="已核实",N5="完整"),R5+O5,"")</f>
        <v/>
      </c>
      <c r="T5" s="9">
        <f>IF(AND(COUNT(C5:J5)=8,C5&gt;0,D5&gt;=0,E5&gt;0,F5&gt;=0,G5&gt;0,G5=INT(G5),H5&gt;=0,I5&gt;=0,J5&gt;0,J5=INT(J5),K5&lt;&gt;"",ISNUMBER(L5),L5&gt;='00_审核入口'!$F$2,M5="已核实",N5="完整"),Q5-S5,"")</f>
        <v/>
      </c>
      <c r="U5" s="10">
        <f>IF(AND(COUNT(C5:J5)=8,C5&gt;0,D5&gt;=0,E5&gt;0,F5&gt;=0,G5&gt;0,G5=INT(G5),H5&gt;=0,I5&gt;=0,J5&gt;0,J5=INT(J5),K5&lt;&gt;"",ISNUMBER(L5),L5&gt;='00_审核入口'!$F$2,M5="已核实",N5="完整"),IF(Q5&gt;0,T5/Q5,""),"")</f>
        <v/>
      </c>
      <c r="V5" s="9">
        <f>IF(AND(COUNT(C5:J5)=8,C5&gt;0,D5&gt;=0,E5&gt;0,F5&gt;=0,G5&gt;0,G5=INT(G5),H5&gt;=0,I5&gt;=0,J5&gt;0,J5=INT(J5),K5&lt;&gt;"",ISNUMBER(L5),L5&gt;='00_审核入口'!$F$2,M5="已核实",N5="完整"),IF(Q5-O5-ROUNDUP(MAX(15,0.2*Q5),2)&lt;0,"无非负可行采购价",ROUNDDOWN((Q5-O5-ROUNDUP(MAX(15,0.2*Q5),2)+0.005-0.0000000001)/(G5*(1+H5)),2)),"")</f>
        <v/>
      </c>
      <c r="W5" s="9">
        <f>IF(AND(COUNT(C5:J5)=8,C5&gt;0,D5&gt;=0,E5&gt;0,F5&gt;=0,G5&gt;0,G5=INT(G5),H5&gt;=0,I5&gt;=0,J5&gt;0,J5=INT(J5),K5&lt;&gt;"",ISNUMBER(L5),L5&gt;='00_审核入口'!$F$2,M5="已核实",N5="完整"),ROUND(ROUND((C5+D5)*E5*0.95,10),2)-ROUND(ROUND(F5*1.1*G5*(1+H5),10),2)-P5,"")</f>
        <v/>
      </c>
      <c r="X5" s="9">
        <f>IF(AND(COUNT(C5:J5)=8,C5&gt;0,D5&gt;=0,E5&gt;0,F5&gt;=0,G5&gt;0,G5=INT(G5),H5&gt;=0,I5&gt;=0,J5&gt;0,J5=INT(J5),K5&lt;&gt;"",ISNUMBER(L5),L5&gt;='00_审核入口'!$F$2,M5="已核实",N5="完整"),ROUND(I5+J5*S5,2),"")</f>
        <v/>
      </c>
      <c r="Y5" s="9">
        <f>IF(AND(COUNT(C5:J5)=8,C5&gt;0,D5&gt;=0,E5&gt;0,F5&gt;=0,G5&gt;0,G5=INT(G5),H5&gt;=0,I5&gt;=0,J5&gt;0,J5=INT(J5),K5&lt;&gt;"",ISNUMBER(L5),L5&gt;='00_审核入口'!$F$2,M5="已核实",N5="完整"),IF(S5&gt;0,MAX(0,INT((500-I5)/S5)),""),"")</f>
        <v/>
      </c>
      <c r="Z5" s="6" t="str">
        <f>IF(AND(COUNT(C5:J5)=8,C5&gt;0,D5&gt;=0,E5&gt;0,F5&gt;=0,G5&gt;0,G5=INT(G5),H5&gt;=0,I5&gt;=0,J5&gt;0,J5=INT(J5),K5&lt;&gt;"",ISNUMBER(L5),L5&gt;='00_审核入口'!$F$2,M5="已核实",N5="完整"),IF(AND(T5&gt;=15,U5&gt;=0.2,W5&gt;=0,X5&lt;=500),"成本条件通过","成本条件不通过"),"待补证")</f>
        <v>待补证</v>
      </c>
    </row>
    <row r="6" spans="1:26" ht="60" customHeight="1">
      <c r="A6" s="5" t="s">
        <v>63</v>
      </c>
      <c r="B6" s="5" t="s">
        <v>64</v>
      </c>
      <c r="C6" s="8"/>
      <c r="D6" s="8"/>
      <c r="E6" s="8"/>
      <c r="F6" s="8"/>
      <c r="G6" s="8"/>
      <c r="H6" s="8"/>
      <c r="I6" s="8"/>
      <c r="J6" s="8"/>
      <c r="K6" s="8"/>
      <c r="L6" s="3"/>
      <c r="M6" s="8" t="s">
        <v>506</v>
      </c>
      <c r="N6" s="6" t="str">
        <f>IF(COUNTIF('04_费用明细'!N23:N40,"完整")=18,"完整","待补证")</f>
        <v>待补证</v>
      </c>
      <c r="O6" s="9">
        <f>IF(N6="完整",SUM('04_费用明细'!L23:L40),"")</f>
        <v/>
      </c>
      <c r="P6" s="9">
        <f>IF(N6="完整",SUM('04_费用明细'!M23:M40),"")</f>
        <v/>
      </c>
      <c r="Q6" s="9">
        <f>IF(AND(COUNT(C6:J6)=8,C6&gt;0,D6&gt;=0,E6&gt;0,F6&gt;=0,G6&gt;0,G6=INT(G6),H6&gt;=0,I6&gt;=0,J6&gt;0,J6=INT(J6),K6&lt;&gt;"",ISNUMBER(L6),L6&gt;='00_审核入口'!$F$2,M6="已核实",N6="完整"),ROUND(ROUND((C6+D6)*E6,10),2),"")</f>
        <v/>
      </c>
      <c r="R6" s="9">
        <f>IF(AND(COUNT(C6:J6)=8,C6&gt;0,D6&gt;=0,E6&gt;0,F6&gt;=0,G6&gt;0,G6=INT(G6),H6&gt;=0,I6&gt;=0,J6&gt;0,J6=INT(J6),K6&lt;&gt;"",ISNUMBER(L6),L6&gt;='00_审核入口'!$F$2,M6="已核实",N6="完整"),ROUND(ROUND(F6*G6*(1+H6),10),2),"")</f>
        <v/>
      </c>
      <c r="S6" s="9">
        <f>IF(AND(COUNT(C6:J6)=8,C6&gt;0,D6&gt;=0,E6&gt;0,F6&gt;=0,G6&gt;0,G6=INT(G6),H6&gt;=0,I6&gt;=0,J6&gt;0,J6=INT(J6),K6&lt;&gt;"",ISNUMBER(L6),L6&gt;='00_审核入口'!$F$2,M6="已核实",N6="完整"),R6+O6,"")</f>
        <v/>
      </c>
      <c r="T6" s="9">
        <f>IF(AND(COUNT(C6:J6)=8,C6&gt;0,D6&gt;=0,E6&gt;0,F6&gt;=0,G6&gt;0,G6=INT(G6),H6&gt;=0,I6&gt;=0,J6&gt;0,J6=INT(J6),K6&lt;&gt;"",ISNUMBER(L6),L6&gt;='00_审核入口'!$F$2,M6="已核实",N6="完整"),Q6-S6,"")</f>
        <v/>
      </c>
      <c r="U6" s="10">
        <f>IF(AND(COUNT(C6:J6)=8,C6&gt;0,D6&gt;=0,E6&gt;0,F6&gt;=0,G6&gt;0,G6=INT(G6),H6&gt;=0,I6&gt;=0,J6&gt;0,J6=INT(J6),K6&lt;&gt;"",ISNUMBER(L6),L6&gt;='00_审核入口'!$F$2,M6="已核实",N6="完整"),IF(Q6&gt;0,T6/Q6,""),"")</f>
        <v/>
      </c>
      <c r="V6" s="9">
        <f>IF(AND(COUNT(C6:J6)=8,C6&gt;0,D6&gt;=0,E6&gt;0,F6&gt;=0,G6&gt;0,G6=INT(G6),H6&gt;=0,I6&gt;=0,J6&gt;0,J6=INT(J6),K6&lt;&gt;"",ISNUMBER(L6),L6&gt;='00_审核入口'!$F$2,M6="已核实",N6="完整"),IF(Q6-O6-ROUNDUP(MAX(15,0.2*Q6),2)&lt;0,"无非负可行采购价",ROUNDDOWN((Q6-O6-ROUNDUP(MAX(15,0.2*Q6),2)+0.005-0.0000000001)/(G6*(1+H6)),2)),"")</f>
        <v/>
      </c>
      <c r="W6" s="9">
        <f>IF(AND(COUNT(C6:J6)=8,C6&gt;0,D6&gt;=0,E6&gt;0,F6&gt;=0,G6&gt;0,G6=INT(G6),H6&gt;=0,I6&gt;=0,J6&gt;0,J6=INT(J6),K6&lt;&gt;"",ISNUMBER(L6),L6&gt;='00_审核入口'!$F$2,M6="已核实",N6="完整"),ROUND(ROUND((C6+D6)*E6*0.95,10),2)-ROUND(ROUND(F6*1.1*G6*(1+H6),10),2)-P6,"")</f>
        <v/>
      </c>
      <c r="X6" s="9">
        <f>IF(AND(COUNT(C6:J6)=8,C6&gt;0,D6&gt;=0,E6&gt;0,F6&gt;=0,G6&gt;0,G6=INT(G6),H6&gt;=0,I6&gt;=0,J6&gt;0,J6=INT(J6),K6&lt;&gt;"",ISNUMBER(L6),L6&gt;='00_审核入口'!$F$2,M6="已核实",N6="完整"),ROUND(I6+J6*S6,2),"")</f>
        <v/>
      </c>
      <c r="Y6" s="9">
        <f>IF(AND(COUNT(C6:J6)=8,C6&gt;0,D6&gt;=0,E6&gt;0,F6&gt;=0,G6&gt;0,G6=INT(G6),H6&gt;=0,I6&gt;=0,J6&gt;0,J6=INT(J6),K6&lt;&gt;"",ISNUMBER(L6),L6&gt;='00_审核入口'!$F$2,M6="已核实",N6="完整"),IF(S6&gt;0,MAX(0,INT((500-I6)/S6)),""),"")</f>
        <v/>
      </c>
      <c r="Z6" s="6" t="str">
        <f>IF(AND(COUNT(C6:J6)=8,C6&gt;0,D6&gt;=0,E6&gt;0,F6&gt;=0,G6&gt;0,G6=INT(G6),H6&gt;=0,I6&gt;=0,J6&gt;0,J6=INT(J6),K6&lt;&gt;"",ISNUMBER(L6),L6&gt;='00_审核入口'!$F$2,M6="已核实",N6="完整"),IF(AND(T6&gt;=15,U6&gt;=0.2,W6&gt;=0,X6&lt;=500),"成本条件通过","成本条件不通过"),"待补证")</f>
        <v>待补证</v>
      </c>
    </row>
    <row r="7" spans="1:26" ht="60" customHeight="1">
      <c r="A7" s="5" t="s">
        <v>72</v>
      </c>
      <c r="B7" s="5" t="s">
        <v>73</v>
      </c>
      <c r="C7" s="8"/>
      <c r="D7" s="8"/>
      <c r="E7" s="8"/>
      <c r="F7" s="8"/>
      <c r="G7" s="8"/>
      <c r="H7" s="8"/>
      <c r="I7" s="8"/>
      <c r="J7" s="8"/>
      <c r="K7" s="8"/>
      <c r="L7" s="3"/>
      <c r="M7" s="8" t="s">
        <v>506</v>
      </c>
      <c r="N7" s="6" t="str">
        <f>IF(COUNTIF('04_费用明细'!N41:N58,"完整")=18,"完整","待补证")</f>
        <v>待补证</v>
      </c>
      <c r="O7" s="9">
        <f>IF(N7="完整",SUM('04_费用明细'!L41:L58),"")</f>
        <v/>
      </c>
      <c r="P7" s="9">
        <f>IF(N7="完整",SUM('04_费用明细'!M41:M58),"")</f>
        <v/>
      </c>
      <c r="Q7" s="9">
        <f>IF(AND(COUNT(C7:J7)=8,C7&gt;0,D7&gt;=0,E7&gt;0,F7&gt;=0,G7&gt;0,G7=INT(G7),H7&gt;=0,I7&gt;=0,J7&gt;0,J7=INT(J7),K7&lt;&gt;"",ISNUMBER(L7),L7&gt;='00_审核入口'!$F$2,M7="已核实",N7="完整"),ROUND(ROUND((C7+D7)*E7,10),2),"")</f>
        <v/>
      </c>
      <c r="R7" s="9">
        <f>IF(AND(COUNT(C7:J7)=8,C7&gt;0,D7&gt;=0,E7&gt;0,F7&gt;=0,G7&gt;0,G7=INT(G7),H7&gt;=0,I7&gt;=0,J7&gt;0,J7=INT(J7),K7&lt;&gt;"",ISNUMBER(L7),L7&gt;='00_审核入口'!$F$2,M7="已核实",N7="完整"),ROUND(ROUND(F7*G7*(1+H7),10),2),"")</f>
        <v/>
      </c>
      <c r="S7" s="9">
        <f>IF(AND(COUNT(C7:J7)=8,C7&gt;0,D7&gt;=0,E7&gt;0,F7&gt;=0,G7&gt;0,G7=INT(G7),H7&gt;=0,I7&gt;=0,J7&gt;0,J7=INT(J7),K7&lt;&gt;"",ISNUMBER(L7),L7&gt;='00_审核入口'!$F$2,M7="已核实",N7="完整"),R7+O7,"")</f>
        <v/>
      </c>
      <c r="T7" s="9">
        <f>IF(AND(COUNT(C7:J7)=8,C7&gt;0,D7&gt;=0,E7&gt;0,F7&gt;=0,G7&gt;0,G7=INT(G7),H7&gt;=0,I7&gt;=0,J7&gt;0,J7=INT(J7),K7&lt;&gt;"",ISNUMBER(L7),L7&gt;='00_审核入口'!$F$2,M7="已核实",N7="完整"),Q7-S7,"")</f>
        <v/>
      </c>
      <c r="U7" s="10">
        <f>IF(AND(COUNT(C7:J7)=8,C7&gt;0,D7&gt;=0,E7&gt;0,F7&gt;=0,G7&gt;0,G7=INT(G7),H7&gt;=0,I7&gt;=0,J7&gt;0,J7=INT(J7),K7&lt;&gt;"",ISNUMBER(L7),L7&gt;='00_审核入口'!$F$2,M7="已核实",N7="完整"),IF(Q7&gt;0,T7/Q7,""),"")</f>
        <v/>
      </c>
      <c r="V7" s="9">
        <f>IF(AND(COUNT(C7:J7)=8,C7&gt;0,D7&gt;=0,E7&gt;0,F7&gt;=0,G7&gt;0,G7=INT(G7),H7&gt;=0,I7&gt;=0,J7&gt;0,J7=INT(J7),K7&lt;&gt;"",ISNUMBER(L7),L7&gt;='00_审核入口'!$F$2,M7="已核实",N7="完整"),IF(Q7-O7-ROUNDUP(MAX(15,0.2*Q7),2)&lt;0,"无非负可行采购价",ROUNDDOWN((Q7-O7-ROUNDUP(MAX(15,0.2*Q7),2)+0.005-0.0000000001)/(G7*(1+H7)),2)),"")</f>
        <v/>
      </c>
      <c r="W7" s="9">
        <f>IF(AND(COUNT(C7:J7)=8,C7&gt;0,D7&gt;=0,E7&gt;0,F7&gt;=0,G7&gt;0,G7=INT(G7),H7&gt;=0,I7&gt;=0,J7&gt;0,J7=INT(J7),K7&lt;&gt;"",ISNUMBER(L7),L7&gt;='00_审核入口'!$F$2,M7="已核实",N7="完整"),ROUND(ROUND((C7+D7)*E7*0.95,10),2)-ROUND(ROUND(F7*1.1*G7*(1+H7),10),2)-P7,"")</f>
        <v/>
      </c>
      <c r="X7" s="9">
        <f>IF(AND(COUNT(C7:J7)=8,C7&gt;0,D7&gt;=0,E7&gt;0,F7&gt;=0,G7&gt;0,G7=INT(G7),H7&gt;=0,I7&gt;=0,J7&gt;0,J7=INT(J7),K7&lt;&gt;"",ISNUMBER(L7),L7&gt;='00_审核入口'!$F$2,M7="已核实",N7="完整"),ROUND(I7+J7*S7,2),"")</f>
        <v/>
      </c>
      <c r="Y7" s="9">
        <f>IF(AND(COUNT(C7:J7)=8,C7&gt;0,D7&gt;=0,E7&gt;0,F7&gt;=0,G7&gt;0,G7=INT(G7),H7&gt;=0,I7&gt;=0,J7&gt;0,J7=INT(J7),K7&lt;&gt;"",ISNUMBER(L7),L7&gt;='00_审核入口'!$F$2,M7="已核实",N7="完整"),IF(S7&gt;0,MAX(0,INT((500-I7)/S7)),""),"")</f>
        <v/>
      </c>
      <c r="Z7" s="6" t="str">
        <f>IF(AND(COUNT(C7:J7)=8,C7&gt;0,D7&gt;=0,E7&gt;0,F7&gt;=0,G7&gt;0,G7=INT(G7),H7&gt;=0,I7&gt;=0,J7&gt;0,J7=INT(J7),K7&lt;&gt;"",ISNUMBER(L7),L7&gt;='00_审核入口'!$F$2,M7="已核实",N7="完整"),IF(AND(T7&gt;=15,U7&gt;=0.2,W7&gt;=0,X7&lt;=500),"成本条件通过","成本条件不通过"),"待补证")</f>
        <v>待补证</v>
      </c>
    </row>
    <row r="8" spans="1:26" ht="60" customHeight="1">
      <c r="A8" s="5" t="s">
        <v>80</v>
      </c>
      <c r="B8" s="5" t="s">
        <v>81</v>
      </c>
      <c r="C8" s="8"/>
      <c r="D8" s="8"/>
      <c r="E8" s="8"/>
      <c r="F8" s="8"/>
      <c r="G8" s="8"/>
      <c r="H8" s="8"/>
      <c r="I8" s="8"/>
      <c r="J8" s="8"/>
      <c r="K8" s="8"/>
      <c r="L8" s="3"/>
      <c r="M8" s="8" t="s">
        <v>506</v>
      </c>
      <c r="N8" s="6" t="str">
        <f>IF(COUNTIF('04_费用明细'!N59:N76,"完整")=18,"完整","待补证")</f>
        <v>待补证</v>
      </c>
      <c r="O8" s="9">
        <f>IF(N8="完整",SUM('04_费用明细'!L59:L76),"")</f>
        <v/>
      </c>
      <c r="P8" s="9">
        <f>IF(N8="完整",SUM('04_费用明细'!M59:M76),"")</f>
        <v/>
      </c>
      <c r="Q8" s="9">
        <f>IF(AND(COUNT(C8:J8)=8,C8&gt;0,D8&gt;=0,E8&gt;0,F8&gt;=0,G8&gt;0,G8=INT(G8),H8&gt;=0,I8&gt;=0,J8&gt;0,J8=INT(J8),K8&lt;&gt;"",ISNUMBER(L8),L8&gt;='00_审核入口'!$F$2,M8="已核实",N8="完整"),ROUND(ROUND((C8+D8)*E8,10),2),"")</f>
        <v/>
      </c>
      <c r="R8" s="9">
        <f>IF(AND(COUNT(C8:J8)=8,C8&gt;0,D8&gt;=0,E8&gt;0,F8&gt;=0,G8&gt;0,G8=INT(G8),H8&gt;=0,I8&gt;=0,J8&gt;0,J8=INT(J8),K8&lt;&gt;"",ISNUMBER(L8),L8&gt;='00_审核入口'!$F$2,M8="已核实",N8="完整"),ROUND(ROUND(F8*G8*(1+H8),10),2),"")</f>
        <v/>
      </c>
      <c r="S8" s="9">
        <f>IF(AND(COUNT(C8:J8)=8,C8&gt;0,D8&gt;=0,E8&gt;0,F8&gt;=0,G8&gt;0,G8=INT(G8),H8&gt;=0,I8&gt;=0,J8&gt;0,J8=INT(J8),K8&lt;&gt;"",ISNUMBER(L8),L8&gt;='00_审核入口'!$F$2,M8="已核实",N8="完整"),R8+O8,"")</f>
        <v/>
      </c>
      <c r="T8" s="9">
        <f>IF(AND(COUNT(C8:J8)=8,C8&gt;0,D8&gt;=0,E8&gt;0,F8&gt;=0,G8&gt;0,G8=INT(G8),H8&gt;=0,I8&gt;=0,J8&gt;0,J8=INT(J8),K8&lt;&gt;"",ISNUMBER(L8),L8&gt;='00_审核入口'!$F$2,M8="已核实",N8="完整"),Q8-S8,"")</f>
        <v/>
      </c>
      <c r="U8" s="10">
        <f>IF(AND(COUNT(C8:J8)=8,C8&gt;0,D8&gt;=0,E8&gt;0,F8&gt;=0,G8&gt;0,G8=INT(G8),H8&gt;=0,I8&gt;=0,J8&gt;0,J8=INT(J8),K8&lt;&gt;"",ISNUMBER(L8),L8&gt;='00_审核入口'!$F$2,M8="已核实",N8="完整"),IF(Q8&gt;0,T8/Q8,""),"")</f>
        <v/>
      </c>
      <c r="V8" s="9">
        <f>IF(AND(COUNT(C8:J8)=8,C8&gt;0,D8&gt;=0,E8&gt;0,F8&gt;=0,G8&gt;0,G8=INT(G8),H8&gt;=0,I8&gt;=0,J8&gt;0,J8=INT(J8),K8&lt;&gt;"",ISNUMBER(L8),L8&gt;='00_审核入口'!$F$2,M8="已核实",N8="完整"),IF(Q8-O8-ROUNDUP(MAX(15,0.2*Q8),2)&lt;0,"无非负可行采购价",ROUNDDOWN((Q8-O8-ROUNDUP(MAX(15,0.2*Q8),2)+0.005-0.0000000001)/(G8*(1+H8)),2)),"")</f>
        <v/>
      </c>
      <c r="W8" s="9">
        <f>IF(AND(COUNT(C8:J8)=8,C8&gt;0,D8&gt;=0,E8&gt;0,F8&gt;=0,G8&gt;0,G8=INT(G8),H8&gt;=0,I8&gt;=0,J8&gt;0,J8=INT(J8),K8&lt;&gt;"",ISNUMBER(L8),L8&gt;='00_审核入口'!$F$2,M8="已核实",N8="完整"),ROUND(ROUND((C8+D8)*E8*0.95,10),2)-ROUND(ROUND(F8*1.1*G8*(1+H8),10),2)-P8,"")</f>
        <v/>
      </c>
      <c r="X8" s="9">
        <f>IF(AND(COUNT(C8:J8)=8,C8&gt;0,D8&gt;=0,E8&gt;0,F8&gt;=0,G8&gt;0,G8=INT(G8),H8&gt;=0,I8&gt;=0,J8&gt;0,J8=INT(J8),K8&lt;&gt;"",ISNUMBER(L8),L8&gt;='00_审核入口'!$F$2,M8="已核实",N8="完整"),ROUND(I8+J8*S8,2),"")</f>
        <v/>
      </c>
      <c r="Y8" s="9">
        <f>IF(AND(COUNT(C8:J8)=8,C8&gt;0,D8&gt;=0,E8&gt;0,F8&gt;=0,G8&gt;0,G8=INT(G8),H8&gt;=0,I8&gt;=0,J8&gt;0,J8=INT(J8),K8&lt;&gt;"",ISNUMBER(L8),L8&gt;='00_审核入口'!$F$2,M8="已核实",N8="完整"),IF(S8&gt;0,MAX(0,INT((500-I8)/S8)),""),"")</f>
        <v/>
      </c>
      <c r="Z8" s="6" t="str">
        <f>IF(AND(COUNT(C8:J8)=8,C8&gt;0,D8&gt;=0,E8&gt;0,F8&gt;=0,G8&gt;0,G8=INT(G8),H8&gt;=0,I8&gt;=0,J8&gt;0,J8=INT(J8),K8&lt;&gt;"",ISNUMBER(L8),L8&gt;='00_审核入口'!$F$2,M8="已核实",N8="完整"),IF(AND(T8&gt;=15,U8&gt;=0.2,W8&gt;=0,X8&lt;=500),"成本条件通过","成本条件不通过"),"待补证")</f>
        <v>待补证</v>
      </c>
    </row>
    <row r="9" spans="1:26" ht="60" customHeight="1">
      <c r="A9" s="5" t="s">
        <v>88</v>
      </c>
      <c r="B9" s="5" t="s">
        <v>89</v>
      </c>
      <c r="C9" s="8"/>
      <c r="D9" s="8"/>
      <c r="E9" s="8"/>
      <c r="F9" s="8"/>
      <c r="G9" s="8"/>
      <c r="H9" s="8"/>
      <c r="I9" s="8"/>
      <c r="J9" s="8"/>
      <c r="K9" s="8"/>
      <c r="L9" s="3"/>
      <c r="M9" s="8" t="s">
        <v>506</v>
      </c>
      <c r="N9" s="6" t="str">
        <f>IF(COUNTIF('04_费用明细'!N77:N94,"完整")=18,"完整","待补证")</f>
        <v>待补证</v>
      </c>
      <c r="O9" s="9">
        <f>IF(N9="完整",SUM('04_费用明细'!L77:L94),"")</f>
        <v/>
      </c>
      <c r="P9" s="9">
        <f>IF(N9="完整",SUM('04_费用明细'!M77:M94),"")</f>
        <v/>
      </c>
      <c r="Q9" s="9">
        <f>IF(AND(COUNT(C9:J9)=8,C9&gt;0,D9&gt;=0,E9&gt;0,F9&gt;=0,G9&gt;0,G9=INT(G9),H9&gt;=0,I9&gt;=0,J9&gt;0,J9=INT(J9),K9&lt;&gt;"",ISNUMBER(L9),L9&gt;='00_审核入口'!$F$2,M9="已核实",N9="完整"),ROUND(ROUND((C9+D9)*E9,10),2),"")</f>
        <v/>
      </c>
      <c r="R9" s="9">
        <f>IF(AND(COUNT(C9:J9)=8,C9&gt;0,D9&gt;=0,E9&gt;0,F9&gt;=0,G9&gt;0,G9=INT(G9),H9&gt;=0,I9&gt;=0,J9&gt;0,J9=INT(J9),K9&lt;&gt;"",ISNUMBER(L9),L9&gt;='00_审核入口'!$F$2,M9="已核实",N9="完整"),ROUND(ROUND(F9*G9*(1+H9),10),2),"")</f>
        <v/>
      </c>
      <c r="S9" s="9">
        <f>IF(AND(COUNT(C9:J9)=8,C9&gt;0,D9&gt;=0,E9&gt;0,F9&gt;=0,G9&gt;0,G9=INT(G9),H9&gt;=0,I9&gt;=0,J9&gt;0,J9=INT(J9),K9&lt;&gt;"",ISNUMBER(L9),L9&gt;='00_审核入口'!$F$2,M9="已核实",N9="完整"),R9+O9,"")</f>
        <v/>
      </c>
      <c r="T9" s="9">
        <f>IF(AND(COUNT(C9:J9)=8,C9&gt;0,D9&gt;=0,E9&gt;0,F9&gt;=0,G9&gt;0,G9=INT(G9),H9&gt;=0,I9&gt;=0,J9&gt;0,J9=INT(J9),K9&lt;&gt;"",ISNUMBER(L9),L9&gt;='00_审核入口'!$F$2,M9="已核实",N9="完整"),Q9-S9,"")</f>
        <v/>
      </c>
      <c r="U9" s="10">
        <f>IF(AND(COUNT(C9:J9)=8,C9&gt;0,D9&gt;=0,E9&gt;0,F9&gt;=0,G9&gt;0,G9=INT(G9),H9&gt;=0,I9&gt;=0,J9&gt;0,J9=INT(J9),K9&lt;&gt;"",ISNUMBER(L9),L9&gt;='00_审核入口'!$F$2,M9="已核实",N9="完整"),IF(Q9&gt;0,T9/Q9,""),"")</f>
        <v/>
      </c>
      <c r="V9" s="9">
        <f>IF(AND(COUNT(C9:J9)=8,C9&gt;0,D9&gt;=0,E9&gt;0,F9&gt;=0,G9&gt;0,G9=INT(G9),H9&gt;=0,I9&gt;=0,J9&gt;0,J9=INT(J9),K9&lt;&gt;"",ISNUMBER(L9),L9&gt;='00_审核入口'!$F$2,M9="已核实",N9="完整"),IF(Q9-O9-ROUNDUP(MAX(15,0.2*Q9),2)&lt;0,"无非负可行采购价",ROUNDDOWN((Q9-O9-ROUNDUP(MAX(15,0.2*Q9),2)+0.005-0.0000000001)/(G9*(1+H9)),2)),"")</f>
        <v/>
      </c>
      <c r="W9" s="9">
        <f>IF(AND(COUNT(C9:J9)=8,C9&gt;0,D9&gt;=0,E9&gt;0,F9&gt;=0,G9&gt;0,G9=INT(G9),H9&gt;=0,I9&gt;=0,J9&gt;0,J9=INT(J9),K9&lt;&gt;"",ISNUMBER(L9),L9&gt;='00_审核入口'!$F$2,M9="已核实",N9="完整"),ROUND(ROUND((C9+D9)*E9*0.95,10),2)-ROUND(ROUND(F9*1.1*G9*(1+H9),10),2)-P9,"")</f>
        <v/>
      </c>
      <c r="X9" s="9">
        <f>IF(AND(COUNT(C9:J9)=8,C9&gt;0,D9&gt;=0,E9&gt;0,F9&gt;=0,G9&gt;0,G9=INT(G9),H9&gt;=0,I9&gt;=0,J9&gt;0,J9=INT(J9),K9&lt;&gt;"",ISNUMBER(L9),L9&gt;='00_审核入口'!$F$2,M9="已核实",N9="完整"),ROUND(I9+J9*S9,2),"")</f>
        <v/>
      </c>
      <c r="Y9" s="9">
        <f>IF(AND(COUNT(C9:J9)=8,C9&gt;0,D9&gt;=0,E9&gt;0,F9&gt;=0,G9&gt;0,G9=INT(G9),H9&gt;=0,I9&gt;=0,J9&gt;0,J9=INT(J9),K9&lt;&gt;"",ISNUMBER(L9),L9&gt;='00_审核入口'!$F$2,M9="已核实",N9="完整"),IF(S9&gt;0,MAX(0,INT((500-I9)/S9)),""),"")</f>
        <v/>
      </c>
      <c r="Z9" s="6" t="str">
        <f>IF(AND(COUNT(C9:J9)=8,C9&gt;0,D9&gt;=0,E9&gt;0,F9&gt;=0,G9&gt;0,G9=INT(G9),H9&gt;=0,I9&gt;=0,J9&gt;0,J9=INT(J9),K9&lt;&gt;"",ISNUMBER(L9),L9&gt;='00_审核入口'!$F$2,M9="已核实",N9="完整"),IF(AND(T9&gt;=15,U9&gt;=0.2,W9&gt;=0,X9&lt;=500),"成本条件通过","成本条件不通过"),"待补证")</f>
        <v>待补证</v>
      </c>
    </row>
    <row r="10" spans="1:26" ht="60" customHeight="1">
      <c r="A10" s="5" t="s">
        <v>96</v>
      </c>
      <c r="B10" s="5" t="s">
        <v>97</v>
      </c>
      <c r="C10" s="8"/>
      <c r="D10" s="8"/>
      <c r="E10" s="8"/>
      <c r="F10" s="8"/>
      <c r="G10" s="8"/>
      <c r="H10" s="8"/>
      <c r="I10" s="8"/>
      <c r="J10" s="8"/>
      <c r="K10" s="8"/>
      <c r="L10" s="3"/>
      <c r="M10" s="8" t="s">
        <v>506</v>
      </c>
      <c r="N10" s="6" t="str">
        <f>IF(COUNTIF('04_费用明细'!N95:N112,"完整")=18,"完整","待补证")</f>
        <v>待补证</v>
      </c>
      <c r="O10" s="9">
        <f>IF(N10="完整",SUM('04_费用明细'!L95:L112),"")</f>
        <v/>
      </c>
      <c r="P10" s="9">
        <f>IF(N10="完整",SUM('04_费用明细'!M95:M112),"")</f>
        <v/>
      </c>
      <c r="Q10" s="9">
        <f>IF(AND(COUNT(C10:J10)=8,C10&gt;0,D10&gt;=0,E10&gt;0,F10&gt;=0,G10&gt;0,G10=INT(G10),H10&gt;=0,I10&gt;=0,J10&gt;0,J10=INT(J10),K10&lt;&gt;"",ISNUMBER(L10),L10&gt;='00_审核入口'!$F$2,M10="已核实",N10="完整"),ROUND(ROUND((C10+D10)*E10,10),2),"")</f>
        <v/>
      </c>
      <c r="R10" s="9">
        <f>IF(AND(COUNT(C10:J10)=8,C10&gt;0,D10&gt;=0,E10&gt;0,F10&gt;=0,G10&gt;0,G10=INT(G10),H10&gt;=0,I10&gt;=0,J10&gt;0,J10=INT(J10),K10&lt;&gt;"",ISNUMBER(L10),L10&gt;='00_审核入口'!$F$2,M10="已核实",N10="完整"),ROUND(ROUND(F10*G10*(1+H10),10),2),"")</f>
        <v/>
      </c>
      <c r="S10" s="9">
        <f>IF(AND(COUNT(C10:J10)=8,C10&gt;0,D10&gt;=0,E10&gt;0,F10&gt;=0,G10&gt;0,G10=INT(G10),H10&gt;=0,I10&gt;=0,J10&gt;0,J10=INT(J10),K10&lt;&gt;"",ISNUMBER(L10),L10&gt;='00_审核入口'!$F$2,M10="已核实",N10="完整"),R10+O10,"")</f>
        <v/>
      </c>
      <c r="T10" s="9">
        <f>IF(AND(COUNT(C10:J10)=8,C10&gt;0,D10&gt;=0,E10&gt;0,F10&gt;=0,G10&gt;0,G10=INT(G10),H10&gt;=0,I10&gt;=0,J10&gt;0,J10=INT(J10),K10&lt;&gt;"",ISNUMBER(L10),L10&gt;='00_审核入口'!$F$2,M10="已核实",N10="完整"),Q10-S10,"")</f>
        <v/>
      </c>
      <c r="U10" s="10">
        <f>IF(AND(COUNT(C10:J10)=8,C10&gt;0,D10&gt;=0,E10&gt;0,F10&gt;=0,G10&gt;0,G10=INT(G10),H10&gt;=0,I10&gt;=0,J10&gt;0,J10=INT(J10),K10&lt;&gt;"",ISNUMBER(L10),L10&gt;='00_审核入口'!$F$2,M10="已核实",N10="完整"),IF(Q10&gt;0,T10/Q10,""),"")</f>
        <v/>
      </c>
      <c r="V10" s="9">
        <f>IF(AND(COUNT(C10:J10)=8,C10&gt;0,D10&gt;=0,E10&gt;0,F10&gt;=0,G10&gt;0,G10=INT(G10),H10&gt;=0,I10&gt;=0,J10&gt;0,J10=INT(J10),K10&lt;&gt;"",ISNUMBER(L10),L10&gt;='00_审核入口'!$F$2,M10="已核实",N10="完整"),IF(Q10-O10-ROUNDUP(MAX(15,0.2*Q10),2)&lt;0,"无非负可行采购价",ROUNDDOWN((Q10-O10-ROUNDUP(MAX(15,0.2*Q10),2)+0.005-0.0000000001)/(G10*(1+H10)),2)),"")</f>
        <v/>
      </c>
      <c r="W10" s="9">
        <f>IF(AND(COUNT(C10:J10)=8,C10&gt;0,D10&gt;=0,E10&gt;0,F10&gt;=0,G10&gt;0,G10=INT(G10),H10&gt;=0,I10&gt;=0,J10&gt;0,J10=INT(J10),K10&lt;&gt;"",ISNUMBER(L10),L10&gt;='00_审核入口'!$F$2,M10="已核实",N10="完整"),ROUND(ROUND((C10+D10)*E10*0.95,10),2)-ROUND(ROUND(F10*1.1*G10*(1+H10),10),2)-P10,"")</f>
        <v/>
      </c>
      <c r="X10" s="9">
        <f>IF(AND(COUNT(C10:J10)=8,C10&gt;0,D10&gt;=0,E10&gt;0,F10&gt;=0,G10&gt;0,G10=INT(G10),H10&gt;=0,I10&gt;=0,J10&gt;0,J10=INT(J10),K10&lt;&gt;"",ISNUMBER(L10),L10&gt;='00_审核入口'!$F$2,M10="已核实",N10="完整"),ROUND(I10+J10*S10,2),"")</f>
        <v/>
      </c>
      <c r="Y10" s="9">
        <f>IF(AND(COUNT(C10:J10)=8,C10&gt;0,D10&gt;=0,E10&gt;0,F10&gt;=0,G10&gt;0,G10=INT(G10),H10&gt;=0,I10&gt;=0,J10&gt;0,J10=INT(J10),K10&lt;&gt;"",ISNUMBER(L10),L10&gt;='00_审核入口'!$F$2,M10="已核实",N10="完整"),IF(S10&gt;0,MAX(0,INT((500-I10)/S10)),""),"")</f>
        <v/>
      </c>
      <c r="Z10" s="6" t="str">
        <f>IF(AND(COUNT(C10:J10)=8,C10&gt;0,D10&gt;=0,E10&gt;0,F10&gt;=0,G10&gt;0,G10=INT(G10),H10&gt;=0,I10&gt;=0,J10&gt;0,J10=INT(J10),K10&lt;&gt;"",ISNUMBER(L10),L10&gt;='00_审核入口'!$F$2,M10="已核实",N10="完整"),IF(AND(T10&gt;=15,U10&gt;=0.2,W10&gt;=0,X10&lt;=500),"成本条件通过","成本条件不通过"),"待补证")</f>
        <v>待补证</v>
      </c>
    </row>
    <row r="11" spans="1:26" ht="60" customHeight="1">
      <c r="A11" s="5" t="s">
        <v>104</v>
      </c>
      <c r="B11" s="5" t="s">
        <v>105</v>
      </c>
      <c r="C11" s="8"/>
      <c r="D11" s="8"/>
      <c r="E11" s="8"/>
      <c r="F11" s="8"/>
      <c r="G11" s="8"/>
      <c r="H11" s="8"/>
      <c r="I11" s="8"/>
      <c r="J11" s="8"/>
      <c r="K11" s="8"/>
      <c r="L11" s="3"/>
      <c r="M11" s="8" t="s">
        <v>506</v>
      </c>
      <c r="N11" s="6" t="str">
        <f>IF(COUNTIF('04_费用明细'!N113:N130,"完整")=18,"完整","待补证")</f>
        <v>待补证</v>
      </c>
      <c r="O11" s="9">
        <f>IF(N11="完整",SUM('04_费用明细'!L113:L130),"")</f>
        <v/>
      </c>
      <c r="P11" s="9">
        <f>IF(N11="完整",SUM('04_费用明细'!M113:M130),"")</f>
        <v/>
      </c>
      <c r="Q11" s="9">
        <f>IF(AND(COUNT(C11:J11)=8,C11&gt;0,D11&gt;=0,E11&gt;0,F11&gt;=0,G11&gt;0,G11=INT(G11),H11&gt;=0,I11&gt;=0,J11&gt;0,J11=INT(J11),K11&lt;&gt;"",ISNUMBER(L11),L11&gt;='00_审核入口'!$F$2,M11="已核实",N11="完整"),ROUND(ROUND((C11+D11)*E11,10),2),"")</f>
        <v/>
      </c>
      <c r="R11" s="9">
        <f>IF(AND(COUNT(C11:J11)=8,C11&gt;0,D11&gt;=0,E11&gt;0,F11&gt;=0,G11&gt;0,G11=INT(G11),H11&gt;=0,I11&gt;=0,J11&gt;0,J11=INT(J11),K11&lt;&gt;"",ISNUMBER(L11),L11&gt;='00_审核入口'!$F$2,M11="已核实",N11="完整"),ROUND(ROUND(F11*G11*(1+H11),10),2),"")</f>
        <v/>
      </c>
      <c r="S11" s="9">
        <f>IF(AND(COUNT(C11:J11)=8,C11&gt;0,D11&gt;=0,E11&gt;0,F11&gt;=0,G11&gt;0,G11=INT(G11),H11&gt;=0,I11&gt;=0,J11&gt;0,J11=INT(J11),K11&lt;&gt;"",ISNUMBER(L11),L11&gt;='00_审核入口'!$F$2,M11="已核实",N11="完整"),R11+O11,"")</f>
        <v/>
      </c>
      <c r="T11" s="9">
        <f>IF(AND(COUNT(C11:J11)=8,C11&gt;0,D11&gt;=0,E11&gt;0,F11&gt;=0,G11&gt;0,G11=INT(G11),H11&gt;=0,I11&gt;=0,J11&gt;0,J11=INT(J11),K11&lt;&gt;"",ISNUMBER(L11),L11&gt;='00_审核入口'!$F$2,M11="已核实",N11="完整"),Q11-S11,"")</f>
        <v/>
      </c>
      <c r="U11" s="10">
        <f>IF(AND(COUNT(C11:J11)=8,C11&gt;0,D11&gt;=0,E11&gt;0,F11&gt;=0,G11&gt;0,G11=INT(G11),H11&gt;=0,I11&gt;=0,J11&gt;0,J11=INT(J11),K11&lt;&gt;"",ISNUMBER(L11),L11&gt;='00_审核入口'!$F$2,M11="已核实",N11="完整"),IF(Q11&gt;0,T11/Q11,""),"")</f>
        <v/>
      </c>
      <c r="V11" s="9">
        <f>IF(AND(COUNT(C11:J11)=8,C11&gt;0,D11&gt;=0,E11&gt;0,F11&gt;=0,G11&gt;0,G11=INT(G11),H11&gt;=0,I11&gt;=0,J11&gt;0,J11=INT(J11),K11&lt;&gt;"",ISNUMBER(L11),L11&gt;='00_审核入口'!$F$2,M11="已核实",N11="完整"),IF(Q11-O11-ROUNDUP(MAX(15,0.2*Q11),2)&lt;0,"无非负可行采购价",ROUNDDOWN((Q11-O11-ROUNDUP(MAX(15,0.2*Q11),2)+0.005-0.0000000001)/(G11*(1+H11)),2)),"")</f>
        <v/>
      </c>
      <c r="W11" s="9">
        <f>IF(AND(COUNT(C11:J11)=8,C11&gt;0,D11&gt;=0,E11&gt;0,F11&gt;=0,G11&gt;0,G11=INT(G11),H11&gt;=0,I11&gt;=0,J11&gt;0,J11=INT(J11),K11&lt;&gt;"",ISNUMBER(L11),L11&gt;='00_审核入口'!$F$2,M11="已核实",N11="完整"),ROUND(ROUND((C11+D11)*E11*0.95,10),2)-ROUND(ROUND(F11*1.1*G11*(1+H11),10),2)-P11,"")</f>
        <v/>
      </c>
      <c r="X11" s="9">
        <f>IF(AND(COUNT(C11:J11)=8,C11&gt;0,D11&gt;=0,E11&gt;0,F11&gt;=0,G11&gt;0,G11=INT(G11),H11&gt;=0,I11&gt;=0,J11&gt;0,J11=INT(J11),K11&lt;&gt;"",ISNUMBER(L11),L11&gt;='00_审核入口'!$F$2,M11="已核实",N11="完整"),ROUND(I11+J11*S11,2),"")</f>
        <v/>
      </c>
      <c r="Y11" s="9">
        <f>IF(AND(COUNT(C11:J11)=8,C11&gt;0,D11&gt;=0,E11&gt;0,F11&gt;=0,G11&gt;0,G11=INT(G11),H11&gt;=0,I11&gt;=0,J11&gt;0,J11=INT(J11),K11&lt;&gt;"",ISNUMBER(L11),L11&gt;='00_审核入口'!$F$2,M11="已核实",N11="完整"),IF(S11&gt;0,MAX(0,INT((500-I11)/S11)),""),"")</f>
        <v/>
      </c>
      <c r="Z11" s="6" t="str">
        <f>IF(AND(COUNT(C11:J11)=8,C11&gt;0,D11&gt;=0,E11&gt;0,F11&gt;=0,G11&gt;0,G11=INT(G11),H11&gt;=0,I11&gt;=0,J11&gt;0,J11=INT(J11),K11&lt;&gt;"",ISNUMBER(L11),L11&gt;='00_审核入口'!$F$2,M11="已核实",N11="完整"),IF(AND(T11&gt;=15,U11&gt;=0.2,W11&gt;=0,X11&lt;=500),"成本条件通过","成本条件不通过"),"待补证")</f>
        <v>待补证</v>
      </c>
    </row>
    <row r="12" spans="1:26" ht="60" customHeight="1">
      <c r="A12" s="5" t="s">
        <v>113</v>
      </c>
      <c r="B12" s="5" t="s">
        <v>114</v>
      </c>
      <c r="C12" s="8"/>
      <c r="D12" s="8"/>
      <c r="E12" s="8"/>
      <c r="F12" s="8"/>
      <c r="G12" s="8"/>
      <c r="H12" s="8"/>
      <c r="I12" s="8"/>
      <c r="J12" s="8"/>
      <c r="K12" s="8"/>
      <c r="L12" s="3"/>
      <c r="M12" s="8" t="s">
        <v>506</v>
      </c>
      <c r="N12" s="6" t="str">
        <f>IF(COUNTIF('04_费用明细'!N131:N148,"完整")=18,"完整","待补证")</f>
        <v>待补证</v>
      </c>
      <c r="O12" s="9">
        <f>IF(N12="完整",SUM('04_费用明细'!L131:L148),"")</f>
        <v/>
      </c>
      <c r="P12" s="9">
        <f>IF(N12="完整",SUM('04_费用明细'!M131:M148),"")</f>
        <v/>
      </c>
      <c r="Q12" s="9">
        <f>IF(AND(COUNT(C12:J12)=8,C12&gt;0,D12&gt;=0,E12&gt;0,F12&gt;=0,G12&gt;0,G12=INT(G12),H12&gt;=0,I12&gt;=0,J12&gt;0,J12=INT(J12),K12&lt;&gt;"",ISNUMBER(L12),L12&gt;='00_审核入口'!$F$2,M12="已核实",N12="完整"),ROUND(ROUND((C12+D12)*E12,10),2),"")</f>
        <v/>
      </c>
      <c r="R12" s="9">
        <f>IF(AND(COUNT(C12:J12)=8,C12&gt;0,D12&gt;=0,E12&gt;0,F12&gt;=0,G12&gt;0,G12=INT(G12),H12&gt;=0,I12&gt;=0,J12&gt;0,J12=INT(J12),K12&lt;&gt;"",ISNUMBER(L12),L12&gt;='00_审核入口'!$F$2,M12="已核实",N12="完整"),ROUND(ROUND(F12*G12*(1+H12),10),2),"")</f>
        <v/>
      </c>
      <c r="S12" s="9">
        <f>IF(AND(COUNT(C12:J12)=8,C12&gt;0,D12&gt;=0,E12&gt;0,F12&gt;=0,G12&gt;0,G12=INT(G12),H12&gt;=0,I12&gt;=0,J12&gt;0,J12=INT(J12),K12&lt;&gt;"",ISNUMBER(L12),L12&gt;='00_审核入口'!$F$2,M12="已核实",N12="完整"),R12+O12,"")</f>
        <v/>
      </c>
      <c r="T12" s="9">
        <f>IF(AND(COUNT(C12:J12)=8,C12&gt;0,D12&gt;=0,E12&gt;0,F12&gt;=0,G12&gt;0,G12=INT(G12),H12&gt;=0,I12&gt;=0,J12&gt;0,J12=INT(J12),K12&lt;&gt;"",ISNUMBER(L12),L12&gt;='00_审核入口'!$F$2,M12="已核实",N12="完整"),Q12-S12,"")</f>
        <v/>
      </c>
      <c r="U12" s="10">
        <f>IF(AND(COUNT(C12:J12)=8,C12&gt;0,D12&gt;=0,E12&gt;0,F12&gt;=0,G12&gt;0,G12=INT(G12),H12&gt;=0,I12&gt;=0,J12&gt;0,J12=INT(J12),K12&lt;&gt;"",ISNUMBER(L12),L12&gt;='00_审核入口'!$F$2,M12="已核实",N12="完整"),IF(Q12&gt;0,T12/Q12,""),"")</f>
        <v/>
      </c>
      <c r="V12" s="9">
        <f>IF(AND(COUNT(C12:J12)=8,C12&gt;0,D12&gt;=0,E12&gt;0,F12&gt;=0,G12&gt;0,G12=INT(G12),H12&gt;=0,I12&gt;=0,J12&gt;0,J12=INT(J12),K12&lt;&gt;"",ISNUMBER(L12),L12&gt;='00_审核入口'!$F$2,M12="已核实",N12="完整"),IF(Q12-O12-ROUNDUP(MAX(15,0.2*Q12),2)&lt;0,"无非负可行采购价",ROUNDDOWN((Q12-O12-ROUNDUP(MAX(15,0.2*Q12),2)+0.005-0.0000000001)/(G12*(1+H12)),2)),"")</f>
        <v/>
      </c>
      <c r="W12" s="9">
        <f>IF(AND(COUNT(C12:J12)=8,C12&gt;0,D12&gt;=0,E12&gt;0,F12&gt;=0,G12&gt;0,G12=INT(G12),H12&gt;=0,I12&gt;=0,J12&gt;0,J12=INT(J12),K12&lt;&gt;"",ISNUMBER(L12),L12&gt;='00_审核入口'!$F$2,M12="已核实",N12="完整"),ROUND(ROUND((C12+D12)*E12*0.95,10),2)-ROUND(ROUND(F12*1.1*G12*(1+H12),10),2)-P12,"")</f>
        <v/>
      </c>
      <c r="X12" s="9">
        <f>IF(AND(COUNT(C12:J12)=8,C12&gt;0,D12&gt;=0,E12&gt;0,F12&gt;=0,G12&gt;0,G12=INT(G12),H12&gt;=0,I12&gt;=0,J12&gt;0,J12=INT(J12),K12&lt;&gt;"",ISNUMBER(L12),L12&gt;='00_审核入口'!$F$2,M12="已核实",N12="完整"),ROUND(I12+J12*S12,2),"")</f>
        <v/>
      </c>
      <c r="Y12" s="9">
        <f>IF(AND(COUNT(C12:J12)=8,C12&gt;0,D12&gt;=0,E12&gt;0,F12&gt;=0,G12&gt;0,G12=INT(G12),H12&gt;=0,I12&gt;=0,J12&gt;0,J12=INT(J12),K12&lt;&gt;"",ISNUMBER(L12),L12&gt;='00_审核入口'!$F$2,M12="已核实",N12="完整"),IF(S12&gt;0,MAX(0,INT((500-I12)/S12)),""),"")</f>
        <v/>
      </c>
      <c r="Z12" s="6" t="str">
        <f>IF(AND(COUNT(C12:J12)=8,C12&gt;0,D12&gt;=0,E12&gt;0,F12&gt;=0,G12&gt;0,G12=INT(G12),H12&gt;=0,I12&gt;=0,J12&gt;0,J12=INT(J12),K12&lt;&gt;"",ISNUMBER(L12),L12&gt;='00_审核入口'!$F$2,M12="已核实",N12="完整"),IF(AND(T12&gt;=15,U12&gt;=0.2,W12&gt;=0,X12&lt;=500),"成本条件通过","成本条件不通过"),"待补证")</f>
        <v>待补证</v>
      </c>
    </row>
    <row r="13" spans="1:26" ht="60" customHeight="1">
      <c r="A13" s="5" t="s">
        <v>121</v>
      </c>
      <c r="B13" s="5" t="s">
        <v>122</v>
      </c>
      <c r="C13" s="8"/>
      <c r="D13" s="8"/>
      <c r="E13" s="8"/>
      <c r="F13" s="8"/>
      <c r="G13" s="8"/>
      <c r="H13" s="8"/>
      <c r="I13" s="8"/>
      <c r="J13" s="8"/>
      <c r="K13" s="8"/>
      <c r="L13" s="3"/>
      <c r="M13" s="8" t="s">
        <v>506</v>
      </c>
      <c r="N13" s="6" t="str">
        <f>IF(COUNTIF('04_费用明细'!N149:N166,"完整")=18,"完整","待补证")</f>
        <v>待补证</v>
      </c>
      <c r="O13" s="9">
        <f>IF(N13="完整",SUM('04_费用明细'!L149:L166),"")</f>
        <v/>
      </c>
      <c r="P13" s="9">
        <f>IF(N13="完整",SUM('04_费用明细'!M149:M166),"")</f>
        <v/>
      </c>
      <c r="Q13" s="9">
        <f>IF(AND(COUNT(C13:J13)=8,C13&gt;0,D13&gt;=0,E13&gt;0,F13&gt;=0,G13&gt;0,G13=INT(G13),H13&gt;=0,I13&gt;=0,J13&gt;0,J13=INT(J13),K13&lt;&gt;"",ISNUMBER(L13),L13&gt;='00_审核入口'!$F$2,M13="已核实",N13="完整"),ROUND(ROUND((C13+D13)*E13,10),2),"")</f>
        <v/>
      </c>
      <c r="R13" s="9">
        <f>IF(AND(COUNT(C13:J13)=8,C13&gt;0,D13&gt;=0,E13&gt;0,F13&gt;=0,G13&gt;0,G13=INT(G13),H13&gt;=0,I13&gt;=0,J13&gt;0,J13=INT(J13),K13&lt;&gt;"",ISNUMBER(L13),L13&gt;='00_审核入口'!$F$2,M13="已核实",N13="完整"),ROUND(ROUND(F13*G13*(1+H13),10),2),"")</f>
        <v/>
      </c>
      <c r="S13" s="9">
        <f>IF(AND(COUNT(C13:J13)=8,C13&gt;0,D13&gt;=0,E13&gt;0,F13&gt;=0,G13&gt;0,G13=INT(G13),H13&gt;=0,I13&gt;=0,J13&gt;0,J13=INT(J13),K13&lt;&gt;"",ISNUMBER(L13),L13&gt;='00_审核入口'!$F$2,M13="已核实",N13="完整"),R13+O13,"")</f>
        <v/>
      </c>
      <c r="T13" s="9">
        <f>IF(AND(COUNT(C13:J13)=8,C13&gt;0,D13&gt;=0,E13&gt;0,F13&gt;=0,G13&gt;0,G13=INT(G13),H13&gt;=0,I13&gt;=0,J13&gt;0,J13=INT(J13),K13&lt;&gt;"",ISNUMBER(L13),L13&gt;='00_审核入口'!$F$2,M13="已核实",N13="完整"),Q13-S13,"")</f>
        <v/>
      </c>
      <c r="U13" s="10">
        <f>IF(AND(COUNT(C13:J13)=8,C13&gt;0,D13&gt;=0,E13&gt;0,F13&gt;=0,G13&gt;0,G13=INT(G13),H13&gt;=0,I13&gt;=0,J13&gt;0,J13=INT(J13),K13&lt;&gt;"",ISNUMBER(L13),L13&gt;='00_审核入口'!$F$2,M13="已核实",N13="完整"),IF(Q13&gt;0,T13/Q13,""),"")</f>
        <v/>
      </c>
      <c r="V13" s="9">
        <f>IF(AND(COUNT(C13:J13)=8,C13&gt;0,D13&gt;=0,E13&gt;0,F13&gt;=0,G13&gt;0,G13=INT(G13),H13&gt;=0,I13&gt;=0,J13&gt;0,J13=INT(J13),K13&lt;&gt;"",ISNUMBER(L13),L13&gt;='00_审核入口'!$F$2,M13="已核实",N13="完整"),IF(Q13-O13-ROUNDUP(MAX(15,0.2*Q13),2)&lt;0,"无非负可行采购价",ROUNDDOWN((Q13-O13-ROUNDUP(MAX(15,0.2*Q13),2)+0.005-0.0000000001)/(G13*(1+H13)),2)),"")</f>
        <v/>
      </c>
      <c r="W13" s="9">
        <f>IF(AND(COUNT(C13:J13)=8,C13&gt;0,D13&gt;=0,E13&gt;0,F13&gt;=0,G13&gt;0,G13=INT(G13),H13&gt;=0,I13&gt;=0,J13&gt;0,J13=INT(J13),K13&lt;&gt;"",ISNUMBER(L13),L13&gt;='00_审核入口'!$F$2,M13="已核实",N13="完整"),ROUND(ROUND((C13+D13)*E13*0.95,10),2)-ROUND(ROUND(F13*1.1*G13*(1+H13),10),2)-P13,"")</f>
        <v/>
      </c>
      <c r="X13" s="9">
        <f>IF(AND(COUNT(C13:J13)=8,C13&gt;0,D13&gt;=0,E13&gt;0,F13&gt;=0,G13&gt;0,G13=INT(G13),H13&gt;=0,I13&gt;=0,J13&gt;0,J13=INT(J13),K13&lt;&gt;"",ISNUMBER(L13),L13&gt;='00_审核入口'!$F$2,M13="已核实",N13="完整"),ROUND(I13+J13*S13,2),"")</f>
        <v/>
      </c>
      <c r="Y13" s="9">
        <f>IF(AND(COUNT(C13:J13)=8,C13&gt;0,D13&gt;=0,E13&gt;0,F13&gt;=0,G13&gt;0,G13=INT(G13),H13&gt;=0,I13&gt;=0,J13&gt;0,J13=INT(J13),K13&lt;&gt;"",ISNUMBER(L13),L13&gt;='00_审核入口'!$F$2,M13="已核实",N13="完整"),IF(S13&gt;0,MAX(0,INT((500-I13)/S13)),""),"")</f>
        <v/>
      </c>
      <c r="Z13" s="6" t="str">
        <f>IF(AND(COUNT(C13:J13)=8,C13&gt;0,D13&gt;=0,E13&gt;0,F13&gt;=0,G13&gt;0,G13=INT(G13),H13&gt;=0,I13&gt;=0,J13&gt;0,J13=INT(J13),K13&lt;&gt;"",ISNUMBER(L13),L13&gt;='00_审核入口'!$F$2,M13="已核实",N13="完整"),IF(AND(T13&gt;=15,U13&gt;=0.2,W13&gt;=0,X13&lt;=500),"成本条件通过","成本条件不通过"),"待补证")</f>
        <v>待补证</v>
      </c>
    </row>
    <row r="14" spans="1:26" ht="60" customHeight="1">
      <c r="A14" s="5" t="s">
        <v>129</v>
      </c>
      <c r="B14" s="5" t="s">
        <v>130</v>
      </c>
      <c r="C14" s="8"/>
      <c r="D14" s="8"/>
      <c r="E14" s="8"/>
      <c r="F14" s="8"/>
      <c r="G14" s="8"/>
      <c r="H14" s="8"/>
      <c r="I14" s="8"/>
      <c r="J14" s="8"/>
      <c r="K14" s="8"/>
      <c r="L14" s="3"/>
      <c r="M14" s="8" t="s">
        <v>506</v>
      </c>
      <c r="N14" s="6" t="str">
        <f>IF(COUNTIF('04_费用明细'!N167:N184,"完整")=18,"完整","待补证")</f>
        <v>待补证</v>
      </c>
      <c r="O14" s="9">
        <f>IF(N14="完整",SUM('04_费用明细'!L167:L184),"")</f>
        <v/>
      </c>
      <c r="P14" s="9">
        <f>IF(N14="完整",SUM('04_费用明细'!M167:M184),"")</f>
        <v/>
      </c>
      <c r="Q14" s="9">
        <f>IF(AND(COUNT(C14:J14)=8,C14&gt;0,D14&gt;=0,E14&gt;0,F14&gt;=0,G14&gt;0,G14=INT(G14),H14&gt;=0,I14&gt;=0,J14&gt;0,J14=INT(J14),K14&lt;&gt;"",ISNUMBER(L14),L14&gt;='00_审核入口'!$F$2,M14="已核实",N14="完整"),ROUND(ROUND((C14+D14)*E14,10),2),"")</f>
        <v/>
      </c>
      <c r="R14" s="9">
        <f>IF(AND(COUNT(C14:J14)=8,C14&gt;0,D14&gt;=0,E14&gt;0,F14&gt;=0,G14&gt;0,G14=INT(G14),H14&gt;=0,I14&gt;=0,J14&gt;0,J14=INT(J14),K14&lt;&gt;"",ISNUMBER(L14),L14&gt;='00_审核入口'!$F$2,M14="已核实",N14="完整"),ROUND(ROUND(F14*G14*(1+H14),10),2),"")</f>
        <v/>
      </c>
      <c r="S14" s="9">
        <f>IF(AND(COUNT(C14:J14)=8,C14&gt;0,D14&gt;=0,E14&gt;0,F14&gt;=0,G14&gt;0,G14=INT(G14),H14&gt;=0,I14&gt;=0,J14&gt;0,J14=INT(J14),K14&lt;&gt;"",ISNUMBER(L14),L14&gt;='00_审核入口'!$F$2,M14="已核实",N14="完整"),R14+O14,"")</f>
        <v/>
      </c>
      <c r="T14" s="9">
        <f>IF(AND(COUNT(C14:J14)=8,C14&gt;0,D14&gt;=0,E14&gt;0,F14&gt;=0,G14&gt;0,G14=INT(G14),H14&gt;=0,I14&gt;=0,J14&gt;0,J14=INT(J14),K14&lt;&gt;"",ISNUMBER(L14),L14&gt;='00_审核入口'!$F$2,M14="已核实",N14="完整"),Q14-S14,"")</f>
        <v/>
      </c>
      <c r="U14" s="10">
        <f>IF(AND(COUNT(C14:J14)=8,C14&gt;0,D14&gt;=0,E14&gt;0,F14&gt;=0,G14&gt;0,G14=INT(G14),H14&gt;=0,I14&gt;=0,J14&gt;0,J14=INT(J14),K14&lt;&gt;"",ISNUMBER(L14),L14&gt;='00_审核入口'!$F$2,M14="已核实",N14="完整"),IF(Q14&gt;0,T14/Q14,""),"")</f>
        <v/>
      </c>
      <c r="V14" s="9">
        <f>IF(AND(COUNT(C14:J14)=8,C14&gt;0,D14&gt;=0,E14&gt;0,F14&gt;=0,G14&gt;0,G14=INT(G14),H14&gt;=0,I14&gt;=0,J14&gt;0,J14=INT(J14),K14&lt;&gt;"",ISNUMBER(L14),L14&gt;='00_审核入口'!$F$2,M14="已核实",N14="完整"),IF(Q14-O14-ROUNDUP(MAX(15,0.2*Q14),2)&lt;0,"无非负可行采购价",ROUNDDOWN((Q14-O14-ROUNDUP(MAX(15,0.2*Q14),2)+0.005-0.0000000001)/(G14*(1+H14)),2)),"")</f>
        <v/>
      </c>
      <c r="W14" s="9">
        <f>IF(AND(COUNT(C14:J14)=8,C14&gt;0,D14&gt;=0,E14&gt;0,F14&gt;=0,G14&gt;0,G14=INT(G14),H14&gt;=0,I14&gt;=0,J14&gt;0,J14=INT(J14),K14&lt;&gt;"",ISNUMBER(L14),L14&gt;='00_审核入口'!$F$2,M14="已核实",N14="完整"),ROUND(ROUND((C14+D14)*E14*0.95,10),2)-ROUND(ROUND(F14*1.1*G14*(1+H14),10),2)-P14,"")</f>
        <v/>
      </c>
      <c r="X14" s="9">
        <f>IF(AND(COUNT(C14:J14)=8,C14&gt;0,D14&gt;=0,E14&gt;0,F14&gt;=0,G14&gt;0,G14=INT(G14),H14&gt;=0,I14&gt;=0,J14&gt;0,J14=INT(J14),K14&lt;&gt;"",ISNUMBER(L14),L14&gt;='00_审核入口'!$F$2,M14="已核实",N14="完整"),ROUND(I14+J14*S14,2),"")</f>
        <v/>
      </c>
      <c r="Y14" s="9">
        <f>IF(AND(COUNT(C14:J14)=8,C14&gt;0,D14&gt;=0,E14&gt;0,F14&gt;=0,G14&gt;0,G14=INT(G14),H14&gt;=0,I14&gt;=0,J14&gt;0,J14=INT(J14),K14&lt;&gt;"",ISNUMBER(L14),L14&gt;='00_审核入口'!$F$2,M14="已核实",N14="完整"),IF(S14&gt;0,MAX(0,INT((500-I14)/S14)),""),"")</f>
        <v/>
      </c>
      <c r="Z14" s="6" t="str">
        <f>IF(AND(COUNT(C14:J14)=8,C14&gt;0,D14&gt;=0,E14&gt;0,F14&gt;=0,G14&gt;0,G14=INT(G14),H14&gt;=0,I14&gt;=0,J14&gt;0,J14=INT(J14),K14&lt;&gt;"",ISNUMBER(L14),L14&gt;='00_审核入口'!$F$2,M14="已核实",N14="完整"),IF(AND(T14&gt;=15,U14&gt;=0.2,W14&gt;=0,X14&lt;=500),"成本条件通过","成本条件不通过"),"待补证")</f>
        <v>待补证</v>
      </c>
    </row>
    <row r="15" spans="1:26" ht="60" customHeight="1">
      <c r="A15" s="5" t="s">
        <v>137</v>
      </c>
      <c r="B15" s="5" t="s">
        <v>138</v>
      </c>
      <c r="C15" s="8"/>
      <c r="D15" s="8"/>
      <c r="E15" s="8"/>
      <c r="F15" s="8"/>
      <c r="G15" s="8"/>
      <c r="H15" s="8"/>
      <c r="I15" s="8"/>
      <c r="J15" s="8"/>
      <c r="K15" s="8"/>
      <c r="L15" s="3"/>
      <c r="M15" s="8" t="s">
        <v>506</v>
      </c>
      <c r="N15" s="6" t="str">
        <f>IF(COUNTIF('04_费用明细'!N185:N202,"完整")=18,"完整","待补证")</f>
        <v>待补证</v>
      </c>
      <c r="O15" s="9">
        <f>IF(N15="完整",SUM('04_费用明细'!L185:L202),"")</f>
        <v/>
      </c>
      <c r="P15" s="9">
        <f>IF(N15="完整",SUM('04_费用明细'!M185:M202),"")</f>
        <v/>
      </c>
      <c r="Q15" s="9">
        <f>IF(AND(COUNT(C15:J15)=8,C15&gt;0,D15&gt;=0,E15&gt;0,F15&gt;=0,G15&gt;0,G15=INT(G15),H15&gt;=0,I15&gt;=0,J15&gt;0,J15=INT(J15),K15&lt;&gt;"",ISNUMBER(L15),L15&gt;='00_审核入口'!$F$2,M15="已核实",N15="完整"),ROUND(ROUND((C15+D15)*E15,10),2),"")</f>
        <v/>
      </c>
      <c r="R15" s="9">
        <f>IF(AND(COUNT(C15:J15)=8,C15&gt;0,D15&gt;=0,E15&gt;0,F15&gt;=0,G15&gt;0,G15=INT(G15),H15&gt;=0,I15&gt;=0,J15&gt;0,J15=INT(J15),K15&lt;&gt;"",ISNUMBER(L15),L15&gt;='00_审核入口'!$F$2,M15="已核实",N15="完整"),ROUND(ROUND(F15*G15*(1+H15),10),2),"")</f>
        <v/>
      </c>
      <c r="S15" s="9">
        <f>IF(AND(COUNT(C15:J15)=8,C15&gt;0,D15&gt;=0,E15&gt;0,F15&gt;=0,G15&gt;0,G15=INT(G15),H15&gt;=0,I15&gt;=0,J15&gt;0,J15=INT(J15),K15&lt;&gt;"",ISNUMBER(L15),L15&gt;='00_审核入口'!$F$2,M15="已核实",N15="完整"),R15+O15,"")</f>
        <v/>
      </c>
      <c r="T15" s="9">
        <f>IF(AND(COUNT(C15:J15)=8,C15&gt;0,D15&gt;=0,E15&gt;0,F15&gt;=0,G15&gt;0,G15=INT(G15),H15&gt;=0,I15&gt;=0,J15&gt;0,J15=INT(J15),K15&lt;&gt;"",ISNUMBER(L15),L15&gt;='00_审核入口'!$F$2,M15="已核实",N15="完整"),Q15-S15,"")</f>
        <v/>
      </c>
      <c r="U15" s="10">
        <f>IF(AND(COUNT(C15:J15)=8,C15&gt;0,D15&gt;=0,E15&gt;0,F15&gt;=0,G15&gt;0,G15=INT(G15),H15&gt;=0,I15&gt;=0,J15&gt;0,J15=INT(J15),K15&lt;&gt;"",ISNUMBER(L15),L15&gt;='00_审核入口'!$F$2,M15="已核实",N15="完整"),IF(Q15&gt;0,T15/Q15,""),"")</f>
        <v/>
      </c>
      <c r="V15" s="9">
        <f>IF(AND(COUNT(C15:J15)=8,C15&gt;0,D15&gt;=0,E15&gt;0,F15&gt;=0,G15&gt;0,G15=INT(G15),H15&gt;=0,I15&gt;=0,J15&gt;0,J15=INT(J15),K15&lt;&gt;"",ISNUMBER(L15),L15&gt;='00_审核入口'!$F$2,M15="已核实",N15="完整"),IF(Q15-O15-ROUNDUP(MAX(15,0.2*Q15),2)&lt;0,"无非负可行采购价",ROUNDDOWN((Q15-O15-ROUNDUP(MAX(15,0.2*Q15),2)+0.005-0.0000000001)/(G15*(1+H15)),2)),"")</f>
        <v/>
      </c>
      <c r="W15" s="9">
        <f>IF(AND(COUNT(C15:J15)=8,C15&gt;0,D15&gt;=0,E15&gt;0,F15&gt;=0,G15&gt;0,G15=INT(G15),H15&gt;=0,I15&gt;=0,J15&gt;0,J15=INT(J15),K15&lt;&gt;"",ISNUMBER(L15),L15&gt;='00_审核入口'!$F$2,M15="已核实",N15="完整"),ROUND(ROUND((C15+D15)*E15*0.95,10),2)-ROUND(ROUND(F15*1.1*G15*(1+H15),10),2)-P15,"")</f>
        <v/>
      </c>
      <c r="X15" s="9">
        <f>IF(AND(COUNT(C15:J15)=8,C15&gt;0,D15&gt;=0,E15&gt;0,F15&gt;=0,G15&gt;0,G15=INT(G15),H15&gt;=0,I15&gt;=0,J15&gt;0,J15=INT(J15),K15&lt;&gt;"",ISNUMBER(L15),L15&gt;='00_审核入口'!$F$2,M15="已核实",N15="完整"),ROUND(I15+J15*S15,2),"")</f>
        <v/>
      </c>
      <c r="Y15" s="9">
        <f>IF(AND(COUNT(C15:J15)=8,C15&gt;0,D15&gt;=0,E15&gt;0,F15&gt;=0,G15&gt;0,G15=INT(G15),H15&gt;=0,I15&gt;=0,J15&gt;0,J15=INT(J15),K15&lt;&gt;"",ISNUMBER(L15),L15&gt;='00_审核入口'!$F$2,M15="已核实",N15="完整"),IF(S15&gt;0,MAX(0,INT((500-I15)/S15)),""),"")</f>
        <v/>
      </c>
      <c r="Z15" s="6" t="str">
        <f>IF(AND(COUNT(C15:J15)=8,C15&gt;0,D15&gt;=0,E15&gt;0,F15&gt;=0,G15&gt;0,G15=INT(G15),H15&gt;=0,I15&gt;=0,J15&gt;0,J15=INT(J15),K15&lt;&gt;"",ISNUMBER(L15),L15&gt;='00_审核入口'!$F$2,M15="已核实",N15="完整"),IF(AND(T15&gt;=15,U15&gt;=0.2,W15&gt;=0,X15&lt;=500),"成本条件通过","成本条件不通过"),"待补证")</f>
        <v>待补证</v>
      </c>
    </row>
    <row r="16" spans="1:26" ht="60" customHeight="1">
      <c r="A16" s="5" t="s">
        <v>145</v>
      </c>
      <c r="B16" s="5" t="s">
        <v>146</v>
      </c>
      <c r="C16" s="8"/>
      <c r="D16" s="8"/>
      <c r="E16" s="8"/>
      <c r="F16" s="8"/>
      <c r="G16" s="8"/>
      <c r="H16" s="8"/>
      <c r="I16" s="8"/>
      <c r="J16" s="8"/>
      <c r="K16" s="8"/>
      <c r="L16" s="3"/>
      <c r="M16" s="8" t="s">
        <v>506</v>
      </c>
      <c r="N16" s="6" t="str">
        <f>IF(COUNTIF('04_费用明细'!N203:N220,"完整")=18,"完整","待补证")</f>
        <v>待补证</v>
      </c>
      <c r="O16" s="9">
        <f>IF(N16="完整",SUM('04_费用明细'!L203:L220),"")</f>
        <v/>
      </c>
      <c r="P16" s="9">
        <f>IF(N16="完整",SUM('04_费用明细'!M203:M220),"")</f>
        <v/>
      </c>
      <c r="Q16" s="9">
        <f>IF(AND(COUNT(C16:J16)=8,C16&gt;0,D16&gt;=0,E16&gt;0,F16&gt;=0,G16&gt;0,G16=INT(G16),H16&gt;=0,I16&gt;=0,J16&gt;0,J16=INT(J16),K16&lt;&gt;"",ISNUMBER(L16),L16&gt;='00_审核入口'!$F$2,M16="已核实",N16="完整"),ROUND(ROUND((C16+D16)*E16,10),2),"")</f>
        <v/>
      </c>
      <c r="R16" s="9">
        <f>IF(AND(COUNT(C16:J16)=8,C16&gt;0,D16&gt;=0,E16&gt;0,F16&gt;=0,G16&gt;0,G16=INT(G16),H16&gt;=0,I16&gt;=0,J16&gt;0,J16=INT(J16),K16&lt;&gt;"",ISNUMBER(L16),L16&gt;='00_审核入口'!$F$2,M16="已核实",N16="完整"),ROUND(ROUND(F16*G16*(1+H16),10),2),"")</f>
        <v/>
      </c>
      <c r="S16" s="9">
        <f>IF(AND(COUNT(C16:J16)=8,C16&gt;0,D16&gt;=0,E16&gt;0,F16&gt;=0,G16&gt;0,G16=INT(G16),H16&gt;=0,I16&gt;=0,J16&gt;0,J16=INT(J16),K16&lt;&gt;"",ISNUMBER(L16),L16&gt;='00_审核入口'!$F$2,M16="已核实",N16="完整"),R16+O16,"")</f>
        <v/>
      </c>
      <c r="T16" s="9">
        <f>IF(AND(COUNT(C16:J16)=8,C16&gt;0,D16&gt;=0,E16&gt;0,F16&gt;=0,G16&gt;0,G16=INT(G16),H16&gt;=0,I16&gt;=0,J16&gt;0,J16=INT(J16),K16&lt;&gt;"",ISNUMBER(L16),L16&gt;='00_审核入口'!$F$2,M16="已核实",N16="完整"),Q16-S16,"")</f>
        <v/>
      </c>
      <c r="U16" s="10">
        <f>IF(AND(COUNT(C16:J16)=8,C16&gt;0,D16&gt;=0,E16&gt;0,F16&gt;=0,G16&gt;0,G16=INT(G16),H16&gt;=0,I16&gt;=0,J16&gt;0,J16=INT(J16),K16&lt;&gt;"",ISNUMBER(L16),L16&gt;='00_审核入口'!$F$2,M16="已核实",N16="完整"),IF(Q16&gt;0,T16/Q16,""),"")</f>
        <v/>
      </c>
      <c r="V16" s="9">
        <f>IF(AND(COUNT(C16:J16)=8,C16&gt;0,D16&gt;=0,E16&gt;0,F16&gt;=0,G16&gt;0,G16=INT(G16),H16&gt;=0,I16&gt;=0,J16&gt;0,J16=INT(J16),K16&lt;&gt;"",ISNUMBER(L16),L16&gt;='00_审核入口'!$F$2,M16="已核实",N16="完整"),IF(Q16-O16-ROUNDUP(MAX(15,0.2*Q16),2)&lt;0,"无非负可行采购价",ROUNDDOWN((Q16-O16-ROUNDUP(MAX(15,0.2*Q16),2)+0.005-0.0000000001)/(G16*(1+H16)),2)),"")</f>
        <v/>
      </c>
      <c r="W16" s="9">
        <f>IF(AND(COUNT(C16:J16)=8,C16&gt;0,D16&gt;=0,E16&gt;0,F16&gt;=0,G16&gt;0,G16=INT(G16),H16&gt;=0,I16&gt;=0,J16&gt;0,J16=INT(J16),K16&lt;&gt;"",ISNUMBER(L16),L16&gt;='00_审核入口'!$F$2,M16="已核实",N16="完整"),ROUND(ROUND((C16+D16)*E16*0.95,10),2)-ROUND(ROUND(F16*1.1*G16*(1+H16),10),2)-P16,"")</f>
        <v/>
      </c>
      <c r="X16" s="9">
        <f>IF(AND(COUNT(C16:J16)=8,C16&gt;0,D16&gt;=0,E16&gt;0,F16&gt;=0,G16&gt;0,G16=INT(G16),H16&gt;=0,I16&gt;=0,J16&gt;0,J16=INT(J16),K16&lt;&gt;"",ISNUMBER(L16),L16&gt;='00_审核入口'!$F$2,M16="已核实",N16="完整"),ROUND(I16+J16*S16,2),"")</f>
        <v/>
      </c>
      <c r="Y16" s="9">
        <f>IF(AND(COUNT(C16:J16)=8,C16&gt;0,D16&gt;=0,E16&gt;0,F16&gt;=0,G16&gt;0,G16=INT(G16),H16&gt;=0,I16&gt;=0,J16&gt;0,J16=INT(J16),K16&lt;&gt;"",ISNUMBER(L16),L16&gt;='00_审核入口'!$F$2,M16="已核实",N16="完整"),IF(S16&gt;0,MAX(0,INT((500-I16)/S16)),""),"")</f>
        <v/>
      </c>
      <c r="Z16" s="6" t="str">
        <f>IF(AND(COUNT(C16:J16)=8,C16&gt;0,D16&gt;=0,E16&gt;0,F16&gt;=0,G16&gt;0,G16=INT(G16),H16&gt;=0,I16&gt;=0,J16&gt;0,J16=INT(J16),K16&lt;&gt;"",ISNUMBER(L16),L16&gt;='00_审核入口'!$F$2,M16="已核实",N16="完整"),IF(AND(T16&gt;=15,U16&gt;=0.2,W16&gt;=0,X16&lt;=500),"成本条件通过","成本条件不通过"),"待补证")</f>
        <v>待补证</v>
      </c>
    </row>
    <row r="17" spans="1:26" ht="60" customHeight="1">
      <c r="A17" s="5" t="s">
        <v>153</v>
      </c>
      <c r="B17" s="5" t="s">
        <v>154</v>
      </c>
      <c r="C17" s="8"/>
      <c r="D17" s="8"/>
      <c r="E17" s="8"/>
      <c r="F17" s="8"/>
      <c r="G17" s="8"/>
      <c r="H17" s="8"/>
      <c r="I17" s="8"/>
      <c r="J17" s="8"/>
      <c r="K17" s="8"/>
      <c r="L17" s="3"/>
      <c r="M17" s="8" t="s">
        <v>506</v>
      </c>
      <c r="N17" s="6" t="str">
        <f>IF(COUNTIF('04_费用明细'!N221:N238,"完整")=18,"完整","待补证")</f>
        <v>待补证</v>
      </c>
      <c r="O17" s="9">
        <f>IF(N17="完整",SUM('04_费用明细'!L221:L238),"")</f>
        <v/>
      </c>
      <c r="P17" s="9">
        <f>IF(N17="完整",SUM('04_费用明细'!M221:M238),"")</f>
        <v/>
      </c>
      <c r="Q17" s="9">
        <f>IF(AND(COUNT(C17:J17)=8,C17&gt;0,D17&gt;=0,E17&gt;0,F17&gt;=0,G17&gt;0,G17=INT(G17),H17&gt;=0,I17&gt;=0,J17&gt;0,J17=INT(J17),K17&lt;&gt;"",ISNUMBER(L17),L17&gt;='00_审核入口'!$F$2,M17="已核实",N17="完整"),ROUND(ROUND((C17+D17)*E17,10),2),"")</f>
        <v/>
      </c>
      <c r="R17" s="9">
        <f>IF(AND(COUNT(C17:J17)=8,C17&gt;0,D17&gt;=0,E17&gt;0,F17&gt;=0,G17&gt;0,G17=INT(G17),H17&gt;=0,I17&gt;=0,J17&gt;0,J17=INT(J17),K17&lt;&gt;"",ISNUMBER(L17),L17&gt;='00_审核入口'!$F$2,M17="已核实",N17="完整"),ROUND(ROUND(F17*G17*(1+H17),10),2),"")</f>
        <v/>
      </c>
      <c r="S17" s="9">
        <f>IF(AND(COUNT(C17:J17)=8,C17&gt;0,D17&gt;=0,E17&gt;0,F17&gt;=0,G17&gt;0,G17=INT(G17),H17&gt;=0,I17&gt;=0,J17&gt;0,J17=INT(J17),K17&lt;&gt;"",ISNUMBER(L17),L17&gt;='00_审核入口'!$F$2,M17="已核实",N17="完整"),R17+O17,"")</f>
        <v/>
      </c>
      <c r="T17" s="9">
        <f>IF(AND(COUNT(C17:J17)=8,C17&gt;0,D17&gt;=0,E17&gt;0,F17&gt;=0,G17&gt;0,G17=INT(G17),H17&gt;=0,I17&gt;=0,J17&gt;0,J17=INT(J17),K17&lt;&gt;"",ISNUMBER(L17),L17&gt;='00_审核入口'!$F$2,M17="已核实",N17="完整"),Q17-S17,"")</f>
        <v/>
      </c>
      <c r="U17" s="10">
        <f>IF(AND(COUNT(C17:J17)=8,C17&gt;0,D17&gt;=0,E17&gt;0,F17&gt;=0,G17&gt;0,G17=INT(G17),H17&gt;=0,I17&gt;=0,J17&gt;0,J17=INT(J17),K17&lt;&gt;"",ISNUMBER(L17),L17&gt;='00_审核入口'!$F$2,M17="已核实",N17="完整"),IF(Q17&gt;0,T17/Q17,""),"")</f>
        <v/>
      </c>
      <c r="V17" s="9">
        <f>IF(AND(COUNT(C17:J17)=8,C17&gt;0,D17&gt;=0,E17&gt;0,F17&gt;=0,G17&gt;0,G17=INT(G17),H17&gt;=0,I17&gt;=0,J17&gt;0,J17=INT(J17),K17&lt;&gt;"",ISNUMBER(L17),L17&gt;='00_审核入口'!$F$2,M17="已核实",N17="完整"),IF(Q17-O17-ROUNDUP(MAX(15,0.2*Q17),2)&lt;0,"无非负可行采购价",ROUNDDOWN((Q17-O17-ROUNDUP(MAX(15,0.2*Q17),2)+0.005-0.0000000001)/(G17*(1+H17)),2)),"")</f>
        <v/>
      </c>
      <c r="W17" s="9">
        <f>IF(AND(COUNT(C17:J17)=8,C17&gt;0,D17&gt;=0,E17&gt;0,F17&gt;=0,G17&gt;0,G17=INT(G17),H17&gt;=0,I17&gt;=0,J17&gt;0,J17=INT(J17),K17&lt;&gt;"",ISNUMBER(L17),L17&gt;='00_审核入口'!$F$2,M17="已核实",N17="完整"),ROUND(ROUND((C17+D17)*E17*0.95,10),2)-ROUND(ROUND(F17*1.1*G17*(1+H17),10),2)-P17,"")</f>
        <v/>
      </c>
      <c r="X17" s="9">
        <f>IF(AND(COUNT(C17:J17)=8,C17&gt;0,D17&gt;=0,E17&gt;0,F17&gt;=0,G17&gt;0,G17=INT(G17),H17&gt;=0,I17&gt;=0,J17&gt;0,J17=INT(J17),K17&lt;&gt;"",ISNUMBER(L17),L17&gt;='00_审核入口'!$F$2,M17="已核实",N17="完整"),ROUND(I17+J17*S17,2),"")</f>
        <v/>
      </c>
      <c r="Y17" s="9">
        <f>IF(AND(COUNT(C17:J17)=8,C17&gt;0,D17&gt;=0,E17&gt;0,F17&gt;=0,G17&gt;0,G17=INT(G17),H17&gt;=0,I17&gt;=0,J17&gt;0,J17=INT(J17),K17&lt;&gt;"",ISNUMBER(L17),L17&gt;='00_审核入口'!$F$2,M17="已核实",N17="完整"),IF(S17&gt;0,MAX(0,INT((500-I17)/S17)),""),"")</f>
        <v/>
      </c>
      <c r="Z17" s="6" t="str">
        <f>IF(AND(COUNT(C17:J17)=8,C17&gt;0,D17&gt;=0,E17&gt;0,F17&gt;=0,G17&gt;0,G17=INT(G17),H17&gt;=0,I17&gt;=0,J17&gt;0,J17=INT(J17),K17&lt;&gt;"",ISNUMBER(L17),L17&gt;='00_审核入口'!$F$2,M17="已核实",N17="完整"),IF(AND(T17&gt;=15,U17&gt;=0.2,W17&gt;=0,X17&lt;=500),"成本条件通过","成本条件不通过"),"待补证")</f>
        <v>待补证</v>
      </c>
    </row>
    <row r="18" spans="1:26" ht="60" customHeight="1">
      <c r="A18" s="5" t="s">
        <v>162</v>
      </c>
      <c r="B18" s="5" t="s">
        <v>163</v>
      </c>
      <c r="C18" s="8"/>
      <c r="D18" s="8"/>
      <c r="E18" s="8"/>
      <c r="F18" s="8"/>
      <c r="G18" s="8"/>
      <c r="H18" s="8"/>
      <c r="I18" s="8"/>
      <c r="J18" s="8"/>
      <c r="K18" s="8"/>
      <c r="L18" s="3"/>
      <c r="M18" s="8" t="s">
        <v>506</v>
      </c>
      <c r="N18" s="6" t="str">
        <f>IF(COUNTIF('04_费用明细'!N239:N256,"完整")=18,"完整","待补证")</f>
        <v>待补证</v>
      </c>
      <c r="O18" s="9">
        <f>IF(N18="完整",SUM('04_费用明细'!L239:L256),"")</f>
        <v/>
      </c>
      <c r="P18" s="9">
        <f>IF(N18="完整",SUM('04_费用明细'!M239:M256),"")</f>
        <v/>
      </c>
      <c r="Q18" s="9">
        <f>IF(AND(COUNT(C18:J18)=8,C18&gt;0,D18&gt;=0,E18&gt;0,F18&gt;=0,G18&gt;0,G18=INT(G18),H18&gt;=0,I18&gt;=0,J18&gt;0,J18=INT(J18),K18&lt;&gt;"",ISNUMBER(L18),L18&gt;='00_审核入口'!$F$2,M18="已核实",N18="完整"),ROUND(ROUND((C18+D18)*E18,10),2),"")</f>
        <v/>
      </c>
      <c r="R18" s="9">
        <f>IF(AND(COUNT(C18:J18)=8,C18&gt;0,D18&gt;=0,E18&gt;0,F18&gt;=0,G18&gt;0,G18=INT(G18),H18&gt;=0,I18&gt;=0,J18&gt;0,J18=INT(J18),K18&lt;&gt;"",ISNUMBER(L18),L18&gt;='00_审核入口'!$F$2,M18="已核实",N18="完整"),ROUND(ROUND(F18*G18*(1+H18),10),2),"")</f>
        <v/>
      </c>
      <c r="S18" s="9">
        <f>IF(AND(COUNT(C18:J18)=8,C18&gt;0,D18&gt;=0,E18&gt;0,F18&gt;=0,G18&gt;0,G18=INT(G18),H18&gt;=0,I18&gt;=0,J18&gt;0,J18=INT(J18),K18&lt;&gt;"",ISNUMBER(L18),L18&gt;='00_审核入口'!$F$2,M18="已核实",N18="完整"),R18+O18,"")</f>
        <v/>
      </c>
      <c r="T18" s="9">
        <f>IF(AND(COUNT(C18:J18)=8,C18&gt;0,D18&gt;=0,E18&gt;0,F18&gt;=0,G18&gt;0,G18=INT(G18),H18&gt;=0,I18&gt;=0,J18&gt;0,J18=INT(J18),K18&lt;&gt;"",ISNUMBER(L18),L18&gt;='00_审核入口'!$F$2,M18="已核实",N18="完整"),Q18-S18,"")</f>
        <v/>
      </c>
      <c r="U18" s="10">
        <f>IF(AND(COUNT(C18:J18)=8,C18&gt;0,D18&gt;=0,E18&gt;0,F18&gt;=0,G18&gt;0,G18=INT(G18),H18&gt;=0,I18&gt;=0,J18&gt;0,J18=INT(J18),K18&lt;&gt;"",ISNUMBER(L18),L18&gt;='00_审核入口'!$F$2,M18="已核实",N18="完整"),IF(Q18&gt;0,T18/Q18,""),"")</f>
        <v/>
      </c>
      <c r="V18" s="9">
        <f>IF(AND(COUNT(C18:J18)=8,C18&gt;0,D18&gt;=0,E18&gt;0,F18&gt;=0,G18&gt;0,G18=INT(G18),H18&gt;=0,I18&gt;=0,J18&gt;0,J18=INT(J18),K18&lt;&gt;"",ISNUMBER(L18),L18&gt;='00_审核入口'!$F$2,M18="已核实",N18="完整"),IF(Q18-O18-ROUNDUP(MAX(15,0.2*Q18),2)&lt;0,"无非负可行采购价",ROUNDDOWN((Q18-O18-ROUNDUP(MAX(15,0.2*Q18),2)+0.005-0.0000000001)/(G18*(1+H18)),2)),"")</f>
        <v/>
      </c>
      <c r="W18" s="9">
        <f>IF(AND(COUNT(C18:J18)=8,C18&gt;0,D18&gt;=0,E18&gt;0,F18&gt;=0,G18&gt;0,G18=INT(G18),H18&gt;=0,I18&gt;=0,J18&gt;0,J18=INT(J18),K18&lt;&gt;"",ISNUMBER(L18),L18&gt;='00_审核入口'!$F$2,M18="已核实",N18="完整"),ROUND(ROUND((C18+D18)*E18*0.95,10),2)-ROUND(ROUND(F18*1.1*G18*(1+H18),10),2)-P18,"")</f>
        <v/>
      </c>
      <c r="X18" s="9">
        <f>IF(AND(COUNT(C18:J18)=8,C18&gt;0,D18&gt;=0,E18&gt;0,F18&gt;=0,G18&gt;0,G18=INT(G18),H18&gt;=0,I18&gt;=0,J18&gt;0,J18=INT(J18),K18&lt;&gt;"",ISNUMBER(L18),L18&gt;='00_审核入口'!$F$2,M18="已核实",N18="完整"),ROUND(I18+J18*S18,2),"")</f>
        <v/>
      </c>
      <c r="Y18" s="9">
        <f>IF(AND(COUNT(C18:J18)=8,C18&gt;0,D18&gt;=0,E18&gt;0,F18&gt;=0,G18&gt;0,G18=INT(G18),H18&gt;=0,I18&gt;=0,J18&gt;0,J18=INT(J18),K18&lt;&gt;"",ISNUMBER(L18),L18&gt;='00_审核入口'!$F$2,M18="已核实",N18="完整"),IF(S18&gt;0,MAX(0,INT((500-I18)/S18)),""),"")</f>
        <v/>
      </c>
      <c r="Z18" s="6" t="str">
        <f>IF(AND(COUNT(C18:J18)=8,C18&gt;0,D18&gt;=0,E18&gt;0,F18&gt;=0,G18&gt;0,G18=INT(G18),H18&gt;=0,I18&gt;=0,J18&gt;0,J18=INT(J18),K18&lt;&gt;"",ISNUMBER(L18),L18&gt;='00_审核入口'!$F$2,M18="已核实",N18="完整"),IF(AND(T18&gt;=15,U18&gt;=0.2,W18&gt;=0,X18&lt;=500),"成本条件通过","成本条件不通过"),"待补证")</f>
        <v>待补证</v>
      </c>
    </row>
    <row r="19" spans="1:26" ht="60" customHeight="1">
      <c r="A19" s="5" t="s">
        <v>171</v>
      </c>
      <c r="B19" s="5" t="s">
        <v>172</v>
      </c>
      <c r="C19" s="8"/>
      <c r="D19" s="8"/>
      <c r="E19" s="8"/>
      <c r="F19" s="8"/>
      <c r="G19" s="8"/>
      <c r="H19" s="8"/>
      <c r="I19" s="8"/>
      <c r="J19" s="8"/>
      <c r="K19" s="8"/>
      <c r="L19" s="3"/>
      <c r="M19" s="8" t="s">
        <v>506</v>
      </c>
      <c r="N19" s="6" t="str">
        <f>IF(COUNTIF('04_费用明细'!N257:N274,"完整")=18,"完整","待补证")</f>
        <v>待补证</v>
      </c>
      <c r="O19" s="9">
        <f>IF(N19="完整",SUM('04_费用明细'!L257:L274),"")</f>
        <v/>
      </c>
      <c r="P19" s="9">
        <f>IF(N19="完整",SUM('04_费用明细'!M257:M274),"")</f>
        <v/>
      </c>
      <c r="Q19" s="9">
        <f>IF(AND(COUNT(C19:J19)=8,C19&gt;0,D19&gt;=0,E19&gt;0,F19&gt;=0,G19&gt;0,G19=INT(G19),H19&gt;=0,I19&gt;=0,J19&gt;0,J19=INT(J19),K19&lt;&gt;"",ISNUMBER(L19),L19&gt;='00_审核入口'!$F$2,M19="已核实",N19="完整"),ROUND(ROUND((C19+D19)*E19,10),2),"")</f>
        <v/>
      </c>
      <c r="R19" s="9">
        <f>IF(AND(COUNT(C19:J19)=8,C19&gt;0,D19&gt;=0,E19&gt;0,F19&gt;=0,G19&gt;0,G19=INT(G19),H19&gt;=0,I19&gt;=0,J19&gt;0,J19=INT(J19),K19&lt;&gt;"",ISNUMBER(L19),L19&gt;='00_审核入口'!$F$2,M19="已核实",N19="完整"),ROUND(ROUND(F19*G19*(1+H19),10),2),"")</f>
        <v/>
      </c>
      <c r="S19" s="9">
        <f>IF(AND(COUNT(C19:J19)=8,C19&gt;0,D19&gt;=0,E19&gt;0,F19&gt;=0,G19&gt;0,G19=INT(G19),H19&gt;=0,I19&gt;=0,J19&gt;0,J19=INT(J19),K19&lt;&gt;"",ISNUMBER(L19),L19&gt;='00_审核入口'!$F$2,M19="已核实",N19="完整"),R19+O19,"")</f>
        <v/>
      </c>
      <c r="T19" s="9">
        <f>IF(AND(COUNT(C19:J19)=8,C19&gt;0,D19&gt;=0,E19&gt;0,F19&gt;=0,G19&gt;0,G19=INT(G19),H19&gt;=0,I19&gt;=0,J19&gt;0,J19=INT(J19),K19&lt;&gt;"",ISNUMBER(L19),L19&gt;='00_审核入口'!$F$2,M19="已核实",N19="完整"),Q19-S19,"")</f>
        <v/>
      </c>
      <c r="U19" s="10">
        <f>IF(AND(COUNT(C19:J19)=8,C19&gt;0,D19&gt;=0,E19&gt;0,F19&gt;=0,G19&gt;0,G19=INT(G19),H19&gt;=0,I19&gt;=0,J19&gt;0,J19=INT(J19),K19&lt;&gt;"",ISNUMBER(L19),L19&gt;='00_审核入口'!$F$2,M19="已核实",N19="完整"),IF(Q19&gt;0,T19/Q19,""),"")</f>
        <v/>
      </c>
      <c r="V19" s="9">
        <f>IF(AND(COUNT(C19:J19)=8,C19&gt;0,D19&gt;=0,E19&gt;0,F19&gt;=0,G19&gt;0,G19=INT(G19),H19&gt;=0,I19&gt;=0,J19&gt;0,J19=INT(J19),K19&lt;&gt;"",ISNUMBER(L19),L19&gt;='00_审核入口'!$F$2,M19="已核实",N19="完整"),IF(Q19-O19-ROUNDUP(MAX(15,0.2*Q19),2)&lt;0,"无非负可行采购价",ROUNDDOWN((Q19-O19-ROUNDUP(MAX(15,0.2*Q19),2)+0.005-0.0000000001)/(G19*(1+H19)),2)),"")</f>
        <v/>
      </c>
      <c r="W19" s="9">
        <f>IF(AND(COUNT(C19:J19)=8,C19&gt;0,D19&gt;=0,E19&gt;0,F19&gt;=0,G19&gt;0,G19=INT(G19),H19&gt;=0,I19&gt;=0,J19&gt;0,J19=INT(J19),K19&lt;&gt;"",ISNUMBER(L19),L19&gt;='00_审核入口'!$F$2,M19="已核实",N19="完整"),ROUND(ROUND((C19+D19)*E19*0.95,10),2)-ROUND(ROUND(F19*1.1*G19*(1+H19),10),2)-P19,"")</f>
        <v/>
      </c>
      <c r="X19" s="9">
        <f>IF(AND(COUNT(C19:J19)=8,C19&gt;0,D19&gt;=0,E19&gt;0,F19&gt;=0,G19&gt;0,G19=INT(G19),H19&gt;=0,I19&gt;=0,J19&gt;0,J19=INT(J19),K19&lt;&gt;"",ISNUMBER(L19),L19&gt;='00_审核入口'!$F$2,M19="已核实",N19="完整"),ROUND(I19+J19*S19,2),"")</f>
        <v/>
      </c>
      <c r="Y19" s="9">
        <f>IF(AND(COUNT(C19:J19)=8,C19&gt;0,D19&gt;=0,E19&gt;0,F19&gt;=0,G19&gt;0,G19=INT(G19),H19&gt;=0,I19&gt;=0,J19&gt;0,J19=INT(J19),K19&lt;&gt;"",ISNUMBER(L19),L19&gt;='00_审核入口'!$F$2,M19="已核实",N19="完整"),IF(S19&gt;0,MAX(0,INT((500-I19)/S19)),""),"")</f>
        <v/>
      </c>
      <c r="Z19" s="6" t="str">
        <f>IF(AND(COUNT(C19:J19)=8,C19&gt;0,D19&gt;=0,E19&gt;0,F19&gt;=0,G19&gt;0,G19=INT(G19),H19&gt;=0,I19&gt;=0,J19&gt;0,J19=INT(J19),K19&lt;&gt;"",ISNUMBER(L19),L19&gt;='00_审核入口'!$F$2,M19="已核实",N19="完整"),IF(AND(T19&gt;=15,U19&gt;=0.2,W19&gt;=0,X19&lt;=500),"成本条件通过","成本条件不通过"),"待补证")</f>
        <v>待补证</v>
      </c>
    </row>
    <row r="20" spans="1:26" ht="60" customHeight="1">
      <c r="A20" s="5" t="s">
        <v>180</v>
      </c>
      <c r="B20" s="5" t="s">
        <v>181</v>
      </c>
      <c r="C20" s="8"/>
      <c r="D20" s="8"/>
      <c r="E20" s="8"/>
      <c r="F20" s="8"/>
      <c r="G20" s="8"/>
      <c r="H20" s="8"/>
      <c r="I20" s="8"/>
      <c r="J20" s="8"/>
      <c r="K20" s="8"/>
      <c r="L20" s="3"/>
      <c r="M20" s="8" t="s">
        <v>506</v>
      </c>
      <c r="N20" s="6" t="str">
        <f>IF(COUNTIF('04_费用明细'!N275:N292,"完整")=18,"完整","待补证")</f>
        <v>待补证</v>
      </c>
      <c r="O20" s="9">
        <f>IF(N20="完整",SUM('04_费用明细'!L275:L292),"")</f>
        <v/>
      </c>
      <c r="P20" s="9">
        <f>IF(N20="完整",SUM('04_费用明细'!M275:M292),"")</f>
        <v/>
      </c>
      <c r="Q20" s="9">
        <f>IF(AND(COUNT(C20:J20)=8,C20&gt;0,D20&gt;=0,E20&gt;0,F20&gt;=0,G20&gt;0,G20=INT(G20),H20&gt;=0,I20&gt;=0,J20&gt;0,J20=INT(J20),K20&lt;&gt;"",ISNUMBER(L20),L20&gt;='00_审核入口'!$F$2,M20="已核实",N20="完整"),ROUND(ROUND((C20+D20)*E20,10),2),"")</f>
        <v/>
      </c>
      <c r="R20" s="9">
        <f>IF(AND(COUNT(C20:J20)=8,C20&gt;0,D20&gt;=0,E20&gt;0,F20&gt;=0,G20&gt;0,G20=INT(G20),H20&gt;=0,I20&gt;=0,J20&gt;0,J20=INT(J20),K20&lt;&gt;"",ISNUMBER(L20),L20&gt;='00_审核入口'!$F$2,M20="已核实",N20="完整"),ROUND(ROUND(F20*G20*(1+H20),10),2),"")</f>
        <v/>
      </c>
      <c r="S20" s="9">
        <f>IF(AND(COUNT(C20:J20)=8,C20&gt;0,D20&gt;=0,E20&gt;0,F20&gt;=0,G20&gt;0,G20=INT(G20),H20&gt;=0,I20&gt;=0,J20&gt;0,J20=INT(J20),K20&lt;&gt;"",ISNUMBER(L20),L20&gt;='00_审核入口'!$F$2,M20="已核实",N20="完整"),R20+O20,"")</f>
        <v/>
      </c>
      <c r="T20" s="9">
        <f>IF(AND(COUNT(C20:J20)=8,C20&gt;0,D20&gt;=0,E20&gt;0,F20&gt;=0,G20&gt;0,G20=INT(G20),H20&gt;=0,I20&gt;=0,J20&gt;0,J20=INT(J20),K20&lt;&gt;"",ISNUMBER(L20),L20&gt;='00_审核入口'!$F$2,M20="已核实",N20="完整"),Q20-S20,"")</f>
        <v/>
      </c>
      <c r="U20" s="10">
        <f>IF(AND(COUNT(C20:J20)=8,C20&gt;0,D20&gt;=0,E20&gt;0,F20&gt;=0,G20&gt;0,G20=INT(G20),H20&gt;=0,I20&gt;=0,J20&gt;0,J20=INT(J20),K20&lt;&gt;"",ISNUMBER(L20),L20&gt;='00_审核入口'!$F$2,M20="已核实",N20="完整"),IF(Q20&gt;0,T20/Q20,""),"")</f>
        <v/>
      </c>
      <c r="V20" s="9">
        <f>IF(AND(COUNT(C20:J20)=8,C20&gt;0,D20&gt;=0,E20&gt;0,F20&gt;=0,G20&gt;0,G20=INT(G20),H20&gt;=0,I20&gt;=0,J20&gt;0,J20=INT(J20),K20&lt;&gt;"",ISNUMBER(L20),L20&gt;='00_审核入口'!$F$2,M20="已核实",N20="完整"),IF(Q20-O20-ROUNDUP(MAX(15,0.2*Q20),2)&lt;0,"无非负可行采购价",ROUNDDOWN((Q20-O20-ROUNDUP(MAX(15,0.2*Q20),2)+0.005-0.0000000001)/(G20*(1+H20)),2)),"")</f>
        <v/>
      </c>
      <c r="W20" s="9">
        <f>IF(AND(COUNT(C20:J20)=8,C20&gt;0,D20&gt;=0,E20&gt;0,F20&gt;=0,G20&gt;0,G20=INT(G20),H20&gt;=0,I20&gt;=0,J20&gt;0,J20=INT(J20),K20&lt;&gt;"",ISNUMBER(L20),L20&gt;='00_审核入口'!$F$2,M20="已核实",N20="完整"),ROUND(ROUND((C20+D20)*E20*0.95,10),2)-ROUND(ROUND(F20*1.1*G20*(1+H20),10),2)-P20,"")</f>
        <v/>
      </c>
      <c r="X20" s="9">
        <f>IF(AND(COUNT(C20:J20)=8,C20&gt;0,D20&gt;=0,E20&gt;0,F20&gt;=0,G20&gt;0,G20=INT(G20),H20&gt;=0,I20&gt;=0,J20&gt;0,J20=INT(J20),K20&lt;&gt;"",ISNUMBER(L20),L20&gt;='00_审核入口'!$F$2,M20="已核实",N20="完整"),ROUND(I20+J20*S20,2),"")</f>
        <v/>
      </c>
      <c r="Y20" s="9">
        <f>IF(AND(COUNT(C20:J20)=8,C20&gt;0,D20&gt;=0,E20&gt;0,F20&gt;=0,G20&gt;0,G20=INT(G20),H20&gt;=0,I20&gt;=0,J20&gt;0,J20=INT(J20),K20&lt;&gt;"",ISNUMBER(L20),L20&gt;='00_审核入口'!$F$2,M20="已核实",N20="完整"),IF(S20&gt;0,MAX(0,INT((500-I20)/S20)),""),"")</f>
        <v/>
      </c>
      <c r="Z20" s="6" t="str">
        <f>IF(AND(COUNT(C20:J20)=8,C20&gt;0,D20&gt;=0,E20&gt;0,F20&gt;=0,G20&gt;0,G20=INT(G20),H20&gt;=0,I20&gt;=0,J20&gt;0,J20=INT(J20),K20&lt;&gt;"",ISNUMBER(L20),L20&gt;='00_审核入口'!$F$2,M20="已核实",N20="完整"),IF(AND(T20&gt;=15,U20&gt;=0.2,W20&gt;=0,X20&lt;=500),"成本条件通过","成本条件不通过"),"待补证")</f>
        <v>待补证</v>
      </c>
    </row>
    <row r="21" spans="1:26" ht="60" customHeight="1">
      <c r="A21" s="5" t="s">
        <v>188</v>
      </c>
      <c r="B21" s="5" t="s">
        <v>189</v>
      </c>
      <c r="C21" s="8"/>
      <c r="D21" s="8"/>
      <c r="E21" s="8"/>
      <c r="F21" s="8"/>
      <c r="G21" s="8"/>
      <c r="H21" s="8"/>
      <c r="I21" s="8"/>
      <c r="J21" s="8"/>
      <c r="K21" s="8"/>
      <c r="L21" s="3"/>
      <c r="M21" s="8" t="s">
        <v>506</v>
      </c>
      <c r="N21" s="6" t="str">
        <f>IF(COUNTIF('04_费用明细'!N293:N310,"完整")=18,"完整","待补证")</f>
        <v>待补证</v>
      </c>
      <c r="O21" s="9">
        <f>IF(N21="完整",SUM('04_费用明细'!L293:L310),"")</f>
        <v/>
      </c>
      <c r="P21" s="9">
        <f>IF(N21="完整",SUM('04_费用明细'!M293:M310),"")</f>
        <v/>
      </c>
      <c r="Q21" s="9">
        <f>IF(AND(COUNT(C21:J21)=8,C21&gt;0,D21&gt;=0,E21&gt;0,F21&gt;=0,G21&gt;0,G21=INT(G21),H21&gt;=0,I21&gt;=0,J21&gt;0,J21=INT(J21),K21&lt;&gt;"",ISNUMBER(L21),L21&gt;='00_审核入口'!$F$2,M21="已核实",N21="完整"),ROUND(ROUND((C21+D21)*E21,10),2),"")</f>
        <v/>
      </c>
      <c r="R21" s="9">
        <f>IF(AND(COUNT(C21:J21)=8,C21&gt;0,D21&gt;=0,E21&gt;0,F21&gt;=0,G21&gt;0,G21=INT(G21),H21&gt;=0,I21&gt;=0,J21&gt;0,J21=INT(J21),K21&lt;&gt;"",ISNUMBER(L21),L21&gt;='00_审核入口'!$F$2,M21="已核实",N21="完整"),ROUND(ROUND(F21*G21*(1+H21),10),2),"")</f>
        <v/>
      </c>
      <c r="S21" s="9">
        <f>IF(AND(COUNT(C21:J21)=8,C21&gt;0,D21&gt;=0,E21&gt;0,F21&gt;=0,G21&gt;0,G21=INT(G21),H21&gt;=0,I21&gt;=0,J21&gt;0,J21=INT(J21),K21&lt;&gt;"",ISNUMBER(L21),L21&gt;='00_审核入口'!$F$2,M21="已核实",N21="完整"),R21+O21,"")</f>
        <v/>
      </c>
      <c r="T21" s="9">
        <f>IF(AND(COUNT(C21:J21)=8,C21&gt;0,D21&gt;=0,E21&gt;0,F21&gt;=0,G21&gt;0,G21=INT(G21),H21&gt;=0,I21&gt;=0,J21&gt;0,J21=INT(J21),K21&lt;&gt;"",ISNUMBER(L21),L21&gt;='00_审核入口'!$F$2,M21="已核实",N21="完整"),Q21-S21,"")</f>
        <v/>
      </c>
      <c r="U21" s="10">
        <f>IF(AND(COUNT(C21:J21)=8,C21&gt;0,D21&gt;=0,E21&gt;0,F21&gt;=0,G21&gt;0,G21=INT(G21),H21&gt;=0,I21&gt;=0,J21&gt;0,J21=INT(J21),K21&lt;&gt;"",ISNUMBER(L21),L21&gt;='00_审核入口'!$F$2,M21="已核实",N21="完整"),IF(Q21&gt;0,T21/Q21,""),"")</f>
        <v/>
      </c>
      <c r="V21" s="9">
        <f>IF(AND(COUNT(C21:J21)=8,C21&gt;0,D21&gt;=0,E21&gt;0,F21&gt;=0,G21&gt;0,G21=INT(G21),H21&gt;=0,I21&gt;=0,J21&gt;0,J21=INT(J21),K21&lt;&gt;"",ISNUMBER(L21),L21&gt;='00_审核入口'!$F$2,M21="已核实",N21="完整"),IF(Q21-O21-ROUNDUP(MAX(15,0.2*Q21),2)&lt;0,"无非负可行采购价",ROUNDDOWN((Q21-O21-ROUNDUP(MAX(15,0.2*Q21),2)+0.005-0.0000000001)/(G21*(1+H21)),2)),"")</f>
        <v/>
      </c>
      <c r="W21" s="9">
        <f>IF(AND(COUNT(C21:J21)=8,C21&gt;0,D21&gt;=0,E21&gt;0,F21&gt;=0,G21&gt;0,G21=INT(G21),H21&gt;=0,I21&gt;=0,J21&gt;0,J21=INT(J21),K21&lt;&gt;"",ISNUMBER(L21),L21&gt;='00_审核入口'!$F$2,M21="已核实",N21="完整"),ROUND(ROUND((C21+D21)*E21*0.95,10),2)-ROUND(ROUND(F21*1.1*G21*(1+H21),10),2)-P21,"")</f>
        <v/>
      </c>
      <c r="X21" s="9">
        <f>IF(AND(COUNT(C21:J21)=8,C21&gt;0,D21&gt;=0,E21&gt;0,F21&gt;=0,G21&gt;0,G21=INT(G21),H21&gt;=0,I21&gt;=0,J21&gt;0,J21=INT(J21),K21&lt;&gt;"",ISNUMBER(L21),L21&gt;='00_审核入口'!$F$2,M21="已核实",N21="完整"),ROUND(I21+J21*S21,2),"")</f>
        <v/>
      </c>
      <c r="Y21" s="9">
        <f>IF(AND(COUNT(C21:J21)=8,C21&gt;0,D21&gt;=0,E21&gt;0,F21&gt;=0,G21&gt;0,G21=INT(G21),H21&gt;=0,I21&gt;=0,J21&gt;0,J21=INT(J21),K21&lt;&gt;"",ISNUMBER(L21),L21&gt;='00_审核入口'!$F$2,M21="已核实",N21="完整"),IF(S21&gt;0,MAX(0,INT((500-I21)/S21)),""),"")</f>
        <v/>
      </c>
      <c r="Z21" s="6" t="str">
        <f>IF(AND(COUNT(C21:J21)=8,C21&gt;0,D21&gt;=0,E21&gt;0,F21&gt;=0,G21&gt;0,G21=INT(G21),H21&gt;=0,I21&gt;=0,J21&gt;0,J21=INT(J21),K21&lt;&gt;"",ISNUMBER(L21),L21&gt;='00_审核入口'!$F$2,M21="已核实",N21="完整"),IF(AND(T21&gt;=15,U21&gt;=0.2,W21&gt;=0,X21&lt;=500),"成本条件通过","成本条件不通过"),"待补证")</f>
        <v>待补证</v>
      </c>
    </row>
    <row r="22" spans="1:26" ht="60" customHeight="1">
      <c r="A22" s="5" t="s">
        <v>196</v>
      </c>
      <c r="B22" s="5" t="s">
        <v>197</v>
      </c>
      <c r="C22" s="8"/>
      <c r="D22" s="8"/>
      <c r="E22" s="8"/>
      <c r="F22" s="8"/>
      <c r="G22" s="8"/>
      <c r="H22" s="8"/>
      <c r="I22" s="8"/>
      <c r="J22" s="8"/>
      <c r="K22" s="8"/>
      <c r="L22" s="3"/>
      <c r="M22" s="8" t="s">
        <v>506</v>
      </c>
      <c r="N22" s="6" t="str">
        <f>IF(COUNTIF('04_费用明细'!N311:N328,"完整")=18,"完整","待补证")</f>
        <v>待补证</v>
      </c>
      <c r="O22" s="9">
        <f>IF(N22="完整",SUM('04_费用明细'!L311:L328),"")</f>
        <v/>
      </c>
      <c r="P22" s="9">
        <f>IF(N22="完整",SUM('04_费用明细'!M311:M328),"")</f>
        <v/>
      </c>
      <c r="Q22" s="9">
        <f>IF(AND(COUNT(C22:J22)=8,C22&gt;0,D22&gt;=0,E22&gt;0,F22&gt;=0,G22&gt;0,G22=INT(G22),H22&gt;=0,I22&gt;=0,J22&gt;0,J22=INT(J22),K22&lt;&gt;"",ISNUMBER(L22),L22&gt;='00_审核入口'!$F$2,M22="已核实",N22="完整"),ROUND(ROUND((C22+D22)*E22,10),2),"")</f>
        <v/>
      </c>
      <c r="R22" s="9">
        <f>IF(AND(COUNT(C22:J22)=8,C22&gt;0,D22&gt;=0,E22&gt;0,F22&gt;=0,G22&gt;0,G22=INT(G22),H22&gt;=0,I22&gt;=0,J22&gt;0,J22=INT(J22),K22&lt;&gt;"",ISNUMBER(L22),L22&gt;='00_审核入口'!$F$2,M22="已核实",N22="完整"),ROUND(ROUND(F22*G22*(1+H22),10),2),"")</f>
        <v/>
      </c>
      <c r="S22" s="9">
        <f>IF(AND(COUNT(C22:J22)=8,C22&gt;0,D22&gt;=0,E22&gt;0,F22&gt;=0,G22&gt;0,G22=INT(G22),H22&gt;=0,I22&gt;=0,J22&gt;0,J22=INT(J22),K22&lt;&gt;"",ISNUMBER(L22),L22&gt;='00_审核入口'!$F$2,M22="已核实",N22="完整"),R22+O22,"")</f>
        <v/>
      </c>
      <c r="T22" s="9">
        <f>IF(AND(COUNT(C22:J22)=8,C22&gt;0,D22&gt;=0,E22&gt;0,F22&gt;=0,G22&gt;0,G22=INT(G22),H22&gt;=0,I22&gt;=0,J22&gt;0,J22=INT(J22),K22&lt;&gt;"",ISNUMBER(L22),L22&gt;='00_审核入口'!$F$2,M22="已核实",N22="完整"),Q22-S22,"")</f>
        <v/>
      </c>
      <c r="U22" s="10">
        <f>IF(AND(COUNT(C22:J22)=8,C22&gt;0,D22&gt;=0,E22&gt;0,F22&gt;=0,G22&gt;0,G22=INT(G22),H22&gt;=0,I22&gt;=0,J22&gt;0,J22=INT(J22),K22&lt;&gt;"",ISNUMBER(L22),L22&gt;='00_审核入口'!$F$2,M22="已核实",N22="完整"),IF(Q22&gt;0,T22/Q22,""),"")</f>
        <v/>
      </c>
      <c r="V22" s="9">
        <f>IF(AND(COUNT(C22:J22)=8,C22&gt;0,D22&gt;=0,E22&gt;0,F22&gt;=0,G22&gt;0,G22=INT(G22),H22&gt;=0,I22&gt;=0,J22&gt;0,J22=INT(J22),K22&lt;&gt;"",ISNUMBER(L22),L22&gt;='00_审核入口'!$F$2,M22="已核实",N22="完整"),IF(Q22-O22-ROUNDUP(MAX(15,0.2*Q22),2)&lt;0,"无非负可行采购价",ROUNDDOWN((Q22-O22-ROUNDUP(MAX(15,0.2*Q22),2)+0.005-0.0000000001)/(G22*(1+H22)),2)),"")</f>
        <v/>
      </c>
      <c r="W22" s="9">
        <f>IF(AND(COUNT(C22:J22)=8,C22&gt;0,D22&gt;=0,E22&gt;0,F22&gt;=0,G22&gt;0,G22=INT(G22),H22&gt;=0,I22&gt;=0,J22&gt;0,J22=INT(J22),K22&lt;&gt;"",ISNUMBER(L22),L22&gt;='00_审核入口'!$F$2,M22="已核实",N22="完整"),ROUND(ROUND((C22+D22)*E22*0.95,10),2)-ROUND(ROUND(F22*1.1*G22*(1+H22),10),2)-P22,"")</f>
        <v/>
      </c>
      <c r="X22" s="9">
        <f>IF(AND(COUNT(C22:J22)=8,C22&gt;0,D22&gt;=0,E22&gt;0,F22&gt;=0,G22&gt;0,G22=INT(G22),H22&gt;=0,I22&gt;=0,J22&gt;0,J22=INT(J22),K22&lt;&gt;"",ISNUMBER(L22),L22&gt;='00_审核入口'!$F$2,M22="已核实",N22="完整"),ROUND(I22+J22*S22,2),"")</f>
        <v/>
      </c>
      <c r="Y22" s="9">
        <f>IF(AND(COUNT(C22:J22)=8,C22&gt;0,D22&gt;=0,E22&gt;0,F22&gt;=0,G22&gt;0,G22=INT(G22),H22&gt;=0,I22&gt;=0,J22&gt;0,J22=INT(J22),K22&lt;&gt;"",ISNUMBER(L22),L22&gt;='00_审核入口'!$F$2,M22="已核实",N22="完整"),IF(S22&gt;0,MAX(0,INT((500-I22)/S22)),""),"")</f>
        <v/>
      </c>
      <c r="Z22" s="6" t="str">
        <f>IF(AND(COUNT(C22:J22)=8,C22&gt;0,D22&gt;=0,E22&gt;0,F22&gt;=0,G22&gt;0,G22=INT(G22),H22&gt;=0,I22&gt;=0,J22&gt;0,J22=INT(J22),K22&lt;&gt;"",ISNUMBER(L22),L22&gt;='00_审核入口'!$F$2,M22="已核实",N22="完整"),IF(AND(T22&gt;=15,U22&gt;=0.2,W22&gt;=0,X22&lt;=500),"成本条件通过","成本条件不通过"),"待补证")</f>
        <v>待补证</v>
      </c>
    </row>
    <row r="23" spans="1:26" ht="60" customHeight="1">
      <c r="A23" s="5" t="s">
        <v>204</v>
      </c>
      <c r="B23" s="5" t="s">
        <v>205</v>
      </c>
      <c r="C23" s="8"/>
      <c r="D23" s="8"/>
      <c r="E23" s="8"/>
      <c r="F23" s="8"/>
      <c r="G23" s="8"/>
      <c r="H23" s="8"/>
      <c r="I23" s="8"/>
      <c r="J23" s="8"/>
      <c r="K23" s="8"/>
      <c r="L23" s="3"/>
      <c r="M23" s="8" t="s">
        <v>506</v>
      </c>
      <c r="N23" s="6" t="str">
        <f>IF(COUNTIF('04_费用明细'!N329:N346,"完整")=18,"完整","待补证")</f>
        <v>待补证</v>
      </c>
      <c r="O23" s="9">
        <f>IF(N23="完整",SUM('04_费用明细'!L329:L346),"")</f>
        <v/>
      </c>
      <c r="P23" s="9">
        <f>IF(N23="完整",SUM('04_费用明细'!M329:M346),"")</f>
        <v/>
      </c>
      <c r="Q23" s="9">
        <f>IF(AND(COUNT(C23:J23)=8,C23&gt;0,D23&gt;=0,E23&gt;0,F23&gt;=0,G23&gt;0,G23=INT(G23),H23&gt;=0,I23&gt;=0,J23&gt;0,J23=INT(J23),K23&lt;&gt;"",ISNUMBER(L23),L23&gt;='00_审核入口'!$F$2,M23="已核实",N23="完整"),ROUND(ROUND((C23+D23)*E23,10),2),"")</f>
        <v/>
      </c>
      <c r="R23" s="9">
        <f>IF(AND(COUNT(C23:J23)=8,C23&gt;0,D23&gt;=0,E23&gt;0,F23&gt;=0,G23&gt;0,G23=INT(G23),H23&gt;=0,I23&gt;=0,J23&gt;0,J23=INT(J23),K23&lt;&gt;"",ISNUMBER(L23),L23&gt;='00_审核入口'!$F$2,M23="已核实",N23="完整"),ROUND(ROUND(F23*G23*(1+H23),10),2),"")</f>
        <v/>
      </c>
      <c r="S23" s="9">
        <f>IF(AND(COUNT(C23:J23)=8,C23&gt;0,D23&gt;=0,E23&gt;0,F23&gt;=0,G23&gt;0,G23=INT(G23),H23&gt;=0,I23&gt;=0,J23&gt;0,J23=INT(J23),K23&lt;&gt;"",ISNUMBER(L23),L23&gt;='00_审核入口'!$F$2,M23="已核实",N23="完整"),R23+O23,"")</f>
        <v/>
      </c>
      <c r="T23" s="9">
        <f>IF(AND(COUNT(C23:J23)=8,C23&gt;0,D23&gt;=0,E23&gt;0,F23&gt;=0,G23&gt;0,G23=INT(G23),H23&gt;=0,I23&gt;=0,J23&gt;0,J23=INT(J23),K23&lt;&gt;"",ISNUMBER(L23),L23&gt;='00_审核入口'!$F$2,M23="已核实",N23="完整"),Q23-S23,"")</f>
        <v/>
      </c>
      <c r="U23" s="10">
        <f>IF(AND(COUNT(C23:J23)=8,C23&gt;0,D23&gt;=0,E23&gt;0,F23&gt;=0,G23&gt;0,G23=INT(G23),H23&gt;=0,I23&gt;=0,J23&gt;0,J23=INT(J23),K23&lt;&gt;"",ISNUMBER(L23),L23&gt;='00_审核入口'!$F$2,M23="已核实",N23="完整"),IF(Q23&gt;0,T23/Q23,""),"")</f>
        <v/>
      </c>
      <c r="V23" s="9">
        <f>IF(AND(COUNT(C23:J23)=8,C23&gt;0,D23&gt;=0,E23&gt;0,F23&gt;=0,G23&gt;0,G23=INT(G23),H23&gt;=0,I23&gt;=0,J23&gt;0,J23=INT(J23),K23&lt;&gt;"",ISNUMBER(L23),L23&gt;='00_审核入口'!$F$2,M23="已核实",N23="完整"),IF(Q23-O23-ROUNDUP(MAX(15,0.2*Q23),2)&lt;0,"无非负可行采购价",ROUNDDOWN((Q23-O23-ROUNDUP(MAX(15,0.2*Q23),2)+0.005-0.0000000001)/(G23*(1+H23)),2)),"")</f>
        <v/>
      </c>
      <c r="W23" s="9">
        <f>IF(AND(COUNT(C23:J23)=8,C23&gt;0,D23&gt;=0,E23&gt;0,F23&gt;=0,G23&gt;0,G23=INT(G23),H23&gt;=0,I23&gt;=0,J23&gt;0,J23=INT(J23),K23&lt;&gt;"",ISNUMBER(L23),L23&gt;='00_审核入口'!$F$2,M23="已核实",N23="完整"),ROUND(ROUND((C23+D23)*E23*0.95,10),2)-ROUND(ROUND(F23*1.1*G23*(1+H23),10),2)-P23,"")</f>
        <v/>
      </c>
      <c r="X23" s="9">
        <f>IF(AND(COUNT(C23:J23)=8,C23&gt;0,D23&gt;=0,E23&gt;0,F23&gt;=0,G23&gt;0,G23=INT(G23),H23&gt;=0,I23&gt;=0,J23&gt;0,J23=INT(J23),K23&lt;&gt;"",ISNUMBER(L23),L23&gt;='00_审核入口'!$F$2,M23="已核实",N23="完整"),ROUND(I23+J23*S23,2),"")</f>
        <v/>
      </c>
      <c r="Y23" s="9">
        <f>IF(AND(COUNT(C23:J23)=8,C23&gt;0,D23&gt;=0,E23&gt;0,F23&gt;=0,G23&gt;0,G23=INT(G23),H23&gt;=0,I23&gt;=0,J23&gt;0,J23=INT(J23),K23&lt;&gt;"",ISNUMBER(L23),L23&gt;='00_审核入口'!$F$2,M23="已核实",N23="完整"),IF(S23&gt;0,MAX(0,INT((500-I23)/S23)),""),"")</f>
        <v/>
      </c>
      <c r="Z23" s="6" t="str">
        <f>IF(AND(COUNT(C23:J23)=8,C23&gt;0,D23&gt;=0,E23&gt;0,F23&gt;=0,G23&gt;0,G23=INT(G23),H23&gt;=0,I23&gt;=0,J23&gt;0,J23=INT(J23),K23&lt;&gt;"",ISNUMBER(L23),L23&gt;='00_审核入口'!$F$2,M23="已核实",N23="完整"),IF(AND(T23&gt;=15,U23&gt;=0.2,W23&gt;=0,X23&lt;=500),"成本条件通过","成本条件不通过"),"待补证")</f>
        <v>待补证</v>
      </c>
    </row>
    <row r="24" spans="1:26" ht="60" customHeight="1">
      <c r="A24" s="5" t="s">
        <v>212</v>
      </c>
      <c r="B24" s="5" t="s">
        <v>213</v>
      </c>
      <c r="C24" s="8"/>
      <c r="D24" s="8"/>
      <c r="E24" s="8"/>
      <c r="F24" s="8"/>
      <c r="G24" s="8"/>
      <c r="H24" s="8"/>
      <c r="I24" s="8"/>
      <c r="J24" s="8"/>
      <c r="K24" s="8"/>
      <c r="L24" s="3"/>
      <c r="M24" s="8" t="s">
        <v>506</v>
      </c>
      <c r="N24" s="6" t="str">
        <f>IF(COUNTIF('04_费用明细'!N347:N364,"完整")=18,"完整","待补证")</f>
        <v>待补证</v>
      </c>
      <c r="O24" s="9">
        <f>IF(N24="完整",SUM('04_费用明细'!L347:L364),"")</f>
        <v/>
      </c>
      <c r="P24" s="9">
        <f>IF(N24="完整",SUM('04_费用明细'!M347:M364),"")</f>
        <v/>
      </c>
      <c r="Q24" s="9">
        <f>IF(AND(COUNT(C24:J24)=8,C24&gt;0,D24&gt;=0,E24&gt;0,F24&gt;=0,G24&gt;0,G24=INT(G24),H24&gt;=0,I24&gt;=0,J24&gt;0,J24=INT(J24),K24&lt;&gt;"",ISNUMBER(L24),L24&gt;='00_审核入口'!$F$2,M24="已核实",N24="完整"),ROUND(ROUND((C24+D24)*E24,10),2),"")</f>
        <v/>
      </c>
      <c r="R24" s="9">
        <f>IF(AND(COUNT(C24:J24)=8,C24&gt;0,D24&gt;=0,E24&gt;0,F24&gt;=0,G24&gt;0,G24=INT(G24),H24&gt;=0,I24&gt;=0,J24&gt;0,J24=INT(J24),K24&lt;&gt;"",ISNUMBER(L24),L24&gt;='00_审核入口'!$F$2,M24="已核实",N24="完整"),ROUND(ROUND(F24*G24*(1+H24),10),2),"")</f>
        <v/>
      </c>
      <c r="S24" s="9">
        <f>IF(AND(COUNT(C24:J24)=8,C24&gt;0,D24&gt;=0,E24&gt;0,F24&gt;=0,G24&gt;0,G24=INT(G24),H24&gt;=0,I24&gt;=0,J24&gt;0,J24=INT(J24),K24&lt;&gt;"",ISNUMBER(L24),L24&gt;='00_审核入口'!$F$2,M24="已核实",N24="完整"),R24+O24,"")</f>
        <v/>
      </c>
      <c r="T24" s="9">
        <f>IF(AND(COUNT(C24:J24)=8,C24&gt;0,D24&gt;=0,E24&gt;0,F24&gt;=0,G24&gt;0,G24=INT(G24),H24&gt;=0,I24&gt;=0,J24&gt;0,J24=INT(J24),K24&lt;&gt;"",ISNUMBER(L24),L24&gt;='00_审核入口'!$F$2,M24="已核实",N24="完整"),Q24-S24,"")</f>
        <v/>
      </c>
      <c r="U24" s="10">
        <f>IF(AND(COUNT(C24:J24)=8,C24&gt;0,D24&gt;=0,E24&gt;0,F24&gt;=0,G24&gt;0,G24=INT(G24),H24&gt;=0,I24&gt;=0,J24&gt;0,J24=INT(J24),K24&lt;&gt;"",ISNUMBER(L24),L24&gt;='00_审核入口'!$F$2,M24="已核实",N24="完整"),IF(Q24&gt;0,T24/Q24,""),"")</f>
        <v/>
      </c>
      <c r="V24" s="9">
        <f>IF(AND(COUNT(C24:J24)=8,C24&gt;0,D24&gt;=0,E24&gt;0,F24&gt;=0,G24&gt;0,G24=INT(G24),H24&gt;=0,I24&gt;=0,J24&gt;0,J24=INT(J24),K24&lt;&gt;"",ISNUMBER(L24),L24&gt;='00_审核入口'!$F$2,M24="已核实",N24="完整"),IF(Q24-O24-ROUNDUP(MAX(15,0.2*Q24),2)&lt;0,"无非负可行采购价",ROUNDDOWN((Q24-O24-ROUNDUP(MAX(15,0.2*Q24),2)+0.005-0.0000000001)/(G24*(1+H24)),2)),"")</f>
        <v/>
      </c>
      <c r="W24" s="9">
        <f>IF(AND(COUNT(C24:J24)=8,C24&gt;0,D24&gt;=0,E24&gt;0,F24&gt;=0,G24&gt;0,G24=INT(G24),H24&gt;=0,I24&gt;=0,J24&gt;0,J24=INT(J24),K24&lt;&gt;"",ISNUMBER(L24),L24&gt;='00_审核入口'!$F$2,M24="已核实",N24="完整"),ROUND(ROUND((C24+D24)*E24*0.95,10),2)-ROUND(ROUND(F24*1.1*G24*(1+H24),10),2)-P24,"")</f>
        <v/>
      </c>
      <c r="X24" s="9">
        <f>IF(AND(COUNT(C24:J24)=8,C24&gt;0,D24&gt;=0,E24&gt;0,F24&gt;=0,G24&gt;0,G24=INT(G24),H24&gt;=0,I24&gt;=0,J24&gt;0,J24=INT(J24),K24&lt;&gt;"",ISNUMBER(L24),L24&gt;='00_审核入口'!$F$2,M24="已核实",N24="完整"),ROUND(I24+J24*S24,2),"")</f>
        <v/>
      </c>
      <c r="Y24" s="9">
        <f>IF(AND(COUNT(C24:J24)=8,C24&gt;0,D24&gt;=0,E24&gt;0,F24&gt;=0,G24&gt;0,G24=INT(G24),H24&gt;=0,I24&gt;=0,J24&gt;0,J24=INT(J24),K24&lt;&gt;"",ISNUMBER(L24),L24&gt;='00_审核入口'!$F$2,M24="已核实",N24="完整"),IF(S24&gt;0,MAX(0,INT((500-I24)/S24)),""),"")</f>
        <v/>
      </c>
      <c r="Z24" s="6" t="str">
        <f>IF(AND(COUNT(C24:J24)=8,C24&gt;0,D24&gt;=0,E24&gt;0,F24&gt;=0,G24&gt;0,G24=INT(G24),H24&gt;=0,I24&gt;=0,J24&gt;0,J24=INT(J24),K24&lt;&gt;"",ISNUMBER(L24),L24&gt;='00_审核入口'!$F$2,M24="已核实",N24="完整"),IF(AND(T24&gt;=15,U24&gt;=0.2,W24&gt;=0,X24&lt;=500),"成本条件通过","成本条件不通过"),"待补证")</f>
        <v>待补证</v>
      </c>
    </row>
    <row r="25" spans="1:26" ht="60" customHeight="1">
      <c r="A25" s="5" t="s">
        <v>220</v>
      </c>
      <c r="B25" s="5" t="s">
        <v>221</v>
      </c>
      <c r="C25" s="8"/>
      <c r="D25" s="8"/>
      <c r="E25" s="8"/>
      <c r="F25" s="8"/>
      <c r="G25" s="8"/>
      <c r="H25" s="8"/>
      <c r="I25" s="8"/>
      <c r="J25" s="8"/>
      <c r="K25" s="8"/>
      <c r="L25" s="3"/>
      <c r="M25" s="8" t="s">
        <v>506</v>
      </c>
      <c r="N25" s="6" t="str">
        <f>IF(COUNTIF('04_费用明细'!N365:N382,"完整")=18,"完整","待补证")</f>
        <v>待补证</v>
      </c>
      <c r="O25" s="9">
        <f>IF(N25="完整",SUM('04_费用明细'!L365:L382),"")</f>
        <v/>
      </c>
      <c r="P25" s="9">
        <f>IF(N25="完整",SUM('04_费用明细'!M365:M382),"")</f>
        <v/>
      </c>
      <c r="Q25" s="9">
        <f>IF(AND(COUNT(C25:J25)=8,C25&gt;0,D25&gt;=0,E25&gt;0,F25&gt;=0,G25&gt;0,G25=INT(G25),H25&gt;=0,I25&gt;=0,J25&gt;0,J25=INT(J25),K25&lt;&gt;"",ISNUMBER(L25),L25&gt;='00_审核入口'!$F$2,M25="已核实",N25="完整"),ROUND(ROUND((C25+D25)*E25,10),2),"")</f>
        <v/>
      </c>
      <c r="R25" s="9">
        <f>IF(AND(COUNT(C25:J25)=8,C25&gt;0,D25&gt;=0,E25&gt;0,F25&gt;=0,G25&gt;0,G25=INT(G25),H25&gt;=0,I25&gt;=0,J25&gt;0,J25=INT(J25),K25&lt;&gt;"",ISNUMBER(L25),L25&gt;='00_审核入口'!$F$2,M25="已核实",N25="完整"),ROUND(ROUND(F25*G25*(1+H25),10),2),"")</f>
        <v/>
      </c>
      <c r="S25" s="9">
        <f>IF(AND(COUNT(C25:J25)=8,C25&gt;0,D25&gt;=0,E25&gt;0,F25&gt;=0,G25&gt;0,G25=INT(G25),H25&gt;=0,I25&gt;=0,J25&gt;0,J25=INT(J25),K25&lt;&gt;"",ISNUMBER(L25),L25&gt;='00_审核入口'!$F$2,M25="已核实",N25="完整"),R25+O25,"")</f>
        <v/>
      </c>
      <c r="T25" s="9">
        <f>IF(AND(COUNT(C25:J25)=8,C25&gt;0,D25&gt;=0,E25&gt;0,F25&gt;=0,G25&gt;0,G25=INT(G25),H25&gt;=0,I25&gt;=0,J25&gt;0,J25=INT(J25),K25&lt;&gt;"",ISNUMBER(L25),L25&gt;='00_审核入口'!$F$2,M25="已核实",N25="完整"),Q25-S25,"")</f>
        <v/>
      </c>
      <c r="U25" s="10">
        <f>IF(AND(COUNT(C25:J25)=8,C25&gt;0,D25&gt;=0,E25&gt;0,F25&gt;=0,G25&gt;0,G25=INT(G25),H25&gt;=0,I25&gt;=0,J25&gt;0,J25=INT(J25),K25&lt;&gt;"",ISNUMBER(L25),L25&gt;='00_审核入口'!$F$2,M25="已核实",N25="完整"),IF(Q25&gt;0,T25/Q25,""),"")</f>
        <v/>
      </c>
      <c r="V25" s="9">
        <f>IF(AND(COUNT(C25:J25)=8,C25&gt;0,D25&gt;=0,E25&gt;0,F25&gt;=0,G25&gt;0,G25=INT(G25),H25&gt;=0,I25&gt;=0,J25&gt;0,J25=INT(J25),K25&lt;&gt;"",ISNUMBER(L25),L25&gt;='00_审核入口'!$F$2,M25="已核实",N25="完整"),IF(Q25-O25-ROUNDUP(MAX(15,0.2*Q25),2)&lt;0,"无非负可行采购价",ROUNDDOWN((Q25-O25-ROUNDUP(MAX(15,0.2*Q25),2)+0.005-0.0000000001)/(G25*(1+H25)),2)),"")</f>
        <v/>
      </c>
      <c r="W25" s="9">
        <f>IF(AND(COUNT(C25:J25)=8,C25&gt;0,D25&gt;=0,E25&gt;0,F25&gt;=0,G25&gt;0,G25=INT(G25),H25&gt;=0,I25&gt;=0,J25&gt;0,J25=INT(J25),K25&lt;&gt;"",ISNUMBER(L25),L25&gt;='00_审核入口'!$F$2,M25="已核实",N25="完整"),ROUND(ROUND((C25+D25)*E25*0.95,10),2)-ROUND(ROUND(F25*1.1*G25*(1+H25),10),2)-P25,"")</f>
        <v/>
      </c>
      <c r="X25" s="9">
        <f>IF(AND(COUNT(C25:J25)=8,C25&gt;0,D25&gt;=0,E25&gt;0,F25&gt;=0,G25&gt;0,G25=INT(G25),H25&gt;=0,I25&gt;=0,J25&gt;0,J25=INT(J25),K25&lt;&gt;"",ISNUMBER(L25),L25&gt;='00_审核入口'!$F$2,M25="已核实",N25="完整"),ROUND(I25+J25*S25,2),"")</f>
        <v/>
      </c>
      <c r="Y25" s="9">
        <f>IF(AND(COUNT(C25:J25)=8,C25&gt;0,D25&gt;=0,E25&gt;0,F25&gt;=0,G25&gt;0,G25=INT(G25),H25&gt;=0,I25&gt;=0,J25&gt;0,J25=INT(J25),K25&lt;&gt;"",ISNUMBER(L25),L25&gt;='00_审核入口'!$F$2,M25="已核实",N25="完整"),IF(S25&gt;0,MAX(0,INT((500-I25)/S25)),""),"")</f>
        <v/>
      </c>
      <c r="Z25" s="6" t="str">
        <f>IF(AND(COUNT(C25:J25)=8,C25&gt;0,D25&gt;=0,E25&gt;0,F25&gt;=0,G25&gt;0,G25=INT(G25),H25&gt;=0,I25&gt;=0,J25&gt;0,J25=INT(J25),K25&lt;&gt;"",ISNUMBER(L25),L25&gt;='00_审核入口'!$F$2,M25="已核实",N25="完整"),IF(AND(T25&gt;=15,U25&gt;=0.2,W25&gt;=0,X25&lt;=500),"成本条件通过","成本条件不通过"),"待补证")</f>
        <v>待补证</v>
      </c>
    </row>
    <row r="26" spans="1:26" ht="60" customHeight="1">
      <c r="A26" s="5" t="s">
        <v>228</v>
      </c>
      <c r="B26" s="5" t="s">
        <v>229</v>
      </c>
      <c r="C26" s="8"/>
      <c r="D26" s="8"/>
      <c r="E26" s="8"/>
      <c r="F26" s="8"/>
      <c r="G26" s="8"/>
      <c r="H26" s="8"/>
      <c r="I26" s="8"/>
      <c r="J26" s="8"/>
      <c r="K26" s="8"/>
      <c r="L26" s="3"/>
      <c r="M26" s="8" t="s">
        <v>506</v>
      </c>
      <c r="N26" s="6" t="str">
        <f>IF(COUNTIF('04_费用明细'!N383:N400,"完整")=18,"完整","待补证")</f>
        <v>待补证</v>
      </c>
      <c r="O26" s="9">
        <f>IF(N26="完整",SUM('04_费用明细'!L383:L400),"")</f>
        <v/>
      </c>
      <c r="P26" s="9">
        <f>IF(N26="完整",SUM('04_费用明细'!M383:M400),"")</f>
        <v/>
      </c>
      <c r="Q26" s="9">
        <f>IF(AND(COUNT(C26:J26)=8,C26&gt;0,D26&gt;=0,E26&gt;0,F26&gt;=0,G26&gt;0,G26=INT(G26),H26&gt;=0,I26&gt;=0,J26&gt;0,J26=INT(J26),K26&lt;&gt;"",ISNUMBER(L26),L26&gt;='00_审核入口'!$F$2,M26="已核实",N26="完整"),ROUND(ROUND((C26+D26)*E26,10),2),"")</f>
        <v/>
      </c>
      <c r="R26" s="9">
        <f>IF(AND(COUNT(C26:J26)=8,C26&gt;0,D26&gt;=0,E26&gt;0,F26&gt;=0,G26&gt;0,G26=INT(G26),H26&gt;=0,I26&gt;=0,J26&gt;0,J26=INT(J26),K26&lt;&gt;"",ISNUMBER(L26),L26&gt;='00_审核入口'!$F$2,M26="已核实",N26="完整"),ROUND(ROUND(F26*G26*(1+H26),10),2),"")</f>
        <v/>
      </c>
      <c r="S26" s="9">
        <f>IF(AND(COUNT(C26:J26)=8,C26&gt;0,D26&gt;=0,E26&gt;0,F26&gt;=0,G26&gt;0,G26=INT(G26),H26&gt;=0,I26&gt;=0,J26&gt;0,J26=INT(J26),K26&lt;&gt;"",ISNUMBER(L26),L26&gt;='00_审核入口'!$F$2,M26="已核实",N26="完整"),R26+O26,"")</f>
        <v/>
      </c>
      <c r="T26" s="9">
        <f>IF(AND(COUNT(C26:J26)=8,C26&gt;0,D26&gt;=0,E26&gt;0,F26&gt;=0,G26&gt;0,G26=INT(G26),H26&gt;=0,I26&gt;=0,J26&gt;0,J26=INT(J26),K26&lt;&gt;"",ISNUMBER(L26),L26&gt;='00_审核入口'!$F$2,M26="已核实",N26="完整"),Q26-S26,"")</f>
        <v/>
      </c>
      <c r="U26" s="10">
        <f>IF(AND(COUNT(C26:J26)=8,C26&gt;0,D26&gt;=0,E26&gt;0,F26&gt;=0,G26&gt;0,G26=INT(G26),H26&gt;=0,I26&gt;=0,J26&gt;0,J26=INT(J26),K26&lt;&gt;"",ISNUMBER(L26),L26&gt;='00_审核入口'!$F$2,M26="已核实",N26="完整"),IF(Q26&gt;0,T26/Q26,""),"")</f>
        <v/>
      </c>
      <c r="V26" s="9">
        <f>IF(AND(COUNT(C26:J26)=8,C26&gt;0,D26&gt;=0,E26&gt;0,F26&gt;=0,G26&gt;0,G26=INT(G26),H26&gt;=0,I26&gt;=0,J26&gt;0,J26=INT(J26),K26&lt;&gt;"",ISNUMBER(L26),L26&gt;='00_审核入口'!$F$2,M26="已核实",N26="完整"),IF(Q26-O26-ROUNDUP(MAX(15,0.2*Q26),2)&lt;0,"无非负可行采购价",ROUNDDOWN((Q26-O26-ROUNDUP(MAX(15,0.2*Q26),2)+0.005-0.0000000001)/(G26*(1+H26)),2)),"")</f>
        <v/>
      </c>
      <c r="W26" s="9">
        <f>IF(AND(COUNT(C26:J26)=8,C26&gt;0,D26&gt;=0,E26&gt;0,F26&gt;=0,G26&gt;0,G26=INT(G26),H26&gt;=0,I26&gt;=0,J26&gt;0,J26=INT(J26),K26&lt;&gt;"",ISNUMBER(L26),L26&gt;='00_审核入口'!$F$2,M26="已核实",N26="完整"),ROUND(ROUND((C26+D26)*E26*0.95,10),2)-ROUND(ROUND(F26*1.1*G26*(1+H26),10),2)-P26,"")</f>
        <v/>
      </c>
      <c r="X26" s="9">
        <f>IF(AND(COUNT(C26:J26)=8,C26&gt;0,D26&gt;=0,E26&gt;0,F26&gt;=0,G26&gt;0,G26=INT(G26),H26&gt;=0,I26&gt;=0,J26&gt;0,J26=INT(J26),K26&lt;&gt;"",ISNUMBER(L26),L26&gt;='00_审核入口'!$F$2,M26="已核实",N26="完整"),ROUND(I26+J26*S26,2),"")</f>
        <v/>
      </c>
      <c r="Y26" s="9">
        <f>IF(AND(COUNT(C26:J26)=8,C26&gt;0,D26&gt;=0,E26&gt;0,F26&gt;=0,G26&gt;0,G26=INT(G26),H26&gt;=0,I26&gt;=0,J26&gt;0,J26=INT(J26),K26&lt;&gt;"",ISNUMBER(L26),L26&gt;='00_审核入口'!$F$2,M26="已核实",N26="完整"),IF(S26&gt;0,MAX(0,INT((500-I26)/S26)),""),"")</f>
        <v/>
      </c>
      <c r="Z26" s="6" t="str">
        <f>IF(AND(COUNT(C26:J26)=8,C26&gt;0,D26&gt;=0,E26&gt;0,F26&gt;=0,G26&gt;0,G26=INT(G26),H26&gt;=0,I26&gt;=0,J26&gt;0,J26=INT(J26),K26&lt;&gt;"",ISNUMBER(L26),L26&gt;='00_审核入口'!$F$2,M26="已核实",N26="完整"),IF(AND(T26&gt;=15,U26&gt;=0.2,W26&gt;=0,X26&lt;=500),"成本条件通过","成本条件不通过"),"待补证")</f>
        <v>待补证</v>
      </c>
    </row>
  </sheetData>
  <autoFilter ref="A4:Z26"/>
  <mergeCells count="2">
    <mergeCell ref="A1:Z1"/>
    <mergeCell ref="A2:Z3"/>
  </mergeCells>
  <dataValidations count="44">
    <dataValidation type="list" allowBlank="1" showInputMessage="1" showErrorMessage="1" sqref="M5">
      <formula1>"已核实,待核实"</formula1>
    </dataValidation>
    <dataValidation type="decimal" operator="greaterThanOrEqual" allowBlank="1" showInputMessage="1" showErrorMessage="1" sqref="C5:J5">
      <formula1>0</formula1>
    </dataValidation>
    <dataValidation type="list" allowBlank="1" showInputMessage="1" showErrorMessage="1" sqref="M6">
      <formula1>"已核实,待核实"</formula1>
    </dataValidation>
    <dataValidation type="decimal" operator="greaterThanOrEqual" allowBlank="1" showInputMessage="1" showErrorMessage="1" sqref="C6:J6">
      <formula1>0</formula1>
    </dataValidation>
    <dataValidation type="list" allowBlank="1" showInputMessage="1" showErrorMessage="1" sqref="M7">
      <formula1>"已核实,待核实"</formula1>
    </dataValidation>
    <dataValidation type="decimal" operator="greaterThanOrEqual" allowBlank="1" showInputMessage="1" showErrorMessage="1" sqref="C7:J7">
      <formula1>0</formula1>
    </dataValidation>
    <dataValidation type="list" allowBlank="1" showInputMessage="1" showErrorMessage="1" sqref="M8">
      <formula1>"已核实,待核实"</formula1>
    </dataValidation>
    <dataValidation type="decimal" operator="greaterThanOrEqual" allowBlank="1" showInputMessage="1" showErrorMessage="1" sqref="C8:J8">
      <formula1>0</formula1>
    </dataValidation>
    <dataValidation type="list" allowBlank="1" showInputMessage="1" showErrorMessage="1" sqref="M9">
      <formula1>"已核实,待核实"</formula1>
    </dataValidation>
    <dataValidation type="decimal" operator="greaterThanOrEqual" allowBlank="1" showInputMessage="1" showErrorMessage="1" sqref="C9:J9">
      <formula1>0</formula1>
    </dataValidation>
    <dataValidation type="list" allowBlank="1" showInputMessage="1" showErrorMessage="1" sqref="M10">
      <formula1>"已核实,待核实"</formula1>
    </dataValidation>
    <dataValidation type="decimal" operator="greaterThanOrEqual" allowBlank="1" showInputMessage="1" showErrorMessage="1" sqref="C10:J10">
      <formula1>0</formula1>
    </dataValidation>
    <dataValidation type="list" allowBlank="1" showInputMessage="1" showErrorMessage="1" sqref="M11">
      <formula1>"已核实,待核实"</formula1>
    </dataValidation>
    <dataValidation type="decimal" operator="greaterThanOrEqual" allowBlank="1" showInputMessage="1" showErrorMessage="1" sqref="C11:J11">
      <formula1>0</formula1>
    </dataValidation>
    <dataValidation type="list" allowBlank="1" showInputMessage="1" showErrorMessage="1" sqref="M12">
      <formula1>"已核实,待核实"</formula1>
    </dataValidation>
    <dataValidation type="decimal" operator="greaterThanOrEqual" allowBlank="1" showInputMessage="1" showErrorMessage="1" sqref="C12:J12">
      <formula1>0</formula1>
    </dataValidation>
    <dataValidation type="list" allowBlank="1" showInputMessage="1" showErrorMessage="1" sqref="M13">
      <formula1>"已核实,待核实"</formula1>
    </dataValidation>
    <dataValidation type="decimal" operator="greaterThanOrEqual" allowBlank="1" showInputMessage="1" showErrorMessage="1" sqref="C13:J13">
      <formula1>0</formula1>
    </dataValidation>
    <dataValidation type="list" allowBlank="1" showInputMessage="1" showErrorMessage="1" sqref="M14">
      <formula1>"已核实,待核实"</formula1>
    </dataValidation>
    <dataValidation type="decimal" operator="greaterThanOrEqual" allowBlank="1" showInputMessage="1" showErrorMessage="1" sqref="C14:J14">
      <formula1>0</formula1>
    </dataValidation>
    <dataValidation type="list" allowBlank="1" showInputMessage="1" showErrorMessage="1" sqref="M15">
      <formula1>"已核实,待核实"</formula1>
    </dataValidation>
    <dataValidation type="decimal" operator="greaterThanOrEqual" allowBlank="1" showInputMessage="1" showErrorMessage="1" sqref="C15:J15">
      <formula1>0</formula1>
    </dataValidation>
    <dataValidation type="list" allowBlank="1" showInputMessage="1" showErrorMessage="1" sqref="M16">
      <formula1>"已核实,待核实"</formula1>
    </dataValidation>
    <dataValidation type="decimal" operator="greaterThanOrEqual" allowBlank="1" showInputMessage="1" showErrorMessage="1" sqref="C16:J16">
      <formula1>0</formula1>
    </dataValidation>
    <dataValidation type="list" allowBlank="1" showInputMessage="1" showErrorMessage="1" sqref="M17">
      <formula1>"已核实,待核实"</formula1>
    </dataValidation>
    <dataValidation type="decimal" operator="greaterThanOrEqual" allowBlank="1" showInputMessage="1" showErrorMessage="1" sqref="C17:J17">
      <formula1>0</formula1>
    </dataValidation>
    <dataValidation type="list" allowBlank="1" showInputMessage="1" showErrorMessage="1" sqref="M18">
      <formula1>"已核实,待核实"</formula1>
    </dataValidation>
    <dataValidation type="decimal" operator="greaterThanOrEqual" allowBlank="1" showInputMessage="1" showErrorMessage="1" sqref="C18:J18">
      <formula1>0</formula1>
    </dataValidation>
    <dataValidation type="list" allowBlank="1" showInputMessage="1" showErrorMessage="1" sqref="M19">
      <formula1>"已核实,待核实"</formula1>
    </dataValidation>
    <dataValidation type="decimal" operator="greaterThanOrEqual" allowBlank="1" showInputMessage="1" showErrorMessage="1" sqref="C19:J19">
      <formula1>0</formula1>
    </dataValidation>
    <dataValidation type="list" allowBlank="1" showInputMessage="1" showErrorMessage="1" sqref="M20">
      <formula1>"已核实,待核实"</formula1>
    </dataValidation>
    <dataValidation type="decimal" operator="greaterThanOrEqual" allowBlank="1" showInputMessage="1" showErrorMessage="1" sqref="C20:J20">
      <formula1>0</formula1>
    </dataValidation>
    <dataValidation type="list" allowBlank="1" showInputMessage="1" showErrorMessage="1" sqref="M21">
      <formula1>"已核实,待核实"</formula1>
    </dataValidation>
    <dataValidation type="decimal" operator="greaterThanOrEqual" allowBlank="1" showInputMessage="1" showErrorMessage="1" sqref="C21:J21">
      <formula1>0</formula1>
    </dataValidation>
    <dataValidation type="list" allowBlank="1" showInputMessage="1" showErrorMessage="1" sqref="M22">
      <formula1>"已核实,待核实"</formula1>
    </dataValidation>
    <dataValidation type="decimal" operator="greaterThanOrEqual" allowBlank="1" showInputMessage="1" showErrorMessage="1" sqref="C22:J22">
      <formula1>0</formula1>
    </dataValidation>
    <dataValidation type="list" allowBlank="1" showInputMessage="1" showErrorMessage="1" sqref="M23">
      <formula1>"已核实,待核实"</formula1>
    </dataValidation>
    <dataValidation type="decimal" operator="greaterThanOrEqual" allowBlank="1" showInputMessage="1" showErrorMessage="1" sqref="C23:J23">
      <formula1>0</formula1>
    </dataValidation>
    <dataValidation type="list" allowBlank="1" showInputMessage="1" showErrorMessage="1" sqref="M24">
      <formula1>"已核实,待核实"</formula1>
    </dataValidation>
    <dataValidation type="decimal" operator="greaterThanOrEqual" allowBlank="1" showInputMessage="1" showErrorMessage="1" sqref="C24:J24">
      <formula1>0</formula1>
    </dataValidation>
    <dataValidation type="list" allowBlank="1" showInputMessage="1" showErrorMessage="1" sqref="M25">
      <formula1>"已核实,待核实"</formula1>
    </dataValidation>
    <dataValidation type="decimal" operator="greaterThanOrEqual" allowBlank="1" showInputMessage="1" showErrorMessage="1" sqref="C25:J25">
      <formula1>0</formula1>
    </dataValidation>
    <dataValidation type="list" allowBlank="1" showInputMessage="1" showErrorMessage="1" sqref="M26">
      <formula1>"已核实,待核实"</formula1>
    </dataValidation>
    <dataValidation type="decimal" operator="greaterThanOrEqual" allowBlank="1" showInputMessage="1" showErrorMessage="1" sqref="C26:J26">
      <formula1>0</formula1>
    </dataValidation>
  </dataValidations>
  <pageMargins left="0.7" right="0.7" top="0.75" bottom="0.75" header="0.3" footer="0.3"/>
  <pageSetup paperSize="9" fitToHeight="0" orientation="landscape"/>
  <headerFooter>
    <oddFooter>&amp;L菲律宾选品 · 证据审核&amp;R&amp;P / &amp;N</oddFooter>
  </headerFooter>
</worksheet>
</file>

<file path=xl/worksheets/sheet5.xml><?xml version="1.0" encoding="utf-8"?>
<worksheet xmlns="http://schemas.openxmlformats.org/spreadsheetml/2006/main" xmlns:r="http://schemas.openxmlformats.org/officeDocument/2006/relationships">
  <sheetPr>
    <pageSetUpPr fitToPage="1"/>
  </sheetPr>
  <dimension ref="A1:N400"/>
  <sheetViews>
    <sheetView showGridLines="0" zoomScale="85" zoomScaleNormal="85"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22.7109375" customWidth="1"/>
    <col min="2" max="2" width="28.7109375" customWidth="1"/>
    <col min="3" max="3" width="22.7109375" customWidth="1"/>
    <col min="4" max="4" width="37.7109375" customWidth="1"/>
    <col min="5" max="8" width="22.7109375" customWidth="1"/>
    <col min="9" max="9" width="65.7109375" customWidth="1"/>
    <col min="10" max="10" width="60.7109375" customWidth="1"/>
    <col min="11" max="11" width="24.7109375" customWidth="1"/>
    <col min="12" max="14" width="22.7109375" customWidth="1"/>
  </cols>
  <sheetData>
    <row r="1" spans="1:14" ht="38" customHeight="1">
      <c r="A1" s="1" t="s">
        <v>492</v>
      </c>
      <c r="B1" s="1"/>
      <c r="C1" s="1"/>
      <c r="D1" s="1"/>
      <c r="E1" s="1"/>
      <c r="F1" s="1"/>
      <c r="G1" s="1"/>
      <c r="H1" s="1"/>
      <c r="I1" s="1"/>
      <c r="J1" s="1"/>
      <c r="K1" s="1"/>
      <c r="L1" s="1"/>
      <c r="M1" s="1"/>
      <c r="N1" s="1"/>
    </row>
    <row r="2" spans="1:14" ht="26" customHeight="1">
      <c r="A2" s="2" t="s">
        <v>493</v>
      </c>
      <c r="B2" s="2"/>
      <c r="C2" s="2"/>
      <c r="D2" s="2"/>
      <c r="E2" s="2"/>
      <c r="F2" s="2"/>
      <c r="G2" s="2"/>
      <c r="H2" s="2"/>
      <c r="I2" s="2"/>
      <c r="J2" s="2"/>
      <c r="K2" s="2"/>
      <c r="L2" s="2"/>
      <c r="M2" s="2"/>
      <c r="N2" s="2"/>
    </row>
    <row r="3" spans="1:14" ht="22" customHeight="1">
      <c r="A3" s="2"/>
      <c r="B3" s="2"/>
      <c r="C3" s="2"/>
      <c r="D3" s="2"/>
      <c r="E3" s="2"/>
      <c r="F3" s="2"/>
      <c r="G3" s="2"/>
      <c r="H3" s="2"/>
      <c r="I3" s="2"/>
      <c r="J3" s="2"/>
      <c r="K3" s="2"/>
      <c r="L3" s="2"/>
      <c r="M3" s="2"/>
      <c r="N3" s="2"/>
    </row>
    <row r="4" spans="1:14" ht="34" customHeight="1">
      <c r="A4" s="4" t="s">
        <v>40</v>
      </c>
      <c r="B4" s="4" t="s">
        <v>238</v>
      </c>
      <c r="C4" s="4" t="s">
        <v>494</v>
      </c>
      <c r="D4" s="4" t="s">
        <v>495</v>
      </c>
      <c r="E4" s="4" t="s">
        <v>496</v>
      </c>
      <c r="F4" s="4" t="s">
        <v>497</v>
      </c>
      <c r="G4" s="4" t="s">
        <v>498</v>
      </c>
      <c r="H4" s="4" t="s">
        <v>499</v>
      </c>
      <c r="I4" s="4" t="s">
        <v>500</v>
      </c>
      <c r="J4" s="4" t="s">
        <v>501</v>
      </c>
      <c r="K4" s="4" t="s">
        <v>502</v>
      </c>
      <c r="L4" s="4" t="s">
        <v>503</v>
      </c>
      <c r="M4" s="4" t="s">
        <v>504</v>
      </c>
      <c r="N4" s="4" t="s">
        <v>505</v>
      </c>
    </row>
    <row r="5" spans="1:14" ht="58" customHeight="1">
      <c r="A5" s="8" t="s">
        <v>53</v>
      </c>
      <c r="B5" s="8" t="s">
        <v>54</v>
      </c>
      <c r="C5" s="8" t="s">
        <v>507</v>
      </c>
      <c r="D5" s="8" t="s">
        <v>508</v>
      </c>
      <c r="E5" s="8"/>
      <c r="F5" s="8"/>
      <c r="G5" s="8"/>
      <c r="H5" s="8" t="s">
        <v>506</v>
      </c>
      <c r="I5" s="8"/>
      <c r="J5" s="8"/>
      <c r="L5" s="9">
        <f>IF(AND(N5="完整",ISNUMBER('03_逐品成本'!E5),'03_逐品成本'!E5&gt;0),ROUND(ROUND(F5*IF(E5="PHP",'03_逐品成本'!E5,1),10),2),"")</f>
        <v/>
      </c>
      <c r="M5" s="9">
        <f>IF(AND(N5="完整",ISNUMBER('03_逐品成本'!E5),'03_逐品成本'!E5&gt;0),ROUND(ROUND(IF(ISNUMBER(G5),G5,F5)*1*IF(E5="PHP",'03_逐品成本'!E5*0.95,1),10),2),"")</f>
        <v/>
      </c>
      <c r="N5" s="6" t="str">
        <f>IF(AND(ISNUMBER(F5),F5&gt;=0,OR(E5="PHP",E5="CNY"),OR(H5="已核实",H5="不适用"),I5&lt;&gt;"",J5&lt;&gt;"",ISNUMBER(K5),K5&gt;='00_审核入口'!$F$2,OR(H5&lt;&gt;"不适用",F5=0),OR(G5="",AND(ISNUMBER(G5),G5&gt;=0))),"完整","待补证")</f>
        <v>待补证</v>
      </c>
    </row>
    <row r="6" spans="1:14" ht="58" customHeight="1">
      <c r="A6" s="8" t="s">
        <v>53</v>
      </c>
      <c r="B6" s="8" t="s">
        <v>54</v>
      </c>
      <c r="C6" s="8" t="s">
        <v>509</v>
      </c>
      <c r="D6" s="8" t="s">
        <v>510</v>
      </c>
      <c r="E6" s="8"/>
      <c r="F6" s="8"/>
      <c r="G6" s="8"/>
      <c r="H6" s="8" t="s">
        <v>506</v>
      </c>
      <c r="I6" s="8"/>
      <c r="J6" s="8"/>
      <c r="L6" s="9">
        <f>IF(AND(N6="完整",ISNUMBER('03_逐品成本'!E5),'03_逐品成本'!E5&gt;0),ROUND(ROUND(F6*IF(E6="PHP",'03_逐品成本'!E5,1),10),2),"")</f>
        <v/>
      </c>
      <c r="M6" s="9">
        <f>IF(AND(N6="完整",ISNUMBER('03_逐品成本'!E5),'03_逐品成本'!E5&gt;0),ROUND(ROUND(IF(ISNUMBER(G6),G6,F6)*1*IF(E6="PHP",'03_逐品成本'!E5*0.95,1),10),2),"")</f>
        <v/>
      </c>
      <c r="N6" s="6" t="str">
        <f>IF(AND(ISNUMBER(F6),F6&gt;=0,OR(E6="PHP",E6="CNY"),OR(H6="已核实",H6="不适用"),I6&lt;&gt;"",J6&lt;&gt;"",ISNUMBER(K6),K6&gt;='00_审核入口'!$F$2,OR(H6&lt;&gt;"不适用",F6=0),OR(G6="",AND(ISNUMBER(G6),G6&gt;=0)),ISNUMBER(G6),G6&gt;=0),"完整","待补证")</f>
        <v>待补证</v>
      </c>
    </row>
    <row r="7" spans="1:14" ht="58" customHeight="1">
      <c r="A7" s="8" t="s">
        <v>53</v>
      </c>
      <c r="B7" s="8" t="s">
        <v>54</v>
      </c>
      <c r="C7" s="8" t="s">
        <v>511</v>
      </c>
      <c r="D7" s="8" t="s">
        <v>512</v>
      </c>
      <c r="E7" s="8"/>
      <c r="F7" s="8"/>
      <c r="G7" s="8"/>
      <c r="H7" s="8" t="s">
        <v>506</v>
      </c>
      <c r="I7" s="8"/>
      <c r="J7" s="8"/>
      <c r="L7" s="9">
        <f>IF(AND(N7="完整",ISNUMBER('03_逐品成本'!E5),'03_逐品成本'!E5&gt;0),ROUND(ROUND(F7*IF(E7="PHP",'03_逐品成本'!E5,1),10),2),"")</f>
        <v/>
      </c>
      <c r="M7" s="9">
        <f>IF(AND(N7="完整",ISNUMBER('03_逐品成本'!E5),'03_逐品成本'!E5&gt;0),ROUND(ROUND(IF(ISNUMBER(G7),G7,F7)*1*IF(E7="PHP",'03_逐品成本'!E5*0.95,1),10),2),"")</f>
        <v/>
      </c>
      <c r="N7" s="6" t="str">
        <f>IF(AND(ISNUMBER(F7),F7&gt;=0,OR(E7="PHP",E7="CNY"),OR(H7="已核实",H7="不适用"),I7&lt;&gt;"",J7&lt;&gt;"",ISNUMBER(K7),K7&gt;='00_审核入口'!$F$2,OR(H7&lt;&gt;"不适用",F7=0),OR(G7="",AND(ISNUMBER(G7),G7&gt;=0))),"完整","待补证")</f>
        <v>待补证</v>
      </c>
    </row>
    <row r="8" spans="1:14" ht="58" customHeight="1">
      <c r="A8" s="8" t="s">
        <v>53</v>
      </c>
      <c r="B8" s="8" t="s">
        <v>54</v>
      </c>
      <c r="C8" s="8" t="s">
        <v>513</v>
      </c>
      <c r="D8" s="8" t="s">
        <v>514</v>
      </c>
      <c r="E8" s="8"/>
      <c r="F8" s="8"/>
      <c r="G8" s="8"/>
      <c r="H8" s="8" t="s">
        <v>506</v>
      </c>
      <c r="I8" s="8"/>
      <c r="J8" s="8"/>
      <c r="L8" s="9">
        <f>IF(AND(N8="完整",ISNUMBER('03_逐品成本'!E5),'03_逐品成本'!E5&gt;0),ROUND(ROUND(F8*IF(E8="PHP",'03_逐品成本'!E5,1),10),2),"")</f>
        <v/>
      </c>
      <c r="M8" s="9">
        <f>IF(AND(N8="完整",ISNUMBER('03_逐品成本'!E5),'03_逐品成本'!E5&gt;0),ROUND(ROUND(IF(ISNUMBER(G8),G8,F8)*1*IF(E8="PHP",'03_逐品成本'!E5*0.95,1),10),2),"")</f>
        <v/>
      </c>
      <c r="N8" s="6" t="str">
        <f>IF(AND(ISNUMBER(F8),F8&gt;=0,OR(E8="PHP",E8="CNY"),OR(H8="已核实",H8="不适用"),I8&lt;&gt;"",J8&lt;&gt;"",ISNUMBER(K8),K8&gt;='00_审核入口'!$F$2,OR(H8&lt;&gt;"不适用",F8=0),OR(G8="",AND(ISNUMBER(G8),G8&gt;=0))),"完整","待补证")</f>
        <v>待补证</v>
      </c>
    </row>
    <row r="9" spans="1:14" ht="58" customHeight="1">
      <c r="A9" s="8" t="s">
        <v>53</v>
      </c>
      <c r="B9" s="8" t="s">
        <v>54</v>
      </c>
      <c r="C9" s="8" t="s">
        <v>515</v>
      </c>
      <c r="D9" s="8" t="s">
        <v>516</v>
      </c>
      <c r="E9" s="8"/>
      <c r="F9" s="8"/>
      <c r="G9" s="8"/>
      <c r="H9" s="8" t="s">
        <v>506</v>
      </c>
      <c r="I9" s="8"/>
      <c r="J9" s="8"/>
      <c r="L9" s="9">
        <f>IF(AND(N9="完整",ISNUMBER('03_逐品成本'!E5),'03_逐品成本'!E5&gt;0),ROUND(ROUND(F9*IF(E9="PHP",'03_逐品成本'!E5,1),10),2),"")</f>
        <v/>
      </c>
      <c r="M9" s="9">
        <f>IF(AND(N9="完整",ISNUMBER('03_逐品成本'!E5),'03_逐品成本'!E5&gt;0),ROUND(ROUND(IF(ISNUMBER(G9),G9,F9)*1*IF(E9="PHP",'03_逐品成本'!E5*0.95,1),10),2),"")</f>
        <v/>
      </c>
      <c r="N9" s="6" t="str">
        <f>IF(AND(ISNUMBER(F9),F9&gt;=0,OR(E9="PHP",E9="CNY"),OR(H9="已核实",H9="不适用"),I9&lt;&gt;"",J9&lt;&gt;"",ISNUMBER(K9),K9&gt;='00_审核入口'!$F$2,OR(H9&lt;&gt;"不适用",F9=0),OR(G9="",AND(ISNUMBER(G9),G9&gt;=0))),"完整","待补证")</f>
        <v>待补证</v>
      </c>
    </row>
    <row r="10" spans="1:14" ht="58" customHeight="1">
      <c r="A10" s="8" t="s">
        <v>53</v>
      </c>
      <c r="B10" s="8" t="s">
        <v>54</v>
      </c>
      <c r="C10" s="8" t="s">
        <v>517</v>
      </c>
      <c r="D10" s="8" t="s">
        <v>518</v>
      </c>
      <c r="E10" s="8"/>
      <c r="F10" s="8"/>
      <c r="G10" s="8"/>
      <c r="H10" s="8" t="s">
        <v>506</v>
      </c>
      <c r="I10" s="8"/>
      <c r="J10" s="8"/>
      <c r="L10" s="9">
        <f>IF(AND(N10="完整",ISNUMBER('03_逐品成本'!E5),'03_逐品成本'!E5&gt;0),ROUND(ROUND(F10*IF(E10="PHP",'03_逐品成本'!E5,1),10),2),"")</f>
        <v/>
      </c>
      <c r="M10" s="9">
        <f>IF(AND(N10="完整",ISNUMBER('03_逐品成本'!E5),'03_逐品成本'!E5&gt;0),ROUND(ROUND(IF(ISNUMBER(G10),G10,F10)*1*IF(E10="PHP",'03_逐品成本'!E5*0.95,1),10),2),"")</f>
        <v/>
      </c>
      <c r="N10" s="6" t="str">
        <f>IF(AND(ISNUMBER(F10),F10&gt;=0,OR(E10="PHP",E10="CNY"),OR(H10="已核实",H10="不适用"),I10&lt;&gt;"",J10&lt;&gt;"",ISNUMBER(K10),K10&gt;='00_审核入口'!$F$2,OR(H10&lt;&gt;"不适用",F10=0),OR(G10="",AND(ISNUMBER(G10),G10&gt;=0))),"完整","待补证")</f>
        <v>待补证</v>
      </c>
    </row>
    <row r="11" spans="1:14" ht="58" customHeight="1">
      <c r="A11" s="8" t="s">
        <v>53</v>
      </c>
      <c r="B11" s="8" t="s">
        <v>54</v>
      </c>
      <c r="C11" s="8" t="s">
        <v>519</v>
      </c>
      <c r="D11" s="8" t="s">
        <v>520</v>
      </c>
      <c r="E11" s="8"/>
      <c r="F11" s="8"/>
      <c r="G11" s="8"/>
      <c r="H11" s="8" t="s">
        <v>506</v>
      </c>
      <c r="I11" s="8"/>
      <c r="J11" s="8"/>
      <c r="L11" s="9">
        <f>IF(AND(N11="完整",ISNUMBER('03_逐品成本'!E5),'03_逐品成本'!E5&gt;0),ROUND(ROUND(F11*IF(E11="PHP",'03_逐品成本'!E5,1),10),2),"")</f>
        <v/>
      </c>
      <c r="M11" s="9">
        <f>IF(AND(N11="完整",ISNUMBER('03_逐品成本'!E5),'03_逐品成本'!E5&gt;0),ROUND(ROUND(IF(ISNUMBER(G11),G11,F11)*1*IF(E11="PHP",'03_逐品成本'!E5*0.95,1),10),2),"")</f>
        <v/>
      </c>
      <c r="N11" s="6" t="str">
        <f>IF(AND(ISNUMBER(F11),F11&gt;=0,OR(E11="PHP",E11="CNY"),OR(H11="已核实",H11="不适用"),I11&lt;&gt;"",J11&lt;&gt;"",ISNUMBER(K11),K11&gt;='00_审核入口'!$F$2,OR(H11&lt;&gt;"不适用",F11=0),OR(G11="",AND(ISNUMBER(G11),G11&gt;=0))),"完整","待补证")</f>
        <v>待补证</v>
      </c>
    </row>
    <row r="12" spans="1:14" ht="58" customHeight="1">
      <c r="A12" s="8" t="s">
        <v>53</v>
      </c>
      <c r="B12" s="8" t="s">
        <v>54</v>
      </c>
      <c r="C12" s="8" t="s">
        <v>521</v>
      </c>
      <c r="D12" s="8" t="s">
        <v>522</v>
      </c>
      <c r="E12" s="8"/>
      <c r="F12" s="8"/>
      <c r="G12" s="8"/>
      <c r="H12" s="8" t="s">
        <v>506</v>
      </c>
      <c r="I12" s="8"/>
      <c r="J12" s="8"/>
      <c r="L12" s="9">
        <f>IF(AND(N12="完整",ISNUMBER('03_逐品成本'!E5),'03_逐品成本'!E5&gt;0),ROUND(ROUND(F12*IF(E12="PHP",'03_逐品成本'!E5,1),10),2),"")</f>
        <v/>
      </c>
      <c r="M12" s="9">
        <f>IF(AND(N12="完整",ISNUMBER('03_逐品成本'!E5),'03_逐品成本'!E5&gt;0),ROUND(ROUND(IF(ISNUMBER(G12),G12,F12)*1*IF(E12="PHP",'03_逐品成本'!E5*0.95,1),10),2),"")</f>
        <v/>
      </c>
      <c r="N12" s="6" t="str">
        <f>IF(AND(ISNUMBER(F12),F12&gt;=0,OR(E12="PHP",E12="CNY"),OR(H12="已核实",H12="不适用"),I12&lt;&gt;"",J12&lt;&gt;"",ISNUMBER(K12),K12&gt;='00_审核入口'!$F$2,OR(H12&lt;&gt;"不适用",F12=0),OR(G12="",AND(ISNUMBER(G12),G12&gt;=0))),"完整","待补证")</f>
        <v>待补证</v>
      </c>
    </row>
    <row r="13" spans="1:14" ht="58" customHeight="1">
      <c r="A13" s="8" t="s">
        <v>53</v>
      </c>
      <c r="B13" s="8" t="s">
        <v>54</v>
      </c>
      <c r="C13" s="8" t="s">
        <v>523</v>
      </c>
      <c r="D13" s="8" t="s">
        <v>524</v>
      </c>
      <c r="E13" s="8"/>
      <c r="F13" s="8"/>
      <c r="G13" s="8"/>
      <c r="H13" s="8" t="s">
        <v>506</v>
      </c>
      <c r="I13" s="8"/>
      <c r="J13" s="8"/>
      <c r="L13" s="9">
        <f>IF(AND(N13="完整",ISNUMBER('03_逐品成本'!E5),'03_逐品成本'!E5&gt;0),ROUND(ROUND(F13*IF(E13="PHP",'03_逐品成本'!E5,1),10),2),"")</f>
        <v/>
      </c>
      <c r="M13" s="9">
        <f>IF(AND(N13="完整",ISNUMBER('03_逐品成本'!E5),'03_逐品成本'!E5&gt;0),ROUND(ROUND(IF(ISNUMBER(G13),G13,F13)*1.15*IF(E13="PHP",'03_逐品成本'!E5*0.95,1),10),2),"")</f>
        <v/>
      </c>
      <c r="N13" s="6" t="str">
        <f>IF(AND(ISNUMBER(F13),F13&gt;=0,OR(E13="PHP",E13="CNY"),OR(H13="已核实",H13="不适用"),I13&lt;&gt;"",J13&lt;&gt;"",ISNUMBER(K13),K13&gt;='00_审核入口'!$F$2,OR(H13&lt;&gt;"不适用",F13=0),OR(G13="",AND(ISNUMBER(G13),G13&gt;=0))),"完整","待补证")</f>
        <v>待补证</v>
      </c>
    </row>
    <row r="14" spans="1:14" ht="58" customHeight="1">
      <c r="A14" s="8" t="s">
        <v>53</v>
      </c>
      <c r="B14" s="8" t="s">
        <v>54</v>
      </c>
      <c r="C14" s="8" t="s">
        <v>525</v>
      </c>
      <c r="D14" s="8" t="s">
        <v>526</v>
      </c>
      <c r="E14" s="8"/>
      <c r="F14" s="8"/>
      <c r="G14" s="8"/>
      <c r="H14" s="8" t="s">
        <v>506</v>
      </c>
      <c r="I14" s="8"/>
      <c r="J14" s="8"/>
      <c r="L14" s="9">
        <f>IF(AND(N14="完整",ISNUMBER('03_逐品成本'!E5),'03_逐品成本'!E5&gt;0),ROUND(ROUND(F14*IF(E14="PHP",'03_逐品成本'!E5,1),10),2),"")</f>
        <v/>
      </c>
      <c r="M14" s="9">
        <f>IF(AND(N14="完整",ISNUMBER('03_逐品成本'!E5),'03_逐品成本'!E5&gt;0),ROUND(ROUND(IF(ISNUMBER(G14),G14,F14)*1.15*IF(E14="PHP",'03_逐品成本'!E5*0.95,1),10),2),"")</f>
        <v/>
      </c>
      <c r="N14" s="6" t="str">
        <f>IF(AND(ISNUMBER(F14),F14&gt;=0,OR(E14="PHP",E14="CNY"),OR(H14="已核实",H14="不适用"),I14&lt;&gt;"",J14&lt;&gt;"",ISNUMBER(K14),K14&gt;='00_审核入口'!$F$2,OR(H14&lt;&gt;"不适用",F14=0),OR(G14="",AND(ISNUMBER(G14),G14&gt;=0))),"完整","待补证")</f>
        <v>待补证</v>
      </c>
    </row>
    <row r="15" spans="1:14" ht="58" customHeight="1">
      <c r="A15" s="8" t="s">
        <v>53</v>
      </c>
      <c r="B15" s="8" t="s">
        <v>54</v>
      </c>
      <c r="C15" s="8" t="s">
        <v>527</v>
      </c>
      <c r="D15" s="8" t="s">
        <v>528</v>
      </c>
      <c r="E15" s="8"/>
      <c r="F15" s="8"/>
      <c r="G15" s="8"/>
      <c r="H15" s="8" t="s">
        <v>506</v>
      </c>
      <c r="I15" s="8"/>
      <c r="J15" s="8"/>
      <c r="L15" s="9">
        <f>IF(AND(N15="完整",ISNUMBER('03_逐品成本'!E5),'03_逐品成本'!E5&gt;0),ROUND(ROUND(F15*IF(E15="PHP",'03_逐品成本'!E5,1),10),2),"")</f>
        <v/>
      </c>
      <c r="M15" s="9">
        <f>IF(AND(N15="完整",ISNUMBER('03_逐品成本'!E5),'03_逐品成本'!E5&gt;0),ROUND(ROUND(IF(ISNUMBER(G15),G15,F15)*1.15*IF(E15="PHP",'03_逐品成本'!E5*0.95,1),10),2),"")</f>
        <v/>
      </c>
      <c r="N15" s="6" t="str">
        <f>IF(AND(ISNUMBER(F15),F15&gt;=0,OR(E15="PHP",E15="CNY"),OR(H15="已核实",H15="不适用"),I15&lt;&gt;"",J15&lt;&gt;"",ISNUMBER(K15),K15&gt;='00_审核入口'!$F$2,OR(H15&lt;&gt;"不适用",F15=0),OR(G15="",AND(ISNUMBER(G15),G15&gt;=0))),"完整","待补证")</f>
        <v>待补证</v>
      </c>
    </row>
    <row r="16" spans="1:14" ht="58" customHeight="1">
      <c r="A16" s="8" t="s">
        <v>53</v>
      </c>
      <c r="B16" s="8" t="s">
        <v>54</v>
      </c>
      <c r="C16" s="8" t="s">
        <v>529</v>
      </c>
      <c r="D16" s="8" t="s">
        <v>530</v>
      </c>
      <c r="E16" s="8"/>
      <c r="F16" s="8"/>
      <c r="G16" s="8"/>
      <c r="H16" s="8" t="s">
        <v>506</v>
      </c>
      <c r="I16" s="8"/>
      <c r="J16" s="8"/>
      <c r="L16" s="9">
        <f>IF(AND(N16="完整",ISNUMBER('03_逐品成本'!E5),'03_逐品成本'!E5&gt;0),ROUND(ROUND(F16*IF(E16="PHP",'03_逐品成本'!E5,1),10),2),"")</f>
        <v/>
      </c>
      <c r="M16" s="9">
        <f>IF(AND(N16="完整",ISNUMBER('03_逐品成本'!E5),'03_逐品成本'!E5&gt;0),ROUND(ROUND(IF(ISNUMBER(G16),G16,F16)*1*IF(E16="PHP",'03_逐品成本'!E5*0.95,1),10),2),"")</f>
        <v/>
      </c>
      <c r="N16" s="6" t="str">
        <f>IF(AND(ISNUMBER(F16),F16&gt;=0,OR(E16="PHP",E16="CNY"),OR(H16="已核实",H16="不适用",H16="预算"),I16&lt;&gt;"",J16&lt;&gt;"",ISNUMBER(K16),K16&gt;='00_审核入口'!$F$2,OR(H16&lt;&gt;"不适用",F16=0),OR(G16="",AND(ISNUMBER(G16),G16&gt;=0))),"完整","待补证")</f>
        <v>待补证</v>
      </c>
    </row>
    <row r="17" spans="1:14" ht="58" customHeight="1">
      <c r="A17" s="8" t="s">
        <v>53</v>
      </c>
      <c r="B17" s="8" t="s">
        <v>54</v>
      </c>
      <c r="C17" s="8" t="s">
        <v>531</v>
      </c>
      <c r="D17" s="8" t="s">
        <v>532</v>
      </c>
      <c r="E17" s="8"/>
      <c r="F17" s="8"/>
      <c r="G17" s="8"/>
      <c r="H17" s="8" t="s">
        <v>506</v>
      </c>
      <c r="I17" s="8"/>
      <c r="J17" s="8"/>
      <c r="L17" s="9">
        <f>IF(AND(N17="完整",ISNUMBER('03_逐品成本'!E5),'03_逐品成本'!E5&gt;0),ROUND(ROUND(F17*IF(E17="PHP",'03_逐品成本'!E5,1),10),2),"")</f>
        <v/>
      </c>
      <c r="M17" s="9">
        <f>IF(AND(N17="完整",ISNUMBER('03_逐品成本'!E5),'03_逐品成本'!E5&gt;0),ROUND(ROUND(IF(ISNUMBER(G17),G17,F17)*1*IF(E17="PHP",'03_逐品成本'!E5*0.95,1),10),2),"")</f>
        <v/>
      </c>
      <c r="N17" s="6" t="str">
        <f>IF(AND(ISNUMBER(F17),F17&gt;=0,OR(E17="PHP",E17="CNY"),OR(H17="已核实",H17="不适用",H17="预算"),I17&lt;&gt;"",J17&lt;&gt;"",ISNUMBER(K17),K17&gt;='00_审核入口'!$F$2,OR(H17&lt;&gt;"不适用",F17=0),OR(G17="",AND(ISNUMBER(G17),G17&gt;=0))),"完整","待补证")</f>
        <v>待补证</v>
      </c>
    </row>
    <row r="18" spans="1:14" ht="58" customHeight="1">
      <c r="A18" s="8" t="s">
        <v>53</v>
      </c>
      <c r="B18" s="8" t="s">
        <v>54</v>
      </c>
      <c r="C18" s="8" t="s">
        <v>533</v>
      </c>
      <c r="D18" s="8" t="s">
        <v>534</v>
      </c>
      <c r="E18" s="8"/>
      <c r="F18" s="8"/>
      <c r="G18" s="8"/>
      <c r="H18" s="8" t="s">
        <v>506</v>
      </c>
      <c r="I18" s="8"/>
      <c r="J18" s="8"/>
      <c r="L18" s="9">
        <f>IF(AND(N18="完整",ISNUMBER('03_逐品成本'!E5),'03_逐品成本'!E5&gt;0),ROUND(ROUND(F18*IF(E18="PHP",'03_逐品成本'!E5,1),10),2),"")</f>
        <v/>
      </c>
      <c r="M18" s="9">
        <f>IF(AND(N18="完整",ISNUMBER('03_逐品成本'!E5),'03_逐品成本'!E5&gt;0),ROUND(ROUND(IF(ISNUMBER(G18),G18,F18)*1*IF(E18="PHP",'03_逐品成本'!E5*0.95,1),10),2),"")</f>
        <v/>
      </c>
      <c r="N18" s="6" t="str">
        <f>IF(AND(ISNUMBER(F18),F18&gt;=0,OR(E18="PHP",E18="CNY"),OR(H18="已核实",H18="不适用",H18="预算"),I18&lt;&gt;"",J18&lt;&gt;"",ISNUMBER(K18),K18&gt;='00_审核入口'!$F$2,OR(H18&lt;&gt;"不适用",F18=0),OR(G18="",AND(ISNUMBER(G18),G18&gt;=0))),"完整","待补证")</f>
        <v>待补证</v>
      </c>
    </row>
    <row r="19" spans="1:14" ht="58" customHeight="1">
      <c r="A19" s="8" t="s">
        <v>53</v>
      </c>
      <c r="B19" s="8" t="s">
        <v>54</v>
      </c>
      <c r="C19" s="8" t="s">
        <v>535</v>
      </c>
      <c r="D19" s="8" t="s">
        <v>536</v>
      </c>
      <c r="E19" s="8"/>
      <c r="F19" s="8"/>
      <c r="G19" s="8"/>
      <c r="H19" s="8" t="s">
        <v>506</v>
      </c>
      <c r="I19" s="8"/>
      <c r="J19" s="8"/>
      <c r="L19" s="9">
        <f>IF(AND(N19="完整",ISNUMBER('03_逐品成本'!E5),'03_逐品成本'!E5&gt;0),ROUND(ROUND(F19*IF(E19="PHP",'03_逐品成本'!E5,1),10),2),"")</f>
        <v/>
      </c>
      <c r="M19" s="9">
        <f>IF(AND(N19="完整",ISNUMBER('03_逐品成本'!E5),'03_逐品成本'!E5&gt;0),ROUND(ROUND(IF(ISNUMBER(G19),G19,F19)*1*IF(E19="PHP",'03_逐品成本'!E5*0.95,1),10),2),"")</f>
        <v/>
      </c>
      <c r="N19" s="6" t="str">
        <f>IF(AND(ISNUMBER(F19),F19&gt;=0,OR(E19="PHP",E19="CNY"),OR(H19="已核实",H19="不适用"),I19&lt;&gt;"",J19&lt;&gt;"",ISNUMBER(K19),K19&gt;='00_审核入口'!$F$2,OR(H19&lt;&gt;"不适用",F19=0),OR(G19="",AND(ISNUMBER(G19),G19&gt;=0))),"完整","待补证")</f>
        <v>待补证</v>
      </c>
    </row>
    <row r="20" spans="1:14" ht="58" customHeight="1">
      <c r="A20" s="8" t="s">
        <v>53</v>
      </c>
      <c r="B20" s="8" t="s">
        <v>54</v>
      </c>
      <c r="C20" s="8" t="s">
        <v>537</v>
      </c>
      <c r="D20" s="8" t="s">
        <v>538</v>
      </c>
      <c r="E20" s="8"/>
      <c r="F20" s="8"/>
      <c r="G20" s="8"/>
      <c r="H20" s="8" t="s">
        <v>506</v>
      </c>
      <c r="I20" s="8"/>
      <c r="J20" s="8"/>
      <c r="L20" s="9">
        <f>IF(AND(N20="完整",ISNUMBER('03_逐品成本'!E5),'03_逐品成本'!E5&gt;0),ROUND(ROUND(F20*IF(E20="PHP",'03_逐品成本'!E5,1),10),2),"")</f>
        <v/>
      </c>
      <c r="M20" s="9">
        <f>IF(AND(N20="完整",ISNUMBER('03_逐品成本'!E5),'03_逐品成本'!E5&gt;0),ROUND(ROUND(IF(ISNUMBER(G20),G20,F20)*1*IF(E20="PHP",'03_逐品成本'!E5*0.95,1),10),2),"")</f>
        <v/>
      </c>
      <c r="N20" s="6" t="str">
        <f>IF(AND(ISNUMBER(F20),F20&gt;=0,OR(E20="PHP",E20="CNY"),OR(H20="已核实",H20="不适用"),I20&lt;&gt;"",J20&lt;&gt;"",ISNUMBER(K20),K20&gt;='00_审核入口'!$F$2,OR(H20&lt;&gt;"不适用",F20=0),OR(G20="",AND(ISNUMBER(G20),G20&gt;=0))),"完整","待补证")</f>
        <v>待补证</v>
      </c>
    </row>
    <row r="21" spans="1:14" ht="58" customHeight="1">
      <c r="A21" s="8" t="s">
        <v>53</v>
      </c>
      <c r="B21" s="8" t="s">
        <v>54</v>
      </c>
      <c r="C21" s="8" t="s">
        <v>539</v>
      </c>
      <c r="D21" s="8" t="s">
        <v>540</v>
      </c>
      <c r="E21" s="8"/>
      <c r="F21" s="8"/>
      <c r="G21" s="8"/>
      <c r="H21" s="8" t="s">
        <v>506</v>
      </c>
      <c r="I21" s="8"/>
      <c r="J21" s="8"/>
      <c r="L21" s="9">
        <f>IF(AND(N21="完整",ISNUMBER('03_逐品成本'!E5),'03_逐品成本'!E5&gt;0),ROUND(ROUND(F21*IF(E21="PHP",'03_逐品成本'!E5,1),10),2),"")</f>
        <v/>
      </c>
      <c r="M21" s="9">
        <f>IF(AND(N21="完整",ISNUMBER('03_逐品成本'!E5),'03_逐品成本'!E5&gt;0),ROUND(ROUND(IF(ISNUMBER(G21),G21,F21)*1*IF(E21="PHP",'03_逐品成本'!E5*0.95,1),10),2),"")</f>
        <v/>
      </c>
      <c r="N21" s="6" t="str">
        <f>IF(AND(ISNUMBER(F21),F21&gt;=0,OR(E21="PHP",E21="CNY"),OR(H21="已核实",H21="不适用",H21="预算"),I21&lt;&gt;"",J21&lt;&gt;"",ISNUMBER(K21),K21&gt;='00_审核入口'!$F$2,OR(H21&lt;&gt;"不适用",F21=0),OR(G21="",AND(ISNUMBER(G21),G21&gt;=0))),"完整","待补证")</f>
        <v>待补证</v>
      </c>
    </row>
    <row r="22" spans="1:14" ht="58" customHeight="1">
      <c r="A22" s="8" t="s">
        <v>53</v>
      </c>
      <c r="B22" s="8" t="s">
        <v>54</v>
      </c>
      <c r="C22" s="8" t="s">
        <v>541</v>
      </c>
      <c r="D22" s="8" t="s">
        <v>542</v>
      </c>
      <c r="E22" s="8"/>
      <c r="F22" s="8"/>
      <c r="G22" s="8"/>
      <c r="H22" s="8" t="s">
        <v>506</v>
      </c>
      <c r="I22" s="8"/>
      <c r="J22" s="8"/>
      <c r="L22" s="9">
        <f>IF(AND(N22="完整",ISNUMBER('03_逐品成本'!E5),'03_逐品成本'!E5&gt;0),ROUND(ROUND(F22*IF(E22="PHP",'03_逐品成本'!E5,1),10),2),"")</f>
        <v/>
      </c>
      <c r="M22" s="9">
        <f>IF(AND(N22="完整",ISNUMBER('03_逐品成本'!E5),'03_逐品成本'!E5&gt;0),ROUND(ROUND(IF(ISNUMBER(G22),G22,F22)*1*IF(E22="PHP",'03_逐品成本'!E5*0.95,1),10),2),"")</f>
        <v/>
      </c>
      <c r="N22" s="6" t="str">
        <f>IF(AND(ISNUMBER(F22),F22&gt;=0,OR(E22="PHP",E22="CNY"),OR(H22="已核实",H22="不适用",H22="预算"),I22&lt;&gt;"",J22&lt;&gt;"",ISNUMBER(K22),K22&gt;='00_审核入口'!$F$2,OR(H22&lt;&gt;"不适用",F22=0),OR(G22="",AND(ISNUMBER(G22),G22&gt;=0))),"完整","待补证")</f>
        <v>待补证</v>
      </c>
    </row>
    <row r="23" spans="1:14" ht="58" customHeight="1">
      <c r="A23" s="8" t="s">
        <v>63</v>
      </c>
      <c r="B23" s="8" t="s">
        <v>64</v>
      </c>
      <c r="C23" s="8" t="s">
        <v>507</v>
      </c>
      <c r="D23" s="8" t="s">
        <v>508</v>
      </c>
      <c r="E23" s="8"/>
      <c r="F23" s="8"/>
      <c r="G23" s="8"/>
      <c r="H23" s="8" t="s">
        <v>506</v>
      </c>
      <c r="I23" s="8"/>
      <c r="J23" s="8"/>
      <c r="L23" s="9">
        <f>IF(AND(N23="完整",ISNUMBER('03_逐品成本'!E6),'03_逐品成本'!E6&gt;0),ROUND(ROUND(F23*IF(E23="PHP",'03_逐品成本'!E6,1),10),2),"")</f>
        <v/>
      </c>
      <c r="M23" s="9">
        <f>IF(AND(N23="完整",ISNUMBER('03_逐品成本'!E6),'03_逐品成本'!E6&gt;0),ROUND(ROUND(IF(ISNUMBER(G23),G23,F23)*1*IF(E23="PHP",'03_逐品成本'!E6*0.95,1),10),2),"")</f>
        <v/>
      </c>
      <c r="N23" s="6" t="str">
        <f>IF(AND(ISNUMBER(F23),F23&gt;=0,OR(E23="PHP",E23="CNY"),OR(H23="已核实",H23="不适用"),I23&lt;&gt;"",J23&lt;&gt;"",ISNUMBER(K23),K23&gt;='00_审核入口'!$F$2,OR(H23&lt;&gt;"不适用",F23=0),OR(G23="",AND(ISNUMBER(G23),G23&gt;=0))),"完整","待补证")</f>
        <v>待补证</v>
      </c>
    </row>
    <row r="24" spans="1:14" ht="58" customHeight="1">
      <c r="A24" s="8" t="s">
        <v>63</v>
      </c>
      <c r="B24" s="8" t="s">
        <v>64</v>
      </c>
      <c r="C24" s="8" t="s">
        <v>509</v>
      </c>
      <c r="D24" s="8" t="s">
        <v>510</v>
      </c>
      <c r="E24" s="8"/>
      <c r="F24" s="8"/>
      <c r="G24" s="8"/>
      <c r="H24" s="8" t="s">
        <v>506</v>
      </c>
      <c r="I24" s="8"/>
      <c r="J24" s="8"/>
      <c r="L24" s="9">
        <f>IF(AND(N24="完整",ISNUMBER('03_逐品成本'!E6),'03_逐品成本'!E6&gt;0),ROUND(ROUND(F24*IF(E24="PHP",'03_逐品成本'!E6,1),10),2),"")</f>
        <v/>
      </c>
      <c r="M24" s="9">
        <f>IF(AND(N24="完整",ISNUMBER('03_逐品成本'!E6),'03_逐品成本'!E6&gt;0),ROUND(ROUND(IF(ISNUMBER(G24),G24,F24)*1*IF(E24="PHP",'03_逐品成本'!E6*0.95,1),10),2),"")</f>
        <v/>
      </c>
      <c r="N24" s="6" t="str">
        <f>IF(AND(ISNUMBER(F24),F24&gt;=0,OR(E24="PHP",E24="CNY"),OR(H24="已核实",H24="不适用"),I24&lt;&gt;"",J24&lt;&gt;"",ISNUMBER(K24),K24&gt;='00_审核入口'!$F$2,OR(H24&lt;&gt;"不适用",F24=0),OR(G24="",AND(ISNUMBER(G24),G24&gt;=0)),ISNUMBER(G24),G24&gt;=0),"完整","待补证")</f>
        <v>待补证</v>
      </c>
    </row>
    <row r="25" spans="1:14" ht="58" customHeight="1">
      <c r="A25" s="8" t="s">
        <v>63</v>
      </c>
      <c r="B25" s="8" t="s">
        <v>64</v>
      </c>
      <c r="C25" s="8" t="s">
        <v>511</v>
      </c>
      <c r="D25" s="8" t="s">
        <v>512</v>
      </c>
      <c r="E25" s="8"/>
      <c r="F25" s="8"/>
      <c r="G25" s="8"/>
      <c r="H25" s="8" t="s">
        <v>506</v>
      </c>
      <c r="I25" s="8"/>
      <c r="J25" s="8"/>
      <c r="L25" s="9">
        <f>IF(AND(N25="完整",ISNUMBER('03_逐品成本'!E6),'03_逐品成本'!E6&gt;0),ROUND(ROUND(F25*IF(E25="PHP",'03_逐品成本'!E6,1),10),2),"")</f>
        <v/>
      </c>
      <c r="M25" s="9">
        <f>IF(AND(N25="完整",ISNUMBER('03_逐品成本'!E6),'03_逐品成本'!E6&gt;0),ROUND(ROUND(IF(ISNUMBER(G25),G25,F25)*1*IF(E25="PHP",'03_逐品成本'!E6*0.95,1),10),2),"")</f>
        <v/>
      </c>
      <c r="N25" s="6" t="str">
        <f>IF(AND(ISNUMBER(F25),F25&gt;=0,OR(E25="PHP",E25="CNY"),OR(H25="已核实",H25="不适用"),I25&lt;&gt;"",J25&lt;&gt;"",ISNUMBER(K25),K25&gt;='00_审核入口'!$F$2,OR(H25&lt;&gt;"不适用",F25=0),OR(G25="",AND(ISNUMBER(G25),G25&gt;=0))),"完整","待补证")</f>
        <v>待补证</v>
      </c>
    </row>
    <row r="26" spans="1:14" ht="58" customHeight="1">
      <c r="A26" s="8" t="s">
        <v>63</v>
      </c>
      <c r="B26" s="8" t="s">
        <v>64</v>
      </c>
      <c r="C26" s="8" t="s">
        <v>513</v>
      </c>
      <c r="D26" s="8" t="s">
        <v>514</v>
      </c>
      <c r="E26" s="8"/>
      <c r="F26" s="8"/>
      <c r="G26" s="8"/>
      <c r="H26" s="8" t="s">
        <v>506</v>
      </c>
      <c r="I26" s="8"/>
      <c r="J26" s="8"/>
      <c r="L26" s="9">
        <f>IF(AND(N26="完整",ISNUMBER('03_逐品成本'!E6),'03_逐品成本'!E6&gt;0),ROUND(ROUND(F26*IF(E26="PHP",'03_逐品成本'!E6,1),10),2),"")</f>
        <v/>
      </c>
      <c r="M26" s="9">
        <f>IF(AND(N26="完整",ISNUMBER('03_逐品成本'!E6),'03_逐品成本'!E6&gt;0),ROUND(ROUND(IF(ISNUMBER(G26),G26,F26)*1*IF(E26="PHP",'03_逐品成本'!E6*0.95,1),10),2),"")</f>
        <v/>
      </c>
      <c r="N26" s="6" t="str">
        <f>IF(AND(ISNUMBER(F26),F26&gt;=0,OR(E26="PHP",E26="CNY"),OR(H26="已核实",H26="不适用"),I26&lt;&gt;"",J26&lt;&gt;"",ISNUMBER(K26),K26&gt;='00_审核入口'!$F$2,OR(H26&lt;&gt;"不适用",F26=0),OR(G26="",AND(ISNUMBER(G26),G26&gt;=0))),"完整","待补证")</f>
        <v>待补证</v>
      </c>
    </row>
    <row r="27" spans="1:14" ht="58" customHeight="1">
      <c r="A27" s="8" t="s">
        <v>63</v>
      </c>
      <c r="B27" s="8" t="s">
        <v>64</v>
      </c>
      <c r="C27" s="8" t="s">
        <v>515</v>
      </c>
      <c r="D27" s="8" t="s">
        <v>516</v>
      </c>
      <c r="E27" s="8"/>
      <c r="F27" s="8"/>
      <c r="G27" s="8"/>
      <c r="H27" s="8" t="s">
        <v>506</v>
      </c>
      <c r="I27" s="8"/>
      <c r="J27" s="8"/>
      <c r="L27" s="9">
        <f>IF(AND(N27="完整",ISNUMBER('03_逐品成本'!E6),'03_逐品成本'!E6&gt;0),ROUND(ROUND(F27*IF(E27="PHP",'03_逐品成本'!E6,1),10),2),"")</f>
        <v/>
      </c>
      <c r="M27" s="9">
        <f>IF(AND(N27="完整",ISNUMBER('03_逐品成本'!E6),'03_逐品成本'!E6&gt;0),ROUND(ROUND(IF(ISNUMBER(G27),G27,F27)*1*IF(E27="PHP",'03_逐品成本'!E6*0.95,1),10),2),"")</f>
        <v/>
      </c>
      <c r="N27" s="6" t="str">
        <f>IF(AND(ISNUMBER(F27),F27&gt;=0,OR(E27="PHP",E27="CNY"),OR(H27="已核实",H27="不适用"),I27&lt;&gt;"",J27&lt;&gt;"",ISNUMBER(K27),K27&gt;='00_审核入口'!$F$2,OR(H27&lt;&gt;"不适用",F27=0),OR(G27="",AND(ISNUMBER(G27),G27&gt;=0))),"完整","待补证")</f>
        <v>待补证</v>
      </c>
    </row>
    <row r="28" spans="1:14" ht="58" customHeight="1">
      <c r="A28" s="8" t="s">
        <v>63</v>
      </c>
      <c r="B28" s="8" t="s">
        <v>64</v>
      </c>
      <c r="C28" s="8" t="s">
        <v>517</v>
      </c>
      <c r="D28" s="8" t="s">
        <v>518</v>
      </c>
      <c r="E28" s="8"/>
      <c r="F28" s="8"/>
      <c r="G28" s="8"/>
      <c r="H28" s="8" t="s">
        <v>506</v>
      </c>
      <c r="I28" s="8"/>
      <c r="J28" s="8"/>
      <c r="L28" s="9">
        <f>IF(AND(N28="完整",ISNUMBER('03_逐品成本'!E6),'03_逐品成本'!E6&gt;0),ROUND(ROUND(F28*IF(E28="PHP",'03_逐品成本'!E6,1),10),2),"")</f>
        <v/>
      </c>
      <c r="M28" s="9">
        <f>IF(AND(N28="完整",ISNUMBER('03_逐品成本'!E6),'03_逐品成本'!E6&gt;0),ROUND(ROUND(IF(ISNUMBER(G28),G28,F28)*1*IF(E28="PHP",'03_逐品成本'!E6*0.95,1),10),2),"")</f>
        <v/>
      </c>
      <c r="N28" s="6" t="str">
        <f>IF(AND(ISNUMBER(F28),F28&gt;=0,OR(E28="PHP",E28="CNY"),OR(H28="已核实",H28="不适用"),I28&lt;&gt;"",J28&lt;&gt;"",ISNUMBER(K28),K28&gt;='00_审核入口'!$F$2,OR(H28&lt;&gt;"不适用",F28=0),OR(G28="",AND(ISNUMBER(G28),G28&gt;=0))),"完整","待补证")</f>
        <v>待补证</v>
      </c>
    </row>
    <row r="29" spans="1:14" ht="58" customHeight="1">
      <c r="A29" s="8" t="s">
        <v>63</v>
      </c>
      <c r="B29" s="8" t="s">
        <v>64</v>
      </c>
      <c r="C29" s="8" t="s">
        <v>519</v>
      </c>
      <c r="D29" s="8" t="s">
        <v>520</v>
      </c>
      <c r="E29" s="8"/>
      <c r="F29" s="8"/>
      <c r="G29" s="8"/>
      <c r="H29" s="8" t="s">
        <v>506</v>
      </c>
      <c r="I29" s="8"/>
      <c r="J29" s="8"/>
      <c r="L29" s="9">
        <f>IF(AND(N29="完整",ISNUMBER('03_逐品成本'!E6),'03_逐品成本'!E6&gt;0),ROUND(ROUND(F29*IF(E29="PHP",'03_逐品成本'!E6,1),10),2),"")</f>
        <v/>
      </c>
      <c r="M29" s="9">
        <f>IF(AND(N29="完整",ISNUMBER('03_逐品成本'!E6),'03_逐品成本'!E6&gt;0),ROUND(ROUND(IF(ISNUMBER(G29),G29,F29)*1*IF(E29="PHP",'03_逐品成本'!E6*0.95,1),10),2),"")</f>
        <v/>
      </c>
      <c r="N29" s="6" t="str">
        <f>IF(AND(ISNUMBER(F29),F29&gt;=0,OR(E29="PHP",E29="CNY"),OR(H29="已核实",H29="不适用"),I29&lt;&gt;"",J29&lt;&gt;"",ISNUMBER(K29),K29&gt;='00_审核入口'!$F$2,OR(H29&lt;&gt;"不适用",F29=0),OR(G29="",AND(ISNUMBER(G29),G29&gt;=0))),"完整","待补证")</f>
        <v>待补证</v>
      </c>
    </row>
    <row r="30" spans="1:14" ht="58" customHeight="1">
      <c r="A30" s="8" t="s">
        <v>63</v>
      </c>
      <c r="B30" s="8" t="s">
        <v>64</v>
      </c>
      <c r="C30" s="8" t="s">
        <v>521</v>
      </c>
      <c r="D30" s="8" t="s">
        <v>522</v>
      </c>
      <c r="E30" s="8"/>
      <c r="F30" s="8"/>
      <c r="G30" s="8"/>
      <c r="H30" s="8" t="s">
        <v>506</v>
      </c>
      <c r="I30" s="8"/>
      <c r="J30" s="8"/>
      <c r="L30" s="9">
        <f>IF(AND(N30="完整",ISNUMBER('03_逐品成本'!E6),'03_逐品成本'!E6&gt;0),ROUND(ROUND(F30*IF(E30="PHP",'03_逐品成本'!E6,1),10),2),"")</f>
        <v/>
      </c>
      <c r="M30" s="9">
        <f>IF(AND(N30="完整",ISNUMBER('03_逐品成本'!E6),'03_逐品成本'!E6&gt;0),ROUND(ROUND(IF(ISNUMBER(G30),G30,F30)*1*IF(E30="PHP",'03_逐品成本'!E6*0.95,1),10),2),"")</f>
        <v/>
      </c>
      <c r="N30" s="6" t="str">
        <f>IF(AND(ISNUMBER(F30),F30&gt;=0,OR(E30="PHP",E30="CNY"),OR(H30="已核实",H30="不适用"),I30&lt;&gt;"",J30&lt;&gt;"",ISNUMBER(K30),K30&gt;='00_审核入口'!$F$2,OR(H30&lt;&gt;"不适用",F30=0),OR(G30="",AND(ISNUMBER(G30),G30&gt;=0))),"完整","待补证")</f>
        <v>待补证</v>
      </c>
    </row>
    <row r="31" spans="1:14" ht="58" customHeight="1">
      <c r="A31" s="8" t="s">
        <v>63</v>
      </c>
      <c r="B31" s="8" t="s">
        <v>64</v>
      </c>
      <c r="C31" s="8" t="s">
        <v>523</v>
      </c>
      <c r="D31" s="8" t="s">
        <v>524</v>
      </c>
      <c r="E31" s="8"/>
      <c r="F31" s="8"/>
      <c r="G31" s="8"/>
      <c r="H31" s="8" t="s">
        <v>506</v>
      </c>
      <c r="I31" s="8"/>
      <c r="J31" s="8"/>
      <c r="L31" s="9">
        <f>IF(AND(N31="完整",ISNUMBER('03_逐品成本'!E6),'03_逐品成本'!E6&gt;0),ROUND(ROUND(F31*IF(E31="PHP",'03_逐品成本'!E6,1),10),2),"")</f>
        <v/>
      </c>
      <c r="M31" s="9">
        <f>IF(AND(N31="完整",ISNUMBER('03_逐品成本'!E6),'03_逐品成本'!E6&gt;0),ROUND(ROUND(IF(ISNUMBER(G31),G31,F31)*1.15*IF(E31="PHP",'03_逐品成本'!E6*0.95,1),10),2),"")</f>
        <v/>
      </c>
      <c r="N31" s="6" t="str">
        <f>IF(AND(ISNUMBER(F31),F31&gt;=0,OR(E31="PHP",E31="CNY"),OR(H31="已核实",H31="不适用"),I31&lt;&gt;"",J31&lt;&gt;"",ISNUMBER(K31),K31&gt;='00_审核入口'!$F$2,OR(H31&lt;&gt;"不适用",F31=0),OR(G31="",AND(ISNUMBER(G31),G31&gt;=0))),"完整","待补证")</f>
        <v>待补证</v>
      </c>
    </row>
    <row r="32" spans="1:14" ht="58" customHeight="1">
      <c r="A32" s="8" t="s">
        <v>63</v>
      </c>
      <c r="B32" s="8" t="s">
        <v>64</v>
      </c>
      <c r="C32" s="8" t="s">
        <v>525</v>
      </c>
      <c r="D32" s="8" t="s">
        <v>526</v>
      </c>
      <c r="E32" s="8"/>
      <c r="F32" s="8"/>
      <c r="G32" s="8"/>
      <c r="H32" s="8" t="s">
        <v>506</v>
      </c>
      <c r="I32" s="8"/>
      <c r="J32" s="8"/>
      <c r="L32" s="9">
        <f>IF(AND(N32="完整",ISNUMBER('03_逐品成本'!E6),'03_逐品成本'!E6&gt;0),ROUND(ROUND(F32*IF(E32="PHP",'03_逐品成本'!E6,1),10),2),"")</f>
        <v/>
      </c>
      <c r="M32" s="9">
        <f>IF(AND(N32="完整",ISNUMBER('03_逐品成本'!E6),'03_逐品成本'!E6&gt;0),ROUND(ROUND(IF(ISNUMBER(G32),G32,F32)*1.15*IF(E32="PHP",'03_逐品成本'!E6*0.95,1),10),2),"")</f>
        <v/>
      </c>
      <c r="N32" s="6" t="str">
        <f>IF(AND(ISNUMBER(F32),F32&gt;=0,OR(E32="PHP",E32="CNY"),OR(H32="已核实",H32="不适用"),I32&lt;&gt;"",J32&lt;&gt;"",ISNUMBER(K32),K32&gt;='00_审核入口'!$F$2,OR(H32&lt;&gt;"不适用",F32=0),OR(G32="",AND(ISNUMBER(G32),G32&gt;=0))),"完整","待补证")</f>
        <v>待补证</v>
      </c>
    </row>
    <row r="33" spans="1:14" ht="58" customHeight="1">
      <c r="A33" s="8" t="s">
        <v>63</v>
      </c>
      <c r="B33" s="8" t="s">
        <v>64</v>
      </c>
      <c r="C33" s="8" t="s">
        <v>527</v>
      </c>
      <c r="D33" s="8" t="s">
        <v>528</v>
      </c>
      <c r="E33" s="8"/>
      <c r="F33" s="8"/>
      <c r="G33" s="8"/>
      <c r="H33" s="8" t="s">
        <v>506</v>
      </c>
      <c r="I33" s="8"/>
      <c r="J33" s="8"/>
      <c r="L33" s="9">
        <f>IF(AND(N33="完整",ISNUMBER('03_逐品成本'!E6),'03_逐品成本'!E6&gt;0),ROUND(ROUND(F33*IF(E33="PHP",'03_逐品成本'!E6,1),10),2),"")</f>
        <v/>
      </c>
      <c r="M33" s="9">
        <f>IF(AND(N33="完整",ISNUMBER('03_逐品成本'!E6),'03_逐品成本'!E6&gt;0),ROUND(ROUND(IF(ISNUMBER(G33),G33,F33)*1.15*IF(E33="PHP",'03_逐品成本'!E6*0.95,1),10),2),"")</f>
        <v/>
      </c>
      <c r="N33" s="6" t="str">
        <f>IF(AND(ISNUMBER(F33),F33&gt;=0,OR(E33="PHP",E33="CNY"),OR(H33="已核实",H33="不适用"),I33&lt;&gt;"",J33&lt;&gt;"",ISNUMBER(K33),K33&gt;='00_审核入口'!$F$2,OR(H33&lt;&gt;"不适用",F33=0),OR(G33="",AND(ISNUMBER(G33),G33&gt;=0))),"完整","待补证")</f>
        <v>待补证</v>
      </c>
    </row>
    <row r="34" spans="1:14" ht="58" customHeight="1">
      <c r="A34" s="8" t="s">
        <v>63</v>
      </c>
      <c r="B34" s="8" t="s">
        <v>64</v>
      </c>
      <c r="C34" s="8" t="s">
        <v>529</v>
      </c>
      <c r="D34" s="8" t="s">
        <v>530</v>
      </c>
      <c r="E34" s="8"/>
      <c r="F34" s="8"/>
      <c r="G34" s="8"/>
      <c r="H34" s="8" t="s">
        <v>506</v>
      </c>
      <c r="I34" s="8"/>
      <c r="J34" s="8"/>
      <c r="L34" s="9">
        <f>IF(AND(N34="完整",ISNUMBER('03_逐品成本'!E6),'03_逐品成本'!E6&gt;0),ROUND(ROUND(F34*IF(E34="PHP",'03_逐品成本'!E6,1),10),2),"")</f>
        <v/>
      </c>
      <c r="M34" s="9">
        <f>IF(AND(N34="完整",ISNUMBER('03_逐品成本'!E6),'03_逐品成本'!E6&gt;0),ROUND(ROUND(IF(ISNUMBER(G34),G34,F34)*1*IF(E34="PHP",'03_逐品成本'!E6*0.95,1),10),2),"")</f>
        <v/>
      </c>
      <c r="N34" s="6" t="str">
        <f>IF(AND(ISNUMBER(F34),F34&gt;=0,OR(E34="PHP",E34="CNY"),OR(H34="已核实",H34="不适用",H34="预算"),I34&lt;&gt;"",J34&lt;&gt;"",ISNUMBER(K34),K34&gt;='00_审核入口'!$F$2,OR(H34&lt;&gt;"不适用",F34=0),OR(G34="",AND(ISNUMBER(G34),G34&gt;=0))),"完整","待补证")</f>
        <v>待补证</v>
      </c>
    </row>
    <row r="35" spans="1:14" ht="58" customHeight="1">
      <c r="A35" s="8" t="s">
        <v>63</v>
      </c>
      <c r="B35" s="8" t="s">
        <v>64</v>
      </c>
      <c r="C35" s="8" t="s">
        <v>531</v>
      </c>
      <c r="D35" s="8" t="s">
        <v>532</v>
      </c>
      <c r="E35" s="8"/>
      <c r="F35" s="8"/>
      <c r="G35" s="8"/>
      <c r="H35" s="8" t="s">
        <v>506</v>
      </c>
      <c r="I35" s="8"/>
      <c r="J35" s="8"/>
      <c r="L35" s="9">
        <f>IF(AND(N35="完整",ISNUMBER('03_逐品成本'!E6),'03_逐品成本'!E6&gt;0),ROUND(ROUND(F35*IF(E35="PHP",'03_逐品成本'!E6,1),10),2),"")</f>
        <v/>
      </c>
      <c r="M35" s="9">
        <f>IF(AND(N35="完整",ISNUMBER('03_逐品成本'!E6),'03_逐品成本'!E6&gt;0),ROUND(ROUND(IF(ISNUMBER(G35),G35,F35)*1*IF(E35="PHP",'03_逐品成本'!E6*0.95,1),10),2),"")</f>
        <v/>
      </c>
      <c r="N35" s="6" t="str">
        <f>IF(AND(ISNUMBER(F35),F35&gt;=0,OR(E35="PHP",E35="CNY"),OR(H35="已核实",H35="不适用",H35="预算"),I35&lt;&gt;"",J35&lt;&gt;"",ISNUMBER(K35),K35&gt;='00_审核入口'!$F$2,OR(H35&lt;&gt;"不适用",F35=0),OR(G35="",AND(ISNUMBER(G35),G35&gt;=0))),"完整","待补证")</f>
        <v>待补证</v>
      </c>
    </row>
    <row r="36" spans="1:14" ht="58" customHeight="1">
      <c r="A36" s="8" t="s">
        <v>63</v>
      </c>
      <c r="B36" s="8" t="s">
        <v>64</v>
      </c>
      <c r="C36" s="8" t="s">
        <v>533</v>
      </c>
      <c r="D36" s="8" t="s">
        <v>534</v>
      </c>
      <c r="E36" s="8"/>
      <c r="F36" s="8"/>
      <c r="G36" s="8"/>
      <c r="H36" s="8" t="s">
        <v>506</v>
      </c>
      <c r="I36" s="8"/>
      <c r="J36" s="8"/>
      <c r="L36" s="9">
        <f>IF(AND(N36="完整",ISNUMBER('03_逐品成本'!E6),'03_逐品成本'!E6&gt;0),ROUND(ROUND(F36*IF(E36="PHP",'03_逐品成本'!E6,1),10),2),"")</f>
        <v/>
      </c>
      <c r="M36" s="9">
        <f>IF(AND(N36="完整",ISNUMBER('03_逐品成本'!E6),'03_逐品成本'!E6&gt;0),ROUND(ROUND(IF(ISNUMBER(G36),G36,F36)*1*IF(E36="PHP",'03_逐品成本'!E6*0.95,1),10),2),"")</f>
        <v/>
      </c>
      <c r="N36" s="6" t="str">
        <f>IF(AND(ISNUMBER(F36),F36&gt;=0,OR(E36="PHP",E36="CNY"),OR(H36="已核实",H36="不适用",H36="预算"),I36&lt;&gt;"",J36&lt;&gt;"",ISNUMBER(K36),K36&gt;='00_审核入口'!$F$2,OR(H36&lt;&gt;"不适用",F36=0),OR(G36="",AND(ISNUMBER(G36),G36&gt;=0))),"完整","待补证")</f>
        <v>待补证</v>
      </c>
    </row>
    <row r="37" spans="1:14" ht="58" customHeight="1">
      <c r="A37" s="8" t="s">
        <v>63</v>
      </c>
      <c r="B37" s="8" t="s">
        <v>64</v>
      </c>
      <c r="C37" s="8" t="s">
        <v>535</v>
      </c>
      <c r="D37" s="8" t="s">
        <v>536</v>
      </c>
      <c r="E37" s="8"/>
      <c r="F37" s="8"/>
      <c r="G37" s="8"/>
      <c r="H37" s="8" t="s">
        <v>506</v>
      </c>
      <c r="I37" s="8"/>
      <c r="J37" s="8"/>
      <c r="L37" s="9">
        <f>IF(AND(N37="完整",ISNUMBER('03_逐品成本'!E6),'03_逐品成本'!E6&gt;0),ROUND(ROUND(F37*IF(E37="PHP",'03_逐品成本'!E6,1),10),2),"")</f>
        <v/>
      </c>
      <c r="M37" s="9">
        <f>IF(AND(N37="完整",ISNUMBER('03_逐品成本'!E6),'03_逐品成本'!E6&gt;0),ROUND(ROUND(IF(ISNUMBER(G37),G37,F37)*1*IF(E37="PHP",'03_逐品成本'!E6*0.95,1),10),2),"")</f>
        <v/>
      </c>
      <c r="N37" s="6" t="str">
        <f>IF(AND(ISNUMBER(F37),F37&gt;=0,OR(E37="PHP",E37="CNY"),OR(H37="已核实",H37="不适用"),I37&lt;&gt;"",J37&lt;&gt;"",ISNUMBER(K37),K37&gt;='00_审核入口'!$F$2,OR(H37&lt;&gt;"不适用",F37=0),OR(G37="",AND(ISNUMBER(G37),G37&gt;=0))),"完整","待补证")</f>
        <v>待补证</v>
      </c>
    </row>
    <row r="38" spans="1:14" ht="58" customHeight="1">
      <c r="A38" s="8" t="s">
        <v>63</v>
      </c>
      <c r="B38" s="8" t="s">
        <v>64</v>
      </c>
      <c r="C38" s="8" t="s">
        <v>537</v>
      </c>
      <c r="D38" s="8" t="s">
        <v>538</v>
      </c>
      <c r="E38" s="8"/>
      <c r="F38" s="8"/>
      <c r="G38" s="8"/>
      <c r="H38" s="8" t="s">
        <v>506</v>
      </c>
      <c r="I38" s="8"/>
      <c r="J38" s="8"/>
      <c r="L38" s="9">
        <f>IF(AND(N38="完整",ISNUMBER('03_逐品成本'!E6),'03_逐品成本'!E6&gt;0),ROUND(ROUND(F38*IF(E38="PHP",'03_逐品成本'!E6,1),10),2),"")</f>
        <v/>
      </c>
      <c r="M38" s="9">
        <f>IF(AND(N38="完整",ISNUMBER('03_逐品成本'!E6),'03_逐品成本'!E6&gt;0),ROUND(ROUND(IF(ISNUMBER(G38),G38,F38)*1*IF(E38="PHP",'03_逐品成本'!E6*0.95,1),10),2),"")</f>
        <v/>
      </c>
      <c r="N38" s="6" t="str">
        <f>IF(AND(ISNUMBER(F38),F38&gt;=0,OR(E38="PHP",E38="CNY"),OR(H38="已核实",H38="不适用"),I38&lt;&gt;"",J38&lt;&gt;"",ISNUMBER(K38),K38&gt;='00_审核入口'!$F$2,OR(H38&lt;&gt;"不适用",F38=0),OR(G38="",AND(ISNUMBER(G38),G38&gt;=0))),"完整","待补证")</f>
        <v>待补证</v>
      </c>
    </row>
    <row r="39" spans="1:14" ht="58" customHeight="1">
      <c r="A39" s="8" t="s">
        <v>63</v>
      </c>
      <c r="B39" s="8" t="s">
        <v>64</v>
      </c>
      <c r="C39" s="8" t="s">
        <v>539</v>
      </c>
      <c r="D39" s="8" t="s">
        <v>540</v>
      </c>
      <c r="E39" s="8"/>
      <c r="F39" s="8"/>
      <c r="G39" s="8"/>
      <c r="H39" s="8" t="s">
        <v>506</v>
      </c>
      <c r="I39" s="8"/>
      <c r="J39" s="8"/>
      <c r="L39" s="9">
        <f>IF(AND(N39="完整",ISNUMBER('03_逐品成本'!E6),'03_逐品成本'!E6&gt;0),ROUND(ROUND(F39*IF(E39="PHP",'03_逐品成本'!E6,1),10),2),"")</f>
        <v/>
      </c>
      <c r="M39" s="9">
        <f>IF(AND(N39="完整",ISNUMBER('03_逐品成本'!E6),'03_逐品成本'!E6&gt;0),ROUND(ROUND(IF(ISNUMBER(G39),G39,F39)*1*IF(E39="PHP",'03_逐品成本'!E6*0.95,1),10),2),"")</f>
        <v/>
      </c>
      <c r="N39" s="6" t="str">
        <f>IF(AND(ISNUMBER(F39),F39&gt;=0,OR(E39="PHP",E39="CNY"),OR(H39="已核实",H39="不适用",H39="预算"),I39&lt;&gt;"",J39&lt;&gt;"",ISNUMBER(K39),K39&gt;='00_审核入口'!$F$2,OR(H39&lt;&gt;"不适用",F39=0),OR(G39="",AND(ISNUMBER(G39),G39&gt;=0))),"完整","待补证")</f>
        <v>待补证</v>
      </c>
    </row>
    <row r="40" spans="1:14" ht="58" customHeight="1">
      <c r="A40" s="8" t="s">
        <v>63</v>
      </c>
      <c r="B40" s="8" t="s">
        <v>64</v>
      </c>
      <c r="C40" s="8" t="s">
        <v>541</v>
      </c>
      <c r="D40" s="8" t="s">
        <v>542</v>
      </c>
      <c r="E40" s="8"/>
      <c r="F40" s="8"/>
      <c r="G40" s="8"/>
      <c r="H40" s="8" t="s">
        <v>506</v>
      </c>
      <c r="I40" s="8"/>
      <c r="J40" s="8"/>
      <c r="L40" s="9">
        <f>IF(AND(N40="完整",ISNUMBER('03_逐品成本'!E6),'03_逐品成本'!E6&gt;0),ROUND(ROUND(F40*IF(E40="PHP",'03_逐品成本'!E6,1),10),2),"")</f>
        <v/>
      </c>
      <c r="M40" s="9">
        <f>IF(AND(N40="完整",ISNUMBER('03_逐品成本'!E6),'03_逐品成本'!E6&gt;0),ROUND(ROUND(IF(ISNUMBER(G40),G40,F40)*1*IF(E40="PHP",'03_逐品成本'!E6*0.95,1),10),2),"")</f>
        <v/>
      </c>
      <c r="N40" s="6" t="str">
        <f>IF(AND(ISNUMBER(F40),F40&gt;=0,OR(E40="PHP",E40="CNY"),OR(H40="已核实",H40="不适用",H40="预算"),I40&lt;&gt;"",J40&lt;&gt;"",ISNUMBER(K40),K40&gt;='00_审核入口'!$F$2,OR(H40&lt;&gt;"不适用",F40=0),OR(G40="",AND(ISNUMBER(G40),G40&gt;=0))),"完整","待补证")</f>
        <v>待补证</v>
      </c>
    </row>
    <row r="41" spans="1:14" ht="58" customHeight="1">
      <c r="A41" s="8" t="s">
        <v>72</v>
      </c>
      <c r="B41" s="8" t="s">
        <v>73</v>
      </c>
      <c r="C41" s="8" t="s">
        <v>507</v>
      </c>
      <c r="D41" s="8" t="s">
        <v>508</v>
      </c>
      <c r="E41" s="8"/>
      <c r="F41" s="8"/>
      <c r="G41" s="8"/>
      <c r="H41" s="8" t="s">
        <v>506</v>
      </c>
      <c r="I41" s="8"/>
      <c r="J41" s="8"/>
      <c r="L41" s="9">
        <f>IF(AND(N41="完整",ISNUMBER('03_逐品成本'!E7),'03_逐品成本'!E7&gt;0),ROUND(ROUND(F41*IF(E41="PHP",'03_逐品成本'!E7,1),10),2),"")</f>
        <v/>
      </c>
      <c r="M41" s="9">
        <f>IF(AND(N41="完整",ISNUMBER('03_逐品成本'!E7),'03_逐品成本'!E7&gt;0),ROUND(ROUND(IF(ISNUMBER(G41),G41,F41)*1*IF(E41="PHP",'03_逐品成本'!E7*0.95,1),10),2),"")</f>
        <v/>
      </c>
      <c r="N41" s="6" t="str">
        <f>IF(AND(ISNUMBER(F41),F41&gt;=0,OR(E41="PHP",E41="CNY"),OR(H41="已核实",H41="不适用"),I41&lt;&gt;"",J41&lt;&gt;"",ISNUMBER(K41),K41&gt;='00_审核入口'!$F$2,OR(H41&lt;&gt;"不适用",F41=0),OR(G41="",AND(ISNUMBER(G41),G41&gt;=0))),"完整","待补证")</f>
        <v>待补证</v>
      </c>
    </row>
    <row r="42" spans="1:14" ht="58" customHeight="1">
      <c r="A42" s="8" t="s">
        <v>72</v>
      </c>
      <c r="B42" s="8" t="s">
        <v>73</v>
      </c>
      <c r="C42" s="8" t="s">
        <v>509</v>
      </c>
      <c r="D42" s="8" t="s">
        <v>510</v>
      </c>
      <c r="E42" s="8"/>
      <c r="F42" s="8"/>
      <c r="G42" s="8"/>
      <c r="H42" s="8" t="s">
        <v>506</v>
      </c>
      <c r="I42" s="8"/>
      <c r="J42" s="8"/>
      <c r="L42" s="9">
        <f>IF(AND(N42="完整",ISNUMBER('03_逐品成本'!E7),'03_逐品成本'!E7&gt;0),ROUND(ROUND(F42*IF(E42="PHP",'03_逐品成本'!E7,1),10),2),"")</f>
        <v/>
      </c>
      <c r="M42" s="9">
        <f>IF(AND(N42="完整",ISNUMBER('03_逐品成本'!E7),'03_逐品成本'!E7&gt;0),ROUND(ROUND(IF(ISNUMBER(G42),G42,F42)*1*IF(E42="PHP",'03_逐品成本'!E7*0.95,1),10),2),"")</f>
        <v/>
      </c>
      <c r="N42" s="6" t="str">
        <f>IF(AND(ISNUMBER(F42),F42&gt;=0,OR(E42="PHP",E42="CNY"),OR(H42="已核实",H42="不适用"),I42&lt;&gt;"",J42&lt;&gt;"",ISNUMBER(K42),K42&gt;='00_审核入口'!$F$2,OR(H42&lt;&gt;"不适用",F42=0),OR(G42="",AND(ISNUMBER(G42),G42&gt;=0)),ISNUMBER(G42),G42&gt;=0),"完整","待补证")</f>
        <v>待补证</v>
      </c>
    </row>
    <row r="43" spans="1:14" ht="58" customHeight="1">
      <c r="A43" s="8" t="s">
        <v>72</v>
      </c>
      <c r="B43" s="8" t="s">
        <v>73</v>
      </c>
      <c r="C43" s="8" t="s">
        <v>511</v>
      </c>
      <c r="D43" s="8" t="s">
        <v>512</v>
      </c>
      <c r="E43" s="8"/>
      <c r="F43" s="8"/>
      <c r="G43" s="8"/>
      <c r="H43" s="8" t="s">
        <v>506</v>
      </c>
      <c r="I43" s="8"/>
      <c r="J43" s="8"/>
      <c r="L43" s="9">
        <f>IF(AND(N43="完整",ISNUMBER('03_逐品成本'!E7),'03_逐品成本'!E7&gt;0),ROUND(ROUND(F43*IF(E43="PHP",'03_逐品成本'!E7,1),10),2),"")</f>
        <v/>
      </c>
      <c r="M43" s="9">
        <f>IF(AND(N43="完整",ISNUMBER('03_逐品成本'!E7),'03_逐品成本'!E7&gt;0),ROUND(ROUND(IF(ISNUMBER(G43),G43,F43)*1*IF(E43="PHP",'03_逐品成本'!E7*0.95,1),10),2),"")</f>
        <v/>
      </c>
      <c r="N43" s="6" t="str">
        <f>IF(AND(ISNUMBER(F43),F43&gt;=0,OR(E43="PHP",E43="CNY"),OR(H43="已核实",H43="不适用"),I43&lt;&gt;"",J43&lt;&gt;"",ISNUMBER(K43),K43&gt;='00_审核入口'!$F$2,OR(H43&lt;&gt;"不适用",F43=0),OR(G43="",AND(ISNUMBER(G43),G43&gt;=0))),"完整","待补证")</f>
        <v>待补证</v>
      </c>
    </row>
    <row r="44" spans="1:14" ht="58" customHeight="1">
      <c r="A44" s="8" t="s">
        <v>72</v>
      </c>
      <c r="B44" s="8" t="s">
        <v>73</v>
      </c>
      <c r="C44" s="8" t="s">
        <v>513</v>
      </c>
      <c r="D44" s="8" t="s">
        <v>514</v>
      </c>
      <c r="E44" s="8"/>
      <c r="F44" s="8"/>
      <c r="G44" s="8"/>
      <c r="H44" s="8" t="s">
        <v>506</v>
      </c>
      <c r="I44" s="8"/>
      <c r="J44" s="8"/>
      <c r="L44" s="9">
        <f>IF(AND(N44="完整",ISNUMBER('03_逐品成本'!E7),'03_逐品成本'!E7&gt;0),ROUND(ROUND(F44*IF(E44="PHP",'03_逐品成本'!E7,1),10),2),"")</f>
        <v/>
      </c>
      <c r="M44" s="9">
        <f>IF(AND(N44="完整",ISNUMBER('03_逐品成本'!E7),'03_逐品成本'!E7&gt;0),ROUND(ROUND(IF(ISNUMBER(G44),G44,F44)*1*IF(E44="PHP",'03_逐品成本'!E7*0.95,1),10),2),"")</f>
        <v/>
      </c>
      <c r="N44" s="6" t="str">
        <f>IF(AND(ISNUMBER(F44),F44&gt;=0,OR(E44="PHP",E44="CNY"),OR(H44="已核实",H44="不适用"),I44&lt;&gt;"",J44&lt;&gt;"",ISNUMBER(K44),K44&gt;='00_审核入口'!$F$2,OR(H44&lt;&gt;"不适用",F44=0),OR(G44="",AND(ISNUMBER(G44),G44&gt;=0))),"完整","待补证")</f>
        <v>待补证</v>
      </c>
    </row>
    <row r="45" spans="1:14" ht="58" customHeight="1">
      <c r="A45" s="8" t="s">
        <v>72</v>
      </c>
      <c r="B45" s="8" t="s">
        <v>73</v>
      </c>
      <c r="C45" s="8" t="s">
        <v>515</v>
      </c>
      <c r="D45" s="8" t="s">
        <v>516</v>
      </c>
      <c r="E45" s="8"/>
      <c r="F45" s="8"/>
      <c r="G45" s="8"/>
      <c r="H45" s="8" t="s">
        <v>506</v>
      </c>
      <c r="I45" s="8"/>
      <c r="J45" s="8"/>
      <c r="L45" s="9">
        <f>IF(AND(N45="完整",ISNUMBER('03_逐品成本'!E7),'03_逐品成本'!E7&gt;0),ROUND(ROUND(F45*IF(E45="PHP",'03_逐品成本'!E7,1),10),2),"")</f>
        <v/>
      </c>
      <c r="M45" s="9">
        <f>IF(AND(N45="完整",ISNUMBER('03_逐品成本'!E7),'03_逐品成本'!E7&gt;0),ROUND(ROUND(IF(ISNUMBER(G45),G45,F45)*1*IF(E45="PHP",'03_逐品成本'!E7*0.95,1),10),2),"")</f>
        <v/>
      </c>
      <c r="N45" s="6" t="str">
        <f>IF(AND(ISNUMBER(F45),F45&gt;=0,OR(E45="PHP",E45="CNY"),OR(H45="已核实",H45="不适用"),I45&lt;&gt;"",J45&lt;&gt;"",ISNUMBER(K45),K45&gt;='00_审核入口'!$F$2,OR(H45&lt;&gt;"不适用",F45=0),OR(G45="",AND(ISNUMBER(G45),G45&gt;=0))),"完整","待补证")</f>
        <v>待补证</v>
      </c>
    </row>
    <row r="46" spans="1:14" ht="58" customHeight="1">
      <c r="A46" s="8" t="s">
        <v>72</v>
      </c>
      <c r="B46" s="8" t="s">
        <v>73</v>
      </c>
      <c r="C46" s="8" t="s">
        <v>517</v>
      </c>
      <c r="D46" s="8" t="s">
        <v>518</v>
      </c>
      <c r="E46" s="8"/>
      <c r="F46" s="8"/>
      <c r="G46" s="8"/>
      <c r="H46" s="8" t="s">
        <v>506</v>
      </c>
      <c r="I46" s="8"/>
      <c r="J46" s="8"/>
      <c r="L46" s="9">
        <f>IF(AND(N46="完整",ISNUMBER('03_逐品成本'!E7),'03_逐品成本'!E7&gt;0),ROUND(ROUND(F46*IF(E46="PHP",'03_逐品成本'!E7,1),10),2),"")</f>
        <v/>
      </c>
      <c r="M46" s="9">
        <f>IF(AND(N46="完整",ISNUMBER('03_逐品成本'!E7),'03_逐品成本'!E7&gt;0),ROUND(ROUND(IF(ISNUMBER(G46),G46,F46)*1*IF(E46="PHP",'03_逐品成本'!E7*0.95,1),10),2),"")</f>
        <v/>
      </c>
      <c r="N46" s="6" t="str">
        <f>IF(AND(ISNUMBER(F46),F46&gt;=0,OR(E46="PHP",E46="CNY"),OR(H46="已核实",H46="不适用"),I46&lt;&gt;"",J46&lt;&gt;"",ISNUMBER(K46),K46&gt;='00_审核入口'!$F$2,OR(H46&lt;&gt;"不适用",F46=0),OR(G46="",AND(ISNUMBER(G46),G46&gt;=0))),"完整","待补证")</f>
        <v>待补证</v>
      </c>
    </row>
    <row r="47" spans="1:14" ht="58" customHeight="1">
      <c r="A47" s="8" t="s">
        <v>72</v>
      </c>
      <c r="B47" s="8" t="s">
        <v>73</v>
      </c>
      <c r="C47" s="8" t="s">
        <v>519</v>
      </c>
      <c r="D47" s="8" t="s">
        <v>520</v>
      </c>
      <c r="E47" s="8"/>
      <c r="F47" s="8"/>
      <c r="G47" s="8"/>
      <c r="H47" s="8" t="s">
        <v>506</v>
      </c>
      <c r="I47" s="8"/>
      <c r="J47" s="8"/>
      <c r="L47" s="9">
        <f>IF(AND(N47="完整",ISNUMBER('03_逐品成本'!E7),'03_逐品成本'!E7&gt;0),ROUND(ROUND(F47*IF(E47="PHP",'03_逐品成本'!E7,1),10),2),"")</f>
        <v/>
      </c>
      <c r="M47" s="9">
        <f>IF(AND(N47="完整",ISNUMBER('03_逐品成本'!E7),'03_逐品成本'!E7&gt;0),ROUND(ROUND(IF(ISNUMBER(G47),G47,F47)*1*IF(E47="PHP",'03_逐品成本'!E7*0.95,1),10),2),"")</f>
        <v/>
      </c>
      <c r="N47" s="6" t="str">
        <f>IF(AND(ISNUMBER(F47),F47&gt;=0,OR(E47="PHP",E47="CNY"),OR(H47="已核实",H47="不适用"),I47&lt;&gt;"",J47&lt;&gt;"",ISNUMBER(K47),K47&gt;='00_审核入口'!$F$2,OR(H47&lt;&gt;"不适用",F47=0),OR(G47="",AND(ISNUMBER(G47),G47&gt;=0))),"完整","待补证")</f>
        <v>待补证</v>
      </c>
    </row>
    <row r="48" spans="1:14" ht="58" customHeight="1">
      <c r="A48" s="8" t="s">
        <v>72</v>
      </c>
      <c r="B48" s="8" t="s">
        <v>73</v>
      </c>
      <c r="C48" s="8" t="s">
        <v>521</v>
      </c>
      <c r="D48" s="8" t="s">
        <v>522</v>
      </c>
      <c r="E48" s="8"/>
      <c r="F48" s="8"/>
      <c r="G48" s="8"/>
      <c r="H48" s="8" t="s">
        <v>506</v>
      </c>
      <c r="I48" s="8"/>
      <c r="J48" s="8"/>
      <c r="L48" s="9">
        <f>IF(AND(N48="完整",ISNUMBER('03_逐品成本'!E7),'03_逐品成本'!E7&gt;0),ROUND(ROUND(F48*IF(E48="PHP",'03_逐品成本'!E7,1),10),2),"")</f>
        <v/>
      </c>
      <c r="M48" s="9">
        <f>IF(AND(N48="完整",ISNUMBER('03_逐品成本'!E7),'03_逐品成本'!E7&gt;0),ROUND(ROUND(IF(ISNUMBER(G48),G48,F48)*1*IF(E48="PHP",'03_逐品成本'!E7*0.95,1),10),2),"")</f>
        <v/>
      </c>
      <c r="N48" s="6" t="str">
        <f>IF(AND(ISNUMBER(F48),F48&gt;=0,OR(E48="PHP",E48="CNY"),OR(H48="已核实",H48="不适用"),I48&lt;&gt;"",J48&lt;&gt;"",ISNUMBER(K48),K48&gt;='00_审核入口'!$F$2,OR(H48&lt;&gt;"不适用",F48=0),OR(G48="",AND(ISNUMBER(G48),G48&gt;=0))),"完整","待补证")</f>
        <v>待补证</v>
      </c>
    </row>
    <row r="49" spans="1:14" ht="58" customHeight="1">
      <c r="A49" s="8" t="s">
        <v>72</v>
      </c>
      <c r="B49" s="8" t="s">
        <v>73</v>
      </c>
      <c r="C49" s="8" t="s">
        <v>523</v>
      </c>
      <c r="D49" s="8" t="s">
        <v>524</v>
      </c>
      <c r="E49" s="8"/>
      <c r="F49" s="8"/>
      <c r="G49" s="8"/>
      <c r="H49" s="8" t="s">
        <v>506</v>
      </c>
      <c r="I49" s="8"/>
      <c r="J49" s="8"/>
      <c r="L49" s="9">
        <f>IF(AND(N49="完整",ISNUMBER('03_逐品成本'!E7),'03_逐品成本'!E7&gt;0),ROUND(ROUND(F49*IF(E49="PHP",'03_逐品成本'!E7,1),10),2),"")</f>
        <v/>
      </c>
      <c r="M49" s="9">
        <f>IF(AND(N49="完整",ISNUMBER('03_逐品成本'!E7),'03_逐品成本'!E7&gt;0),ROUND(ROUND(IF(ISNUMBER(G49),G49,F49)*1.15*IF(E49="PHP",'03_逐品成本'!E7*0.95,1),10),2),"")</f>
        <v/>
      </c>
      <c r="N49" s="6" t="str">
        <f>IF(AND(ISNUMBER(F49),F49&gt;=0,OR(E49="PHP",E49="CNY"),OR(H49="已核实",H49="不适用"),I49&lt;&gt;"",J49&lt;&gt;"",ISNUMBER(K49),K49&gt;='00_审核入口'!$F$2,OR(H49&lt;&gt;"不适用",F49=0),OR(G49="",AND(ISNUMBER(G49),G49&gt;=0))),"完整","待补证")</f>
        <v>待补证</v>
      </c>
    </row>
    <row r="50" spans="1:14" ht="58" customHeight="1">
      <c r="A50" s="8" t="s">
        <v>72</v>
      </c>
      <c r="B50" s="8" t="s">
        <v>73</v>
      </c>
      <c r="C50" s="8" t="s">
        <v>525</v>
      </c>
      <c r="D50" s="8" t="s">
        <v>526</v>
      </c>
      <c r="E50" s="8"/>
      <c r="F50" s="8"/>
      <c r="G50" s="8"/>
      <c r="H50" s="8" t="s">
        <v>506</v>
      </c>
      <c r="I50" s="8"/>
      <c r="J50" s="8"/>
      <c r="L50" s="9">
        <f>IF(AND(N50="完整",ISNUMBER('03_逐品成本'!E7),'03_逐品成本'!E7&gt;0),ROUND(ROUND(F50*IF(E50="PHP",'03_逐品成本'!E7,1),10),2),"")</f>
        <v/>
      </c>
      <c r="M50" s="9">
        <f>IF(AND(N50="完整",ISNUMBER('03_逐品成本'!E7),'03_逐品成本'!E7&gt;0),ROUND(ROUND(IF(ISNUMBER(G50),G50,F50)*1.15*IF(E50="PHP",'03_逐品成本'!E7*0.95,1),10),2),"")</f>
        <v/>
      </c>
      <c r="N50" s="6" t="str">
        <f>IF(AND(ISNUMBER(F50),F50&gt;=0,OR(E50="PHP",E50="CNY"),OR(H50="已核实",H50="不适用"),I50&lt;&gt;"",J50&lt;&gt;"",ISNUMBER(K50),K50&gt;='00_审核入口'!$F$2,OR(H50&lt;&gt;"不适用",F50=0),OR(G50="",AND(ISNUMBER(G50),G50&gt;=0))),"完整","待补证")</f>
        <v>待补证</v>
      </c>
    </row>
    <row r="51" spans="1:14" ht="58" customHeight="1">
      <c r="A51" s="8" t="s">
        <v>72</v>
      </c>
      <c r="B51" s="8" t="s">
        <v>73</v>
      </c>
      <c r="C51" s="8" t="s">
        <v>527</v>
      </c>
      <c r="D51" s="8" t="s">
        <v>528</v>
      </c>
      <c r="E51" s="8"/>
      <c r="F51" s="8"/>
      <c r="G51" s="8"/>
      <c r="H51" s="8" t="s">
        <v>506</v>
      </c>
      <c r="I51" s="8"/>
      <c r="J51" s="8"/>
      <c r="L51" s="9">
        <f>IF(AND(N51="完整",ISNUMBER('03_逐品成本'!E7),'03_逐品成本'!E7&gt;0),ROUND(ROUND(F51*IF(E51="PHP",'03_逐品成本'!E7,1),10),2),"")</f>
        <v/>
      </c>
      <c r="M51" s="9">
        <f>IF(AND(N51="完整",ISNUMBER('03_逐品成本'!E7),'03_逐品成本'!E7&gt;0),ROUND(ROUND(IF(ISNUMBER(G51),G51,F51)*1.15*IF(E51="PHP",'03_逐品成本'!E7*0.95,1),10),2),"")</f>
        <v/>
      </c>
      <c r="N51" s="6" t="str">
        <f>IF(AND(ISNUMBER(F51),F51&gt;=0,OR(E51="PHP",E51="CNY"),OR(H51="已核实",H51="不适用"),I51&lt;&gt;"",J51&lt;&gt;"",ISNUMBER(K51),K51&gt;='00_审核入口'!$F$2,OR(H51&lt;&gt;"不适用",F51=0),OR(G51="",AND(ISNUMBER(G51),G51&gt;=0))),"完整","待补证")</f>
        <v>待补证</v>
      </c>
    </row>
    <row r="52" spans="1:14" ht="58" customHeight="1">
      <c r="A52" s="8" t="s">
        <v>72</v>
      </c>
      <c r="B52" s="8" t="s">
        <v>73</v>
      </c>
      <c r="C52" s="8" t="s">
        <v>529</v>
      </c>
      <c r="D52" s="8" t="s">
        <v>530</v>
      </c>
      <c r="E52" s="8"/>
      <c r="F52" s="8"/>
      <c r="G52" s="8"/>
      <c r="H52" s="8" t="s">
        <v>506</v>
      </c>
      <c r="I52" s="8"/>
      <c r="J52" s="8"/>
      <c r="L52" s="9">
        <f>IF(AND(N52="完整",ISNUMBER('03_逐品成本'!E7),'03_逐品成本'!E7&gt;0),ROUND(ROUND(F52*IF(E52="PHP",'03_逐品成本'!E7,1),10),2),"")</f>
        <v/>
      </c>
      <c r="M52" s="9">
        <f>IF(AND(N52="完整",ISNUMBER('03_逐品成本'!E7),'03_逐品成本'!E7&gt;0),ROUND(ROUND(IF(ISNUMBER(G52),G52,F52)*1*IF(E52="PHP",'03_逐品成本'!E7*0.95,1),10),2),"")</f>
        <v/>
      </c>
      <c r="N52" s="6" t="str">
        <f>IF(AND(ISNUMBER(F52),F52&gt;=0,OR(E52="PHP",E52="CNY"),OR(H52="已核实",H52="不适用",H52="预算"),I52&lt;&gt;"",J52&lt;&gt;"",ISNUMBER(K52),K52&gt;='00_审核入口'!$F$2,OR(H52&lt;&gt;"不适用",F52=0),OR(G52="",AND(ISNUMBER(G52),G52&gt;=0))),"完整","待补证")</f>
        <v>待补证</v>
      </c>
    </row>
    <row r="53" spans="1:14" ht="58" customHeight="1">
      <c r="A53" s="8" t="s">
        <v>72</v>
      </c>
      <c r="B53" s="8" t="s">
        <v>73</v>
      </c>
      <c r="C53" s="8" t="s">
        <v>531</v>
      </c>
      <c r="D53" s="8" t="s">
        <v>532</v>
      </c>
      <c r="E53" s="8"/>
      <c r="F53" s="8"/>
      <c r="G53" s="8"/>
      <c r="H53" s="8" t="s">
        <v>506</v>
      </c>
      <c r="I53" s="8"/>
      <c r="J53" s="8"/>
      <c r="L53" s="9">
        <f>IF(AND(N53="完整",ISNUMBER('03_逐品成本'!E7),'03_逐品成本'!E7&gt;0),ROUND(ROUND(F53*IF(E53="PHP",'03_逐品成本'!E7,1),10),2),"")</f>
        <v/>
      </c>
      <c r="M53" s="9">
        <f>IF(AND(N53="完整",ISNUMBER('03_逐品成本'!E7),'03_逐品成本'!E7&gt;0),ROUND(ROUND(IF(ISNUMBER(G53),G53,F53)*1*IF(E53="PHP",'03_逐品成本'!E7*0.95,1),10),2),"")</f>
        <v/>
      </c>
      <c r="N53" s="6" t="str">
        <f>IF(AND(ISNUMBER(F53),F53&gt;=0,OR(E53="PHP",E53="CNY"),OR(H53="已核实",H53="不适用",H53="预算"),I53&lt;&gt;"",J53&lt;&gt;"",ISNUMBER(K53),K53&gt;='00_审核入口'!$F$2,OR(H53&lt;&gt;"不适用",F53=0),OR(G53="",AND(ISNUMBER(G53),G53&gt;=0))),"完整","待补证")</f>
        <v>待补证</v>
      </c>
    </row>
    <row r="54" spans="1:14" ht="58" customHeight="1">
      <c r="A54" s="8" t="s">
        <v>72</v>
      </c>
      <c r="B54" s="8" t="s">
        <v>73</v>
      </c>
      <c r="C54" s="8" t="s">
        <v>533</v>
      </c>
      <c r="D54" s="8" t="s">
        <v>534</v>
      </c>
      <c r="E54" s="8"/>
      <c r="F54" s="8"/>
      <c r="G54" s="8"/>
      <c r="H54" s="8" t="s">
        <v>506</v>
      </c>
      <c r="I54" s="8"/>
      <c r="J54" s="8"/>
      <c r="L54" s="9">
        <f>IF(AND(N54="完整",ISNUMBER('03_逐品成本'!E7),'03_逐品成本'!E7&gt;0),ROUND(ROUND(F54*IF(E54="PHP",'03_逐品成本'!E7,1),10),2),"")</f>
        <v/>
      </c>
      <c r="M54" s="9">
        <f>IF(AND(N54="完整",ISNUMBER('03_逐品成本'!E7),'03_逐品成本'!E7&gt;0),ROUND(ROUND(IF(ISNUMBER(G54),G54,F54)*1*IF(E54="PHP",'03_逐品成本'!E7*0.95,1),10),2),"")</f>
        <v/>
      </c>
      <c r="N54" s="6" t="str">
        <f>IF(AND(ISNUMBER(F54),F54&gt;=0,OR(E54="PHP",E54="CNY"),OR(H54="已核实",H54="不适用",H54="预算"),I54&lt;&gt;"",J54&lt;&gt;"",ISNUMBER(K54),K54&gt;='00_审核入口'!$F$2,OR(H54&lt;&gt;"不适用",F54=0),OR(G54="",AND(ISNUMBER(G54),G54&gt;=0))),"完整","待补证")</f>
        <v>待补证</v>
      </c>
    </row>
    <row r="55" spans="1:14" ht="58" customHeight="1">
      <c r="A55" s="8" t="s">
        <v>72</v>
      </c>
      <c r="B55" s="8" t="s">
        <v>73</v>
      </c>
      <c r="C55" s="8" t="s">
        <v>535</v>
      </c>
      <c r="D55" s="8" t="s">
        <v>536</v>
      </c>
      <c r="E55" s="8"/>
      <c r="F55" s="8"/>
      <c r="G55" s="8"/>
      <c r="H55" s="8" t="s">
        <v>506</v>
      </c>
      <c r="I55" s="8"/>
      <c r="J55" s="8"/>
      <c r="L55" s="9">
        <f>IF(AND(N55="完整",ISNUMBER('03_逐品成本'!E7),'03_逐品成本'!E7&gt;0),ROUND(ROUND(F55*IF(E55="PHP",'03_逐品成本'!E7,1),10),2),"")</f>
        <v/>
      </c>
      <c r="M55" s="9">
        <f>IF(AND(N55="完整",ISNUMBER('03_逐品成本'!E7),'03_逐品成本'!E7&gt;0),ROUND(ROUND(IF(ISNUMBER(G55),G55,F55)*1*IF(E55="PHP",'03_逐品成本'!E7*0.95,1),10),2),"")</f>
        <v/>
      </c>
      <c r="N55" s="6" t="str">
        <f>IF(AND(ISNUMBER(F55),F55&gt;=0,OR(E55="PHP",E55="CNY"),OR(H55="已核实",H55="不适用"),I55&lt;&gt;"",J55&lt;&gt;"",ISNUMBER(K55),K55&gt;='00_审核入口'!$F$2,OR(H55&lt;&gt;"不适用",F55=0),OR(G55="",AND(ISNUMBER(G55),G55&gt;=0))),"完整","待补证")</f>
        <v>待补证</v>
      </c>
    </row>
    <row r="56" spans="1:14" ht="58" customHeight="1">
      <c r="A56" s="8" t="s">
        <v>72</v>
      </c>
      <c r="B56" s="8" t="s">
        <v>73</v>
      </c>
      <c r="C56" s="8" t="s">
        <v>537</v>
      </c>
      <c r="D56" s="8" t="s">
        <v>538</v>
      </c>
      <c r="E56" s="8"/>
      <c r="F56" s="8"/>
      <c r="G56" s="8"/>
      <c r="H56" s="8" t="s">
        <v>506</v>
      </c>
      <c r="I56" s="8"/>
      <c r="J56" s="8"/>
      <c r="L56" s="9">
        <f>IF(AND(N56="完整",ISNUMBER('03_逐品成本'!E7),'03_逐品成本'!E7&gt;0),ROUND(ROUND(F56*IF(E56="PHP",'03_逐品成本'!E7,1),10),2),"")</f>
        <v/>
      </c>
      <c r="M56" s="9">
        <f>IF(AND(N56="完整",ISNUMBER('03_逐品成本'!E7),'03_逐品成本'!E7&gt;0),ROUND(ROUND(IF(ISNUMBER(G56),G56,F56)*1*IF(E56="PHP",'03_逐品成本'!E7*0.95,1),10),2),"")</f>
        <v/>
      </c>
      <c r="N56" s="6" t="str">
        <f>IF(AND(ISNUMBER(F56),F56&gt;=0,OR(E56="PHP",E56="CNY"),OR(H56="已核实",H56="不适用"),I56&lt;&gt;"",J56&lt;&gt;"",ISNUMBER(K56),K56&gt;='00_审核入口'!$F$2,OR(H56&lt;&gt;"不适用",F56=0),OR(G56="",AND(ISNUMBER(G56),G56&gt;=0))),"完整","待补证")</f>
        <v>待补证</v>
      </c>
    </row>
    <row r="57" spans="1:14" ht="58" customHeight="1">
      <c r="A57" s="8" t="s">
        <v>72</v>
      </c>
      <c r="B57" s="8" t="s">
        <v>73</v>
      </c>
      <c r="C57" s="8" t="s">
        <v>539</v>
      </c>
      <c r="D57" s="8" t="s">
        <v>540</v>
      </c>
      <c r="E57" s="8"/>
      <c r="F57" s="8"/>
      <c r="G57" s="8"/>
      <c r="H57" s="8" t="s">
        <v>506</v>
      </c>
      <c r="I57" s="8"/>
      <c r="J57" s="8"/>
      <c r="L57" s="9">
        <f>IF(AND(N57="完整",ISNUMBER('03_逐品成本'!E7),'03_逐品成本'!E7&gt;0),ROUND(ROUND(F57*IF(E57="PHP",'03_逐品成本'!E7,1),10),2),"")</f>
        <v/>
      </c>
      <c r="M57" s="9">
        <f>IF(AND(N57="完整",ISNUMBER('03_逐品成本'!E7),'03_逐品成本'!E7&gt;0),ROUND(ROUND(IF(ISNUMBER(G57),G57,F57)*1*IF(E57="PHP",'03_逐品成本'!E7*0.95,1),10),2),"")</f>
        <v/>
      </c>
      <c r="N57" s="6" t="str">
        <f>IF(AND(ISNUMBER(F57),F57&gt;=0,OR(E57="PHP",E57="CNY"),OR(H57="已核实",H57="不适用",H57="预算"),I57&lt;&gt;"",J57&lt;&gt;"",ISNUMBER(K57),K57&gt;='00_审核入口'!$F$2,OR(H57&lt;&gt;"不适用",F57=0),OR(G57="",AND(ISNUMBER(G57),G57&gt;=0))),"完整","待补证")</f>
        <v>待补证</v>
      </c>
    </row>
    <row r="58" spans="1:14" ht="58" customHeight="1">
      <c r="A58" s="8" t="s">
        <v>72</v>
      </c>
      <c r="B58" s="8" t="s">
        <v>73</v>
      </c>
      <c r="C58" s="8" t="s">
        <v>541</v>
      </c>
      <c r="D58" s="8" t="s">
        <v>542</v>
      </c>
      <c r="E58" s="8"/>
      <c r="F58" s="8"/>
      <c r="G58" s="8"/>
      <c r="H58" s="8" t="s">
        <v>506</v>
      </c>
      <c r="I58" s="8"/>
      <c r="J58" s="8"/>
      <c r="L58" s="9">
        <f>IF(AND(N58="完整",ISNUMBER('03_逐品成本'!E7),'03_逐品成本'!E7&gt;0),ROUND(ROUND(F58*IF(E58="PHP",'03_逐品成本'!E7,1),10),2),"")</f>
        <v/>
      </c>
      <c r="M58" s="9">
        <f>IF(AND(N58="完整",ISNUMBER('03_逐品成本'!E7),'03_逐品成本'!E7&gt;0),ROUND(ROUND(IF(ISNUMBER(G58),G58,F58)*1*IF(E58="PHP",'03_逐品成本'!E7*0.95,1),10),2),"")</f>
        <v/>
      </c>
      <c r="N58" s="6" t="str">
        <f>IF(AND(ISNUMBER(F58),F58&gt;=0,OR(E58="PHP",E58="CNY"),OR(H58="已核实",H58="不适用",H58="预算"),I58&lt;&gt;"",J58&lt;&gt;"",ISNUMBER(K58),K58&gt;='00_审核入口'!$F$2,OR(H58&lt;&gt;"不适用",F58=0),OR(G58="",AND(ISNUMBER(G58),G58&gt;=0))),"完整","待补证")</f>
        <v>待补证</v>
      </c>
    </row>
    <row r="59" spans="1:14" ht="58" customHeight="1">
      <c r="A59" s="8" t="s">
        <v>80</v>
      </c>
      <c r="B59" s="8" t="s">
        <v>81</v>
      </c>
      <c r="C59" s="8" t="s">
        <v>507</v>
      </c>
      <c r="D59" s="8" t="s">
        <v>508</v>
      </c>
      <c r="E59" s="8"/>
      <c r="F59" s="8"/>
      <c r="G59" s="8"/>
      <c r="H59" s="8" t="s">
        <v>506</v>
      </c>
      <c r="I59" s="8"/>
      <c r="J59" s="8"/>
      <c r="L59" s="9">
        <f>IF(AND(N59="完整",ISNUMBER('03_逐品成本'!E8),'03_逐品成本'!E8&gt;0),ROUND(ROUND(F59*IF(E59="PHP",'03_逐品成本'!E8,1),10),2),"")</f>
        <v/>
      </c>
      <c r="M59" s="9">
        <f>IF(AND(N59="完整",ISNUMBER('03_逐品成本'!E8),'03_逐品成本'!E8&gt;0),ROUND(ROUND(IF(ISNUMBER(G59),G59,F59)*1*IF(E59="PHP",'03_逐品成本'!E8*0.95,1),10),2),"")</f>
        <v/>
      </c>
      <c r="N59" s="6" t="str">
        <f>IF(AND(ISNUMBER(F59),F59&gt;=0,OR(E59="PHP",E59="CNY"),OR(H59="已核实",H59="不适用"),I59&lt;&gt;"",J59&lt;&gt;"",ISNUMBER(K59),K59&gt;='00_审核入口'!$F$2,OR(H59&lt;&gt;"不适用",F59=0),OR(G59="",AND(ISNUMBER(G59),G59&gt;=0))),"完整","待补证")</f>
        <v>待补证</v>
      </c>
    </row>
    <row r="60" spans="1:14" ht="58" customHeight="1">
      <c r="A60" s="8" t="s">
        <v>80</v>
      </c>
      <c r="B60" s="8" t="s">
        <v>81</v>
      </c>
      <c r="C60" s="8" t="s">
        <v>509</v>
      </c>
      <c r="D60" s="8" t="s">
        <v>510</v>
      </c>
      <c r="E60" s="8"/>
      <c r="F60" s="8"/>
      <c r="G60" s="8"/>
      <c r="H60" s="8" t="s">
        <v>506</v>
      </c>
      <c r="I60" s="8"/>
      <c r="J60" s="8"/>
      <c r="L60" s="9">
        <f>IF(AND(N60="完整",ISNUMBER('03_逐品成本'!E8),'03_逐品成本'!E8&gt;0),ROUND(ROUND(F60*IF(E60="PHP",'03_逐品成本'!E8,1),10),2),"")</f>
        <v/>
      </c>
      <c r="M60" s="9">
        <f>IF(AND(N60="完整",ISNUMBER('03_逐品成本'!E8),'03_逐品成本'!E8&gt;0),ROUND(ROUND(IF(ISNUMBER(G60),G60,F60)*1*IF(E60="PHP",'03_逐品成本'!E8*0.95,1),10),2),"")</f>
        <v/>
      </c>
      <c r="N60" s="6" t="str">
        <f>IF(AND(ISNUMBER(F60),F60&gt;=0,OR(E60="PHP",E60="CNY"),OR(H60="已核实",H60="不适用"),I60&lt;&gt;"",J60&lt;&gt;"",ISNUMBER(K60),K60&gt;='00_审核入口'!$F$2,OR(H60&lt;&gt;"不适用",F60=0),OR(G60="",AND(ISNUMBER(G60),G60&gt;=0)),ISNUMBER(G60),G60&gt;=0),"完整","待补证")</f>
        <v>待补证</v>
      </c>
    </row>
    <row r="61" spans="1:14" ht="58" customHeight="1">
      <c r="A61" s="8" t="s">
        <v>80</v>
      </c>
      <c r="B61" s="8" t="s">
        <v>81</v>
      </c>
      <c r="C61" s="8" t="s">
        <v>511</v>
      </c>
      <c r="D61" s="8" t="s">
        <v>512</v>
      </c>
      <c r="E61" s="8"/>
      <c r="F61" s="8"/>
      <c r="G61" s="8"/>
      <c r="H61" s="8" t="s">
        <v>506</v>
      </c>
      <c r="I61" s="8"/>
      <c r="J61" s="8"/>
      <c r="L61" s="9">
        <f>IF(AND(N61="完整",ISNUMBER('03_逐品成本'!E8),'03_逐品成本'!E8&gt;0),ROUND(ROUND(F61*IF(E61="PHP",'03_逐品成本'!E8,1),10),2),"")</f>
        <v/>
      </c>
      <c r="M61" s="9">
        <f>IF(AND(N61="完整",ISNUMBER('03_逐品成本'!E8),'03_逐品成本'!E8&gt;0),ROUND(ROUND(IF(ISNUMBER(G61),G61,F61)*1*IF(E61="PHP",'03_逐品成本'!E8*0.95,1),10),2),"")</f>
        <v/>
      </c>
      <c r="N61" s="6" t="str">
        <f>IF(AND(ISNUMBER(F61),F61&gt;=0,OR(E61="PHP",E61="CNY"),OR(H61="已核实",H61="不适用"),I61&lt;&gt;"",J61&lt;&gt;"",ISNUMBER(K61),K61&gt;='00_审核入口'!$F$2,OR(H61&lt;&gt;"不适用",F61=0),OR(G61="",AND(ISNUMBER(G61),G61&gt;=0))),"完整","待补证")</f>
        <v>待补证</v>
      </c>
    </row>
    <row r="62" spans="1:14" ht="58" customHeight="1">
      <c r="A62" s="8" t="s">
        <v>80</v>
      </c>
      <c r="B62" s="8" t="s">
        <v>81</v>
      </c>
      <c r="C62" s="8" t="s">
        <v>513</v>
      </c>
      <c r="D62" s="8" t="s">
        <v>514</v>
      </c>
      <c r="E62" s="8"/>
      <c r="F62" s="8"/>
      <c r="G62" s="8"/>
      <c r="H62" s="8" t="s">
        <v>506</v>
      </c>
      <c r="I62" s="8"/>
      <c r="J62" s="8"/>
      <c r="L62" s="9">
        <f>IF(AND(N62="完整",ISNUMBER('03_逐品成本'!E8),'03_逐品成本'!E8&gt;0),ROUND(ROUND(F62*IF(E62="PHP",'03_逐品成本'!E8,1),10),2),"")</f>
        <v/>
      </c>
      <c r="M62" s="9">
        <f>IF(AND(N62="完整",ISNUMBER('03_逐品成本'!E8),'03_逐品成本'!E8&gt;0),ROUND(ROUND(IF(ISNUMBER(G62),G62,F62)*1*IF(E62="PHP",'03_逐品成本'!E8*0.95,1),10),2),"")</f>
        <v/>
      </c>
      <c r="N62" s="6" t="str">
        <f>IF(AND(ISNUMBER(F62),F62&gt;=0,OR(E62="PHP",E62="CNY"),OR(H62="已核实",H62="不适用"),I62&lt;&gt;"",J62&lt;&gt;"",ISNUMBER(K62),K62&gt;='00_审核入口'!$F$2,OR(H62&lt;&gt;"不适用",F62=0),OR(G62="",AND(ISNUMBER(G62),G62&gt;=0))),"完整","待补证")</f>
        <v>待补证</v>
      </c>
    </row>
    <row r="63" spans="1:14" ht="58" customHeight="1">
      <c r="A63" s="8" t="s">
        <v>80</v>
      </c>
      <c r="B63" s="8" t="s">
        <v>81</v>
      </c>
      <c r="C63" s="8" t="s">
        <v>515</v>
      </c>
      <c r="D63" s="8" t="s">
        <v>516</v>
      </c>
      <c r="E63" s="8"/>
      <c r="F63" s="8"/>
      <c r="G63" s="8"/>
      <c r="H63" s="8" t="s">
        <v>506</v>
      </c>
      <c r="I63" s="8"/>
      <c r="J63" s="8"/>
      <c r="L63" s="9">
        <f>IF(AND(N63="完整",ISNUMBER('03_逐品成本'!E8),'03_逐品成本'!E8&gt;0),ROUND(ROUND(F63*IF(E63="PHP",'03_逐品成本'!E8,1),10),2),"")</f>
        <v/>
      </c>
      <c r="M63" s="9">
        <f>IF(AND(N63="完整",ISNUMBER('03_逐品成本'!E8),'03_逐品成本'!E8&gt;0),ROUND(ROUND(IF(ISNUMBER(G63),G63,F63)*1*IF(E63="PHP",'03_逐品成本'!E8*0.95,1),10),2),"")</f>
        <v/>
      </c>
      <c r="N63" s="6" t="str">
        <f>IF(AND(ISNUMBER(F63),F63&gt;=0,OR(E63="PHP",E63="CNY"),OR(H63="已核实",H63="不适用"),I63&lt;&gt;"",J63&lt;&gt;"",ISNUMBER(K63),K63&gt;='00_审核入口'!$F$2,OR(H63&lt;&gt;"不适用",F63=0),OR(G63="",AND(ISNUMBER(G63),G63&gt;=0))),"完整","待补证")</f>
        <v>待补证</v>
      </c>
    </row>
    <row r="64" spans="1:14" ht="58" customHeight="1">
      <c r="A64" s="8" t="s">
        <v>80</v>
      </c>
      <c r="B64" s="8" t="s">
        <v>81</v>
      </c>
      <c r="C64" s="8" t="s">
        <v>517</v>
      </c>
      <c r="D64" s="8" t="s">
        <v>518</v>
      </c>
      <c r="E64" s="8"/>
      <c r="F64" s="8"/>
      <c r="G64" s="8"/>
      <c r="H64" s="8" t="s">
        <v>506</v>
      </c>
      <c r="I64" s="8"/>
      <c r="J64" s="8"/>
      <c r="L64" s="9">
        <f>IF(AND(N64="完整",ISNUMBER('03_逐品成本'!E8),'03_逐品成本'!E8&gt;0),ROUND(ROUND(F64*IF(E64="PHP",'03_逐品成本'!E8,1),10),2),"")</f>
        <v/>
      </c>
      <c r="M64" s="9">
        <f>IF(AND(N64="完整",ISNUMBER('03_逐品成本'!E8),'03_逐品成本'!E8&gt;0),ROUND(ROUND(IF(ISNUMBER(G64),G64,F64)*1*IF(E64="PHP",'03_逐品成本'!E8*0.95,1),10),2),"")</f>
        <v/>
      </c>
      <c r="N64" s="6" t="str">
        <f>IF(AND(ISNUMBER(F64),F64&gt;=0,OR(E64="PHP",E64="CNY"),OR(H64="已核实",H64="不适用"),I64&lt;&gt;"",J64&lt;&gt;"",ISNUMBER(K64),K64&gt;='00_审核入口'!$F$2,OR(H64&lt;&gt;"不适用",F64=0),OR(G64="",AND(ISNUMBER(G64),G64&gt;=0))),"完整","待补证")</f>
        <v>待补证</v>
      </c>
    </row>
    <row r="65" spans="1:14" ht="58" customHeight="1">
      <c r="A65" s="8" t="s">
        <v>80</v>
      </c>
      <c r="B65" s="8" t="s">
        <v>81</v>
      </c>
      <c r="C65" s="8" t="s">
        <v>519</v>
      </c>
      <c r="D65" s="8" t="s">
        <v>520</v>
      </c>
      <c r="E65" s="8"/>
      <c r="F65" s="8"/>
      <c r="G65" s="8"/>
      <c r="H65" s="8" t="s">
        <v>506</v>
      </c>
      <c r="I65" s="8"/>
      <c r="J65" s="8"/>
      <c r="L65" s="9">
        <f>IF(AND(N65="完整",ISNUMBER('03_逐品成本'!E8),'03_逐品成本'!E8&gt;0),ROUND(ROUND(F65*IF(E65="PHP",'03_逐品成本'!E8,1),10),2),"")</f>
        <v/>
      </c>
      <c r="M65" s="9">
        <f>IF(AND(N65="完整",ISNUMBER('03_逐品成本'!E8),'03_逐品成本'!E8&gt;0),ROUND(ROUND(IF(ISNUMBER(G65),G65,F65)*1*IF(E65="PHP",'03_逐品成本'!E8*0.95,1),10),2),"")</f>
        <v/>
      </c>
      <c r="N65" s="6" t="str">
        <f>IF(AND(ISNUMBER(F65),F65&gt;=0,OR(E65="PHP",E65="CNY"),OR(H65="已核实",H65="不适用"),I65&lt;&gt;"",J65&lt;&gt;"",ISNUMBER(K65),K65&gt;='00_审核入口'!$F$2,OR(H65&lt;&gt;"不适用",F65=0),OR(G65="",AND(ISNUMBER(G65),G65&gt;=0))),"完整","待补证")</f>
        <v>待补证</v>
      </c>
    </row>
    <row r="66" spans="1:14" ht="58" customHeight="1">
      <c r="A66" s="8" t="s">
        <v>80</v>
      </c>
      <c r="B66" s="8" t="s">
        <v>81</v>
      </c>
      <c r="C66" s="8" t="s">
        <v>521</v>
      </c>
      <c r="D66" s="8" t="s">
        <v>522</v>
      </c>
      <c r="E66" s="8"/>
      <c r="F66" s="8"/>
      <c r="G66" s="8"/>
      <c r="H66" s="8" t="s">
        <v>506</v>
      </c>
      <c r="I66" s="8"/>
      <c r="J66" s="8"/>
      <c r="L66" s="9">
        <f>IF(AND(N66="完整",ISNUMBER('03_逐品成本'!E8),'03_逐品成本'!E8&gt;0),ROUND(ROUND(F66*IF(E66="PHP",'03_逐品成本'!E8,1),10),2),"")</f>
        <v/>
      </c>
      <c r="M66" s="9">
        <f>IF(AND(N66="完整",ISNUMBER('03_逐品成本'!E8),'03_逐品成本'!E8&gt;0),ROUND(ROUND(IF(ISNUMBER(G66),G66,F66)*1*IF(E66="PHP",'03_逐品成本'!E8*0.95,1),10),2),"")</f>
        <v/>
      </c>
      <c r="N66" s="6" t="str">
        <f>IF(AND(ISNUMBER(F66),F66&gt;=0,OR(E66="PHP",E66="CNY"),OR(H66="已核实",H66="不适用"),I66&lt;&gt;"",J66&lt;&gt;"",ISNUMBER(K66),K66&gt;='00_审核入口'!$F$2,OR(H66&lt;&gt;"不适用",F66=0),OR(G66="",AND(ISNUMBER(G66),G66&gt;=0))),"完整","待补证")</f>
        <v>待补证</v>
      </c>
    </row>
    <row r="67" spans="1:14" ht="58" customHeight="1">
      <c r="A67" s="8" t="s">
        <v>80</v>
      </c>
      <c r="B67" s="8" t="s">
        <v>81</v>
      </c>
      <c r="C67" s="8" t="s">
        <v>523</v>
      </c>
      <c r="D67" s="8" t="s">
        <v>524</v>
      </c>
      <c r="E67" s="8"/>
      <c r="F67" s="8"/>
      <c r="G67" s="8"/>
      <c r="H67" s="8" t="s">
        <v>506</v>
      </c>
      <c r="I67" s="8"/>
      <c r="J67" s="8"/>
      <c r="L67" s="9">
        <f>IF(AND(N67="完整",ISNUMBER('03_逐品成本'!E8),'03_逐品成本'!E8&gt;0),ROUND(ROUND(F67*IF(E67="PHP",'03_逐品成本'!E8,1),10),2),"")</f>
        <v/>
      </c>
      <c r="M67" s="9">
        <f>IF(AND(N67="完整",ISNUMBER('03_逐品成本'!E8),'03_逐品成本'!E8&gt;0),ROUND(ROUND(IF(ISNUMBER(G67),G67,F67)*1.15*IF(E67="PHP",'03_逐品成本'!E8*0.95,1),10),2),"")</f>
        <v/>
      </c>
      <c r="N67" s="6" t="str">
        <f>IF(AND(ISNUMBER(F67),F67&gt;=0,OR(E67="PHP",E67="CNY"),OR(H67="已核实",H67="不适用"),I67&lt;&gt;"",J67&lt;&gt;"",ISNUMBER(K67),K67&gt;='00_审核入口'!$F$2,OR(H67&lt;&gt;"不适用",F67=0),OR(G67="",AND(ISNUMBER(G67),G67&gt;=0))),"完整","待补证")</f>
        <v>待补证</v>
      </c>
    </row>
    <row r="68" spans="1:14" ht="58" customHeight="1">
      <c r="A68" s="8" t="s">
        <v>80</v>
      </c>
      <c r="B68" s="8" t="s">
        <v>81</v>
      </c>
      <c r="C68" s="8" t="s">
        <v>525</v>
      </c>
      <c r="D68" s="8" t="s">
        <v>526</v>
      </c>
      <c r="E68" s="8"/>
      <c r="F68" s="8"/>
      <c r="G68" s="8"/>
      <c r="H68" s="8" t="s">
        <v>506</v>
      </c>
      <c r="I68" s="8"/>
      <c r="J68" s="8"/>
      <c r="L68" s="9">
        <f>IF(AND(N68="完整",ISNUMBER('03_逐品成本'!E8),'03_逐品成本'!E8&gt;0),ROUND(ROUND(F68*IF(E68="PHP",'03_逐品成本'!E8,1),10),2),"")</f>
        <v/>
      </c>
      <c r="M68" s="9">
        <f>IF(AND(N68="完整",ISNUMBER('03_逐品成本'!E8),'03_逐品成本'!E8&gt;0),ROUND(ROUND(IF(ISNUMBER(G68),G68,F68)*1.15*IF(E68="PHP",'03_逐品成本'!E8*0.95,1),10),2),"")</f>
        <v/>
      </c>
      <c r="N68" s="6" t="str">
        <f>IF(AND(ISNUMBER(F68),F68&gt;=0,OR(E68="PHP",E68="CNY"),OR(H68="已核实",H68="不适用"),I68&lt;&gt;"",J68&lt;&gt;"",ISNUMBER(K68),K68&gt;='00_审核入口'!$F$2,OR(H68&lt;&gt;"不适用",F68=0),OR(G68="",AND(ISNUMBER(G68),G68&gt;=0))),"完整","待补证")</f>
        <v>待补证</v>
      </c>
    </row>
    <row r="69" spans="1:14" ht="58" customHeight="1">
      <c r="A69" s="8" t="s">
        <v>80</v>
      </c>
      <c r="B69" s="8" t="s">
        <v>81</v>
      </c>
      <c r="C69" s="8" t="s">
        <v>527</v>
      </c>
      <c r="D69" s="8" t="s">
        <v>528</v>
      </c>
      <c r="E69" s="8"/>
      <c r="F69" s="8"/>
      <c r="G69" s="8"/>
      <c r="H69" s="8" t="s">
        <v>506</v>
      </c>
      <c r="I69" s="8"/>
      <c r="J69" s="8"/>
      <c r="L69" s="9">
        <f>IF(AND(N69="完整",ISNUMBER('03_逐品成本'!E8),'03_逐品成本'!E8&gt;0),ROUND(ROUND(F69*IF(E69="PHP",'03_逐品成本'!E8,1),10),2),"")</f>
        <v/>
      </c>
      <c r="M69" s="9">
        <f>IF(AND(N69="完整",ISNUMBER('03_逐品成本'!E8),'03_逐品成本'!E8&gt;0),ROUND(ROUND(IF(ISNUMBER(G69),G69,F69)*1.15*IF(E69="PHP",'03_逐品成本'!E8*0.95,1),10),2),"")</f>
        <v/>
      </c>
      <c r="N69" s="6" t="str">
        <f>IF(AND(ISNUMBER(F69),F69&gt;=0,OR(E69="PHP",E69="CNY"),OR(H69="已核实",H69="不适用"),I69&lt;&gt;"",J69&lt;&gt;"",ISNUMBER(K69),K69&gt;='00_审核入口'!$F$2,OR(H69&lt;&gt;"不适用",F69=0),OR(G69="",AND(ISNUMBER(G69),G69&gt;=0))),"完整","待补证")</f>
        <v>待补证</v>
      </c>
    </row>
    <row r="70" spans="1:14" ht="58" customHeight="1">
      <c r="A70" s="8" t="s">
        <v>80</v>
      </c>
      <c r="B70" s="8" t="s">
        <v>81</v>
      </c>
      <c r="C70" s="8" t="s">
        <v>529</v>
      </c>
      <c r="D70" s="8" t="s">
        <v>530</v>
      </c>
      <c r="E70" s="8"/>
      <c r="F70" s="8"/>
      <c r="G70" s="8"/>
      <c r="H70" s="8" t="s">
        <v>506</v>
      </c>
      <c r="I70" s="8"/>
      <c r="J70" s="8"/>
      <c r="L70" s="9">
        <f>IF(AND(N70="完整",ISNUMBER('03_逐品成本'!E8),'03_逐品成本'!E8&gt;0),ROUND(ROUND(F70*IF(E70="PHP",'03_逐品成本'!E8,1),10),2),"")</f>
        <v/>
      </c>
      <c r="M70" s="9">
        <f>IF(AND(N70="完整",ISNUMBER('03_逐品成本'!E8),'03_逐品成本'!E8&gt;0),ROUND(ROUND(IF(ISNUMBER(G70),G70,F70)*1*IF(E70="PHP",'03_逐品成本'!E8*0.95,1),10),2),"")</f>
        <v/>
      </c>
      <c r="N70" s="6" t="str">
        <f>IF(AND(ISNUMBER(F70),F70&gt;=0,OR(E70="PHP",E70="CNY"),OR(H70="已核实",H70="不适用",H70="预算"),I70&lt;&gt;"",J70&lt;&gt;"",ISNUMBER(K70),K70&gt;='00_审核入口'!$F$2,OR(H70&lt;&gt;"不适用",F70=0),OR(G70="",AND(ISNUMBER(G70),G70&gt;=0))),"完整","待补证")</f>
        <v>待补证</v>
      </c>
    </row>
    <row r="71" spans="1:14" ht="58" customHeight="1">
      <c r="A71" s="8" t="s">
        <v>80</v>
      </c>
      <c r="B71" s="8" t="s">
        <v>81</v>
      </c>
      <c r="C71" s="8" t="s">
        <v>531</v>
      </c>
      <c r="D71" s="8" t="s">
        <v>532</v>
      </c>
      <c r="E71" s="8"/>
      <c r="F71" s="8"/>
      <c r="G71" s="8"/>
      <c r="H71" s="8" t="s">
        <v>506</v>
      </c>
      <c r="I71" s="8"/>
      <c r="J71" s="8"/>
      <c r="L71" s="9">
        <f>IF(AND(N71="完整",ISNUMBER('03_逐品成本'!E8),'03_逐品成本'!E8&gt;0),ROUND(ROUND(F71*IF(E71="PHP",'03_逐品成本'!E8,1),10),2),"")</f>
        <v/>
      </c>
      <c r="M71" s="9">
        <f>IF(AND(N71="完整",ISNUMBER('03_逐品成本'!E8),'03_逐品成本'!E8&gt;0),ROUND(ROUND(IF(ISNUMBER(G71),G71,F71)*1*IF(E71="PHP",'03_逐品成本'!E8*0.95,1),10),2),"")</f>
        <v/>
      </c>
      <c r="N71" s="6" t="str">
        <f>IF(AND(ISNUMBER(F71),F71&gt;=0,OR(E71="PHP",E71="CNY"),OR(H71="已核实",H71="不适用",H71="预算"),I71&lt;&gt;"",J71&lt;&gt;"",ISNUMBER(K71),K71&gt;='00_审核入口'!$F$2,OR(H71&lt;&gt;"不适用",F71=0),OR(G71="",AND(ISNUMBER(G71),G71&gt;=0))),"完整","待补证")</f>
        <v>待补证</v>
      </c>
    </row>
    <row r="72" spans="1:14" ht="58" customHeight="1">
      <c r="A72" s="8" t="s">
        <v>80</v>
      </c>
      <c r="B72" s="8" t="s">
        <v>81</v>
      </c>
      <c r="C72" s="8" t="s">
        <v>533</v>
      </c>
      <c r="D72" s="8" t="s">
        <v>534</v>
      </c>
      <c r="E72" s="8"/>
      <c r="F72" s="8"/>
      <c r="G72" s="8"/>
      <c r="H72" s="8" t="s">
        <v>506</v>
      </c>
      <c r="I72" s="8"/>
      <c r="J72" s="8"/>
      <c r="L72" s="9">
        <f>IF(AND(N72="完整",ISNUMBER('03_逐品成本'!E8),'03_逐品成本'!E8&gt;0),ROUND(ROUND(F72*IF(E72="PHP",'03_逐品成本'!E8,1),10),2),"")</f>
        <v/>
      </c>
      <c r="M72" s="9">
        <f>IF(AND(N72="完整",ISNUMBER('03_逐品成本'!E8),'03_逐品成本'!E8&gt;0),ROUND(ROUND(IF(ISNUMBER(G72),G72,F72)*1*IF(E72="PHP",'03_逐品成本'!E8*0.95,1),10),2),"")</f>
        <v/>
      </c>
      <c r="N72" s="6" t="str">
        <f>IF(AND(ISNUMBER(F72),F72&gt;=0,OR(E72="PHP",E72="CNY"),OR(H72="已核实",H72="不适用",H72="预算"),I72&lt;&gt;"",J72&lt;&gt;"",ISNUMBER(K72),K72&gt;='00_审核入口'!$F$2,OR(H72&lt;&gt;"不适用",F72=0),OR(G72="",AND(ISNUMBER(G72),G72&gt;=0))),"完整","待补证")</f>
        <v>待补证</v>
      </c>
    </row>
    <row r="73" spans="1:14" ht="58" customHeight="1">
      <c r="A73" s="8" t="s">
        <v>80</v>
      </c>
      <c r="B73" s="8" t="s">
        <v>81</v>
      </c>
      <c r="C73" s="8" t="s">
        <v>535</v>
      </c>
      <c r="D73" s="8" t="s">
        <v>536</v>
      </c>
      <c r="E73" s="8"/>
      <c r="F73" s="8"/>
      <c r="G73" s="8"/>
      <c r="H73" s="8" t="s">
        <v>506</v>
      </c>
      <c r="I73" s="8"/>
      <c r="J73" s="8"/>
      <c r="L73" s="9">
        <f>IF(AND(N73="完整",ISNUMBER('03_逐品成本'!E8),'03_逐品成本'!E8&gt;0),ROUND(ROUND(F73*IF(E73="PHP",'03_逐品成本'!E8,1),10),2),"")</f>
        <v/>
      </c>
      <c r="M73" s="9">
        <f>IF(AND(N73="完整",ISNUMBER('03_逐品成本'!E8),'03_逐品成本'!E8&gt;0),ROUND(ROUND(IF(ISNUMBER(G73),G73,F73)*1*IF(E73="PHP",'03_逐品成本'!E8*0.95,1),10),2),"")</f>
        <v/>
      </c>
      <c r="N73" s="6" t="str">
        <f>IF(AND(ISNUMBER(F73),F73&gt;=0,OR(E73="PHP",E73="CNY"),OR(H73="已核实",H73="不适用"),I73&lt;&gt;"",J73&lt;&gt;"",ISNUMBER(K73),K73&gt;='00_审核入口'!$F$2,OR(H73&lt;&gt;"不适用",F73=0),OR(G73="",AND(ISNUMBER(G73),G73&gt;=0))),"完整","待补证")</f>
        <v>待补证</v>
      </c>
    </row>
    <row r="74" spans="1:14" ht="58" customHeight="1">
      <c r="A74" s="8" t="s">
        <v>80</v>
      </c>
      <c r="B74" s="8" t="s">
        <v>81</v>
      </c>
      <c r="C74" s="8" t="s">
        <v>537</v>
      </c>
      <c r="D74" s="8" t="s">
        <v>538</v>
      </c>
      <c r="E74" s="8"/>
      <c r="F74" s="8"/>
      <c r="G74" s="8"/>
      <c r="H74" s="8" t="s">
        <v>506</v>
      </c>
      <c r="I74" s="8"/>
      <c r="J74" s="8"/>
      <c r="L74" s="9">
        <f>IF(AND(N74="完整",ISNUMBER('03_逐品成本'!E8),'03_逐品成本'!E8&gt;0),ROUND(ROUND(F74*IF(E74="PHP",'03_逐品成本'!E8,1),10),2),"")</f>
        <v/>
      </c>
      <c r="M74" s="9">
        <f>IF(AND(N74="完整",ISNUMBER('03_逐品成本'!E8),'03_逐品成本'!E8&gt;0),ROUND(ROUND(IF(ISNUMBER(G74),G74,F74)*1*IF(E74="PHP",'03_逐品成本'!E8*0.95,1),10),2),"")</f>
        <v/>
      </c>
      <c r="N74" s="6" t="str">
        <f>IF(AND(ISNUMBER(F74),F74&gt;=0,OR(E74="PHP",E74="CNY"),OR(H74="已核实",H74="不适用"),I74&lt;&gt;"",J74&lt;&gt;"",ISNUMBER(K74),K74&gt;='00_审核入口'!$F$2,OR(H74&lt;&gt;"不适用",F74=0),OR(G74="",AND(ISNUMBER(G74),G74&gt;=0))),"完整","待补证")</f>
        <v>待补证</v>
      </c>
    </row>
    <row r="75" spans="1:14" ht="58" customHeight="1">
      <c r="A75" s="8" t="s">
        <v>80</v>
      </c>
      <c r="B75" s="8" t="s">
        <v>81</v>
      </c>
      <c r="C75" s="8" t="s">
        <v>539</v>
      </c>
      <c r="D75" s="8" t="s">
        <v>540</v>
      </c>
      <c r="E75" s="8"/>
      <c r="F75" s="8"/>
      <c r="G75" s="8"/>
      <c r="H75" s="8" t="s">
        <v>506</v>
      </c>
      <c r="I75" s="8"/>
      <c r="J75" s="8"/>
      <c r="L75" s="9">
        <f>IF(AND(N75="完整",ISNUMBER('03_逐品成本'!E8),'03_逐品成本'!E8&gt;0),ROUND(ROUND(F75*IF(E75="PHP",'03_逐品成本'!E8,1),10),2),"")</f>
        <v/>
      </c>
      <c r="M75" s="9">
        <f>IF(AND(N75="完整",ISNUMBER('03_逐品成本'!E8),'03_逐品成本'!E8&gt;0),ROUND(ROUND(IF(ISNUMBER(G75),G75,F75)*1*IF(E75="PHP",'03_逐品成本'!E8*0.95,1),10),2),"")</f>
        <v/>
      </c>
      <c r="N75" s="6" t="str">
        <f>IF(AND(ISNUMBER(F75),F75&gt;=0,OR(E75="PHP",E75="CNY"),OR(H75="已核实",H75="不适用",H75="预算"),I75&lt;&gt;"",J75&lt;&gt;"",ISNUMBER(K75),K75&gt;='00_审核入口'!$F$2,OR(H75&lt;&gt;"不适用",F75=0),OR(G75="",AND(ISNUMBER(G75),G75&gt;=0))),"完整","待补证")</f>
        <v>待补证</v>
      </c>
    </row>
    <row r="76" spans="1:14" ht="58" customHeight="1">
      <c r="A76" s="8" t="s">
        <v>80</v>
      </c>
      <c r="B76" s="8" t="s">
        <v>81</v>
      </c>
      <c r="C76" s="8" t="s">
        <v>541</v>
      </c>
      <c r="D76" s="8" t="s">
        <v>542</v>
      </c>
      <c r="E76" s="8"/>
      <c r="F76" s="8"/>
      <c r="G76" s="8"/>
      <c r="H76" s="8" t="s">
        <v>506</v>
      </c>
      <c r="I76" s="8"/>
      <c r="J76" s="8"/>
      <c r="L76" s="9">
        <f>IF(AND(N76="完整",ISNUMBER('03_逐品成本'!E8),'03_逐品成本'!E8&gt;0),ROUND(ROUND(F76*IF(E76="PHP",'03_逐品成本'!E8,1),10),2),"")</f>
        <v/>
      </c>
      <c r="M76" s="9">
        <f>IF(AND(N76="完整",ISNUMBER('03_逐品成本'!E8),'03_逐品成本'!E8&gt;0),ROUND(ROUND(IF(ISNUMBER(G76),G76,F76)*1*IF(E76="PHP",'03_逐品成本'!E8*0.95,1),10),2),"")</f>
        <v/>
      </c>
      <c r="N76" s="6" t="str">
        <f>IF(AND(ISNUMBER(F76),F76&gt;=0,OR(E76="PHP",E76="CNY"),OR(H76="已核实",H76="不适用",H76="预算"),I76&lt;&gt;"",J76&lt;&gt;"",ISNUMBER(K76),K76&gt;='00_审核入口'!$F$2,OR(H76&lt;&gt;"不适用",F76=0),OR(G76="",AND(ISNUMBER(G76),G76&gt;=0))),"完整","待补证")</f>
        <v>待补证</v>
      </c>
    </row>
    <row r="77" spans="1:14" ht="58" customHeight="1">
      <c r="A77" s="8" t="s">
        <v>88</v>
      </c>
      <c r="B77" s="8" t="s">
        <v>89</v>
      </c>
      <c r="C77" s="8" t="s">
        <v>507</v>
      </c>
      <c r="D77" s="8" t="s">
        <v>508</v>
      </c>
      <c r="E77" s="8"/>
      <c r="F77" s="8"/>
      <c r="G77" s="8"/>
      <c r="H77" s="8" t="s">
        <v>506</v>
      </c>
      <c r="I77" s="8"/>
      <c r="J77" s="8"/>
      <c r="L77" s="9">
        <f>IF(AND(N77="完整",ISNUMBER('03_逐品成本'!E9),'03_逐品成本'!E9&gt;0),ROUND(ROUND(F77*IF(E77="PHP",'03_逐品成本'!E9,1),10),2),"")</f>
        <v/>
      </c>
      <c r="M77" s="9">
        <f>IF(AND(N77="完整",ISNUMBER('03_逐品成本'!E9),'03_逐品成本'!E9&gt;0),ROUND(ROUND(IF(ISNUMBER(G77),G77,F77)*1*IF(E77="PHP",'03_逐品成本'!E9*0.95,1),10),2),"")</f>
        <v/>
      </c>
      <c r="N77" s="6" t="str">
        <f>IF(AND(ISNUMBER(F77),F77&gt;=0,OR(E77="PHP",E77="CNY"),OR(H77="已核实",H77="不适用"),I77&lt;&gt;"",J77&lt;&gt;"",ISNUMBER(K77),K77&gt;='00_审核入口'!$F$2,OR(H77&lt;&gt;"不适用",F77=0),OR(G77="",AND(ISNUMBER(G77),G77&gt;=0))),"完整","待补证")</f>
        <v>待补证</v>
      </c>
    </row>
    <row r="78" spans="1:14" ht="58" customHeight="1">
      <c r="A78" s="8" t="s">
        <v>88</v>
      </c>
      <c r="B78" s="8" t="s">
        <v>89</v>
      </c>
      <c r="C78" s="8" t="s">
        <v>509</v>
      </c>
      <c r="D78" s="8" t="s">
        <v>510</v>
      </c>
      <c r="E78" s="8"/>
      <c r="F78" s="8"/>
      <c r="G78" s="8"/>
      <c r="H78" s="8" t="s">
        <v>506</v>
      </c>
      <c r="I78" s="8"/>
      <c r="J78" s="8"/>
      <c r="L78" s="9">
        <f>IF(AND(N78="完整",ISNUMBER('03_逐品成本'!E9),'03_逐品成本'!E9&gt;0),ROUND(ROUND(F78*IF(E78="PHP",'03_逐品成本'!E9,1),10),2),"")</f>
        <v/>
      </c>
      <c r="M78" s="9">
        <f>IF(AND(N78="完整",ISNUMBER('03_逐品成本'!E9),'03_逐品成本'!E9&gt;0),ROUND(ROUND(IF(ISNUMBER(G78),G78,F78)*1*IF(E78="PHP",'03_逐品成本'!E9*0.95,1),10),2),"")</f>
        <v/>
      </c>
      <c r="N78" s="6" t="str">
        <f>IF(AND(ISNUMBER(F78),F78&gt;=0,OR(E78="PHP",E78="CNY"),OR(H78="已核实",H78="不适用"),I78&lt;&gt;"",J78&lt;&gt;"",ISNUMBER(K78),K78&gt;='00_审核入口'!$F$2,OR(H78&lt;&gt;"不适用",F78=0),OR(G78="",AND(ISNUMBER(G78),G78&gt;=0)),ISNUMBER(G78),G78&gt;=0),"完整","待补证")</f>
        <v>待补证</v>
      </c>
    </row>
    <row r="79" spans="1:14" ht="58" customHeight="1">
      <c r="A79" s="8" t="s">
        <v>88</v>
      </c>
      <c r="B79" s="8" t="s">
        <v>89</v>
      </c>
      <c r="C79" s="8" t="s">
        <v>511</v>
      </c>
      <c r="D79" s="8" t="s">
        <v>512</v>
      </c>
      <c r="E79" s="8"/>
      <c r="F79" s="8"/>
      <c r="G79" s="8"/>
      <c r="H79" s="8" t="s">
        <v>506</v>
      </c>
      <c r="I79" s="8"/>
      <c r="J79" s="8"/>
      <c r="L79" s="9">
        <f>IF(AND(N79="完整",ISNUMBER('03_逐品成本'!E9),'03_逐品成本'!E9&gt;0),ROUND(ROUND(F79*IF(E79="PHP",'03_逐品成本'!E9,1),10),2),"")</f>
        <v/>
      </c>
      <c r="M79" s="9">
        <f>IF(AND(N79="完整",ISNUMBER('03_逐品成本'!E9),'03_逐品成本'!E9&gt;0),ROUND(ROUND(IF(ISNUMBER(G79),G79,F79)*1*IF(E79="PHP",'03_逐品成本'!E9*0.95,1),10),2),"")</f>
        <v/>
      </c>
      <c r="N79" s="6" t="str">
        <f>IF(AND(ISNUMBER(F79),F79&gt;=0,OR(E79="PHP",E79="CNY"),OR(H79="已核实",H79="不适用"),I79&lt;&gt;"",J79&lt;&gt;"",ISNUMBER(K79),K79&gt;='00_审核入口'!$F$2,OR(H79&lt;&gt;"不适用",F79=0),OR(G79="",AND(ISNUMBER(G79),G79&gt;=0))),"完整","待补证")</f>
        <v>待补证</v>
      </c>
    </row>
    <row r="80" spans="1:14" ht="58" customHeight="1">
      <c r="A80" s="8" t="s">
        <v>88</v>
      </c>
      <c r="B80" s="8" t="s">
        <v>89</v>
      </c>
      <c r="C80" s="8" t="s">
        <v>513</v>
      </c>
      <c r="D80" s="8" t="s">
        <v>514</v>
      </c>
      <c r="E80" s="8"/>
      <c r="F80" s="8"/>
      <c r="G80" s="8"/>
      <c r="H80" s="8" t="s">
        <v>506</v>
      </c>
      <c r="I80" s="8"/>
      <c r="J80" s="8"/>
      <c r="L80" s="9">
        <f>IF(AND(N80="完整",ISNUMBER('03_逐品成本'!E9),'03_逐品成本'!E9&gt;0),ROUND(ROUND(F80*IF(E80="PHP",'03_逐品成本'!E9,1),10),2),"")</f>
        <v/>
      </c>
      <c r="M80" s="9">
        <f>IF(AND(N80="完整",ISNUMBER('03_逐品成本'!E9),'03_逐品成本'!E9&gt;0),ROUND(ROUND(IF(ISNUMBER(G80),G80,F80)*1*IF(E80="PHP",'03_逐品成本'!E9*0.95,1),10),2),"")</f>
        <v/>
      </c>
      <c r="N80" s="6" t="str">
        <f>IF(AND(ISNUMBER(F80),F80&gt;=0,OR(E80="PHP",E80="CNY"),OR(H80="已核实",H80="不适用"),I80&lt;&gt;"",J80&lt;&gt;"",ISNUMBER(K80),K80&gt;='00_审核入口'!$F$2,OR(H80&lt;&gt;"不适用",F80=0),OR(G80="",AND(ISNUMBER(G80),G80&gt;=0))),"完整","待补证")</f>
        <v>待补证</v>
      </c>
    </row>
    <row r="81" spans="1:14" ht="58" customHeight="1">
      <c r="A81" s="8" t="s">
        <v>88</v>
      </c>
      <c r="B81" s="8" t="s">
        <v>89</v>
      </c>
      <c r="C81" s="8" t="s">
        <v>515</v>
      </c>
      <c r="D81" s="8" t="s">
        <v>516</v>
      </c>
      <c r="E81" s="8"/>
      <c r="F81" s="8"/>
      <c r="G81" s="8"/>
      <c r="H81" s="8" t="s">
        <v>506</v>
      </c>
      <c r="I81" s="8"/>
      <c r="J81" s="8"/>
      <c r="L81" s="9">
        <f>IF(AND(N81="完整",ISNUMBER('03_逐品成本'!E9),'03_逐品成本'!E9&gt;0),ROUND(ROUND(F81*IF(E81="PHP",'03_逐品成本'!E9,1),10),2),"")</f>
        <v/>
      </c>
      <c r="M81" s="9">
        <f>IF(AND(N81="完整",ISNUMBER('03_逐品成本'!E9),'03_逐品成本'!E9&gt;0),ROUND(ROUND(IF(ISNUMBER(G81),G81,F81)*1*IF(E81="PHP",'03_逐品成本'!E9*0.95,1),10),2),"")</f>
        <v/>
      </c>
      <c r="N81" s="6" t="str">
        <f>IF(AND(ISNUMBER(F81),F81&gt;=0,OR(E81="PHP",E81="CNY"),OR(H81="已核实",H81="不适用"),I81&lt;&gt;"",J81&lt;&gt;"",ISNUMBER(K81),K81&gt;='00_审核入口'!$F$2,OR(H81&lt;&gt;"不适用",F81=0),OR(G81="",AND(ISNUMBER(G81),G81&gt;=0))),"完整","待补证")</f>
        <v>待补证</v>
      </c>
    </row>
    <row r="82" spans="1:14" ht="58" customHeight="1">
      <c r="A82" s="8" t="s">
        <v>88</v>
      </c>
      <c r="B82" s="8" t="s">
        <v>89</v>
      </c>
      <c r="C82" s="8" t="s">
        <v>517</v>
      </c>
      <c r="D82" s="8" t="s">
        <v>518</v>
      </c>
      <c r="E82" s="8"/>
      <c r="F82" s="8"/>
      <c r="G82" s="8"/>
      <c r="H82" s="8" t="s">
        <v>506</v>
      </c>
      <c r="I82" s="8"/>
      <c r="J82" s="8"/>
      <c r="L82" s="9">
        <f>IF(AND(N82="完整",ISNUMBER('03_逐品成本'!E9),'03_逐品成本'!E9&gt;0),ROUND(ROUND(F82*IF(E82="PHP",'03_逐品成本'!E9,1),10),2),"")</f>
        <v/>
      </c>
      <c r="M82" s="9">
        <f>IF(AND(N82="完整",ISNUMBER('03_逐品成本'!E9),'03_逐品成本'!E9&gt;0),ROUND(ROUND(IF(ISNUMBER(G82),G82,F82)*1*IF(E82="PHP",'03_逐品成本'!E9*0.95,1),10),2),"")</f>
        <v/>
      </c>
      <c r="N82" s="6" t="str">
        <f>IF(AND(ISNUMBER(F82),F82&gt;=0,OR(E82="PHP",E82="CNY"),OR(H82="已核实",H82="不适用"),I82&lt;&gt;"",J82&lt;&gt;"",ISNUMBER(K82),K82&gt;='00_审核入口'!$F$2,OR(H82&lt;&gt;"不适用",F82=0),OR(G82="",AND(ISNUMBER(G82),G82&gt;=0))),"完整","待补证")</f>
        <v>待补证</v>
      </c>
    </row>
    <row r="83" spans="1:14" ht="58" customHeight="1">
      <c r="A83" s="8" t="s">
        <v>88</v>
      </c>
      <c r="B83" s="8" t="s">
        <v>89</v>
      </c>
      <c r="C83" s="8" t="s">
        <v>519</v>
      </c>
      <c r="D83" s="8" t="s">
        <v>520</v>
      </c>
      <c r="E83" s="8"/>
      <c r="F83" s="8"/>
      <c r="G83" s="8"/>
      <c r="H83" s="8" t="s">
        <v>506</v>
      </c>
      <c r="I83" s="8"/>
      <c r="J83" s="8"/>
      <c r="L83" s="9">
        <f>IF(AND(N83="完整",ISNUMBER('03_逐品成本'!E9),'03_逐品成本'!E9&gt;0),ROUND(ROUND(F83*IF(E83="PHP",'03_逐品成本'!E9,1),10),2),"")</f>
        <v/>
      </c>
      <c r="M83" s="9">
        <f>IF(AND(N83="完整",ISNUMBER('03_逐品成本'!E9),'03_逐品成本'!E9&gt;0),ROUND(ROUND(IF(ISNUMBER(G83),G83,F83)*1*IF(E83="PHP",'03_逐品成本'!E9*0.95,1),10),2),"")</f>
        <v/>
      </c>
      <c r="N83" s="6" t="str">
        <f>IF(AND(ISNUMBER(F83),F83&gt;=0,OR(E83="PHP",E83="CNY"),OR(H83="已核实",H83="不适用"),I83&lt;&gt;"",J83&lt;&gt;"",ISNUMBER(K83),K83&gt;='00_审核入口'!$F$2,OR(H83&lt;&gt;"不适用",F83=0),OR(G83="",AND(ISNUMBER(G83),G83&gt;=0))),"完整","待补证")</f>
        <v>待补证</v>
      </c>
    </row>
    <row r="84" spans="1:14" ht="58" customHeight="1">
      <c r="A84" s="8" t="s">
        <v>88</v>
      </c>
      <c r="B84" s="8" t="s">
        <v>89</v>
      </c>
      <c r="C84" s="8" t="s">
        <v>521</v>
      </c>
      <c r="D84" s="8" t="s">
        <v>522</v>
      </c>
      <c r="E84" s="8"/>
      <c r="F84" s="8"/>
      <c r="G84" s="8"/>
      <c r="H84" s="8" t="s">
        <v>506</v>
      </c>
      <c r="I84" s="8"/>
      <c r="J84" s="8"/>
      <c r="L84" s="9">
        <f>IF(AND(N84="完整",ISNUMBER('03_逐品成本'!E9),'03_逐品成本'!E9&gt;0),ROUND(ROUND(F84*IF(E84="PHP",'03_逐品成本'!E9,1),10),2),"")</f>
        <v/>
      </c>
      <c r="M84" s="9">
        <f>IF(AND(N84="完整",ISNUMBER('03_逐品成本'!E9),'03_逐品成本'!E9&gt;0),ROUND(ROUND(IF(ISNUMBER(G84),G84,F84)*1*IF(E84="PHP",'03_逐品成本'!E9*0.95,1),10),2),"")</f>
        <v/>
      </c>
      <c r="N84" s="6" t="str">
        <f>IF(AND(ISNUMBER(F84),F84&gt;=0,OR(E84="PHP",E84="CNY"),OR(H84="已核实",H84="不适用"),I84&lt;&gt;"",J84&lt;&gt;"",ISNUMBER(K84),K84&gt;='00_审核入口'!$F$2,OR(H84&lt;&gt;"不适用",F84=0),OR(G84="",AND(ISNUMBER(G84),G84&gt;=0))),"完整","待补证")</f>
        <v>待补证</v>
      </c>
    </row>
    <row r="85" spans="1:14" ht="58" customHeight="1">
      <c r="A85" s="8" t="s">
        <v>88</v>
      </c>
      <c r="B85" s="8" t="s">
        <v>89</v>
      </c>
      <c r="C85" s="8" t="s">
        <v>523</v>
      </c>
      <c r="D85" s="8" t="s">
        <v>524</v>
      </c>
      <c r="E85" s="8"/>
      <c r="F85" s="8"/>
      <c r="G85" s="8"/>
      <c r="H85" s="8" t="s">
        <v>506</v>
      </c>
      <c r="I85" s="8"/>
      <c r="J85" s="8"/>
      <c r="L85" s="9">
        <f>IF(AND(N85="完整",ISNUMBER('03_逐品成本'!E9),'03_逐品成本'!E9&gt;0),ROUND(ROUND(F85*IF(E85="PHP",'03_逐品成本'!E9,1),10),2),"")</f>
        <v/>
      </c>
      <c r="M85" s="9">
        <f>IF(AND(N85="完整",ISNUMBER('03_逐品成本'!E9),'03_逐品成本'!E9&gt;0),ROUND(ROUND(IF(ISNUMBER(G85),G85,F85)*1.15*IF(E85="PHP",'03_逐品成本'!E9*0.95,1),10),2),"")</f>
        <v/>
      </c>
      <c r="N85" s="6" t="str">
        <f>IF(AND(ISNUMBER(F85),F85&gt;=0,OR(E85="PHP",E85="CNY"),OR(H85="已核实",H85="不适用"),I85&lt;&gt;"",J85&lt;&gt;"",ISNUMBER(K85),K85&gt;='00_审核入口'!$F$2,OR(H85&lt;&gt;"不适用",F85=0),OR(G85="",AND(ISNUMBER(G85),G85&gt;=0))),"完整","待补证")</f>
        <v>待补证</v>
      </c>
    </row>
    <row r="86" spans="1:14" ht="58" customHeight="1">
      <c r="A86" s="8" t="s">
        <v>88</v>
      </c>
      <c r="B86" s="8" t="s">
        <v>89</v>
      </c>
      <c r="C86" s="8" t="s">
        <v>525</v>
      </c>
      <c r="D86" s="8" t="s">
        <v>526</v>
      </c>
      <c r="E86" s="8"/>
      <c r="F86" s="8"/>
      <c r="G86" s="8"/>
      <c r="H86" s="8" t="s">
        <v>506</v>
      </c>
      <c r="I86" s="8"/>
      <c r="J86" s="8"/>
      <c r="L86" s="9">
        <f>IF(AND(N86="完整",ISNUMBER('03_逐品成本'!E9),'03_逐品成本'!E9&gt;0),ROUND(ROUND(F86*IF(E86="PHP",'03_逐品成本'!E9,1),10),2),"")</f>
        <v/>
      </c>
      <c r="M86" s="9">
        <f>IF(AND(N86="完整",ISNUMBER('03_逐品成本'!E9),'03_逐品成本'!E9&gt;0),ROUND(ROUND(IF(ISNUMBER(G86),G86,F86)*1.15*IF(E86="PHP",'03_逐品成本'!E9*0.95,1),10),2),"")</f>
        <v/>
      </c>
      <c r="N86" s="6" t="str">
        <f>IF(AND(ISNUMBER(F86),F86&gt;=0,OR(E86="PHP",E86="CNY"),OR(H86="已核实",H86="不适用"),I86&lt;&gt;"",J86&lt;&gt;"",ISNUMBER(K86),K86&gt;='00_审核入口'!$F$2,OR(H86&lt;&gt;"不适用",F86=0),OR(G86="",AND(ISNUMBER(G86),G86&gt;=0))),"完整","待补证")</f>
        <v>待补证</v>
      </c>
    </row>
    <row r="87" spans="1:14" ht="58" customHeight="1">
      <c r="A87" s="8" t="s">
        <v>88</v>
      </c>
      <c r="B87" s="8" t="s">
        <v>89</v>
      </c>
      <c r="C87" s="8" t="s">
        <v>527</v>
      </c>
      <c r="D87" s="8" t="s">
        <v>528</v>
      </c>
      <c r="E87" s="8"/>
      <c r="F87" s="8"/>
      <c r="G87" s="8"/>
      <c r="H87" s="8" t="s">
        <v>506</v>
      </c>
      <c r="I87" s="8"/>
      <c r="J87" s="8"/>
      <c r="L87" s="9">
        <f>IF(AND(N87="完整",ISNUMBER('03_逐品成本'!E9),'03_逐品成本'!E9&gt;0),ROUND(ROUND(F87*IF(E87="PHP",'03_逐品成本'!E9,1),10),2),"")</f>
        <v/>
      </c>
      <c r="M87" s="9">
        <f>IF(AND(N87="完整",ISNUMBER('03_逐品成本'!E9),'03_逐品成本'!E9&gt;0),ROUND(ROUND(IF(ISNUMBER(G87),G87,F87)*1.15*IF(E87="PHP",'03_逐品成本'!E9*0.95,1),10),2),"")</f>
        <v/>
      </c>
      <c r="N87" s="6" t="str">
        <f>IF(AND(ISNUMBER(F87),F87&gt;=0,OR(E87="PHP",E87="CNY"),OR(H87="已核实",H87="不适用"),I87&lt;&gt;"",J87&lt;&gt;"",ISNUMBER(K87),K87&gt;='00_审核入口'!$F$2,OR(H87&lt;&gt;"不适用",F87=0),OR(G87="",AND(ISNUMBER(G87),G87&gt;=0))),"完整","待补证")</f>
        <v>待补证</v>
      </c>
    </row>
    <row r="88" spans="1:14" ht="58" customHeight="1">
      <c r="A88" s="8" t="s">
        <v>88</v>
      </c>
      <c r="B88" s="8" t="s">
        <v>89</v>
      </c>
      <c r="C88" s="8" t="s">
        <v>529</v>
      </c>
      <c r="D88" s="8" t="s">
        <v>530</v>
      </c>
      <c r="E88" s="8"/>
      <c r="F88" s="8"/>
      <c r="G88" s="8"/>
      <c r="H88" s="8" t="s">
        <v>506</v>
      </c>
      <c r="I88" s="8"/>
      <c r="J88" s="8"/>
      <c r="L88" s="9">
        <f>IF(AND(N88="完整",ISNUMBER('03_逐品成本'!E9),'03_逐品成本'!E9&gt;0),ROUND(ROUND(F88*IF(E88="PHP",'03_逐品成本'!E9,1),10),2),"")</f>
        <v/>
      </c>
      <c r="M88" s="9">
        <f>IF(AND(N88="完整",ISNUMBER('03_逐品成本'!E9),'03_逐品成本'!E9&gt;0),ROUND(ROUND(IF(ISNUMBER(G88),G88,F88)*1*IF(E88="PHP",'03_逐品成本'!E9*0.95,1),10),2),"")</f>
        <v/>
      </c>
      <c r="N88" s="6" t="str">
        <f>IF(AND(ISNUMBER(F88),F88&gt;=0,OR(E88="PHP",E88="CNY"),OR(H88="已核实",H88="不适用",H88="预算"),I88&lt;&gt;"",J88&lt;&gt;"",ISNUMBER(K88),K88&gt;='00_审核入口'!$F$2,OR(H88&lt;&gt;"不适用",F88=0),OR(G88="",AND(ISNUMBER(G88),G88&gt;=0))),"完整","待补证")</f>
        <v>待补证</v>
      </c>
    </row>
    <row r="89" spans="1:14" ht="58" customHeight="1">
      <c r="A89" s="8" t="s">
        <v>88</v>
      </c>
      <c r="B89" s="8" t="s">
        <v>89</v>
      </c>
      <c r="C89" s="8" t="s">
        <v>531</v>
      </c>
      <c r="D89" s="8" t="s">
        <v>532</v>
      </c>
      <c r="E89" s="8"/>
      <c r="F89" s="8"/>
      <c r="G89" s="8"/>
      <c r="H89" s="8" t="s">
        <v>506</v>
      </c>
      <c r="I89" s="8"/>
      <c r="J89" s="8"/>
      <c r="L89" s="9">
        <f>IF(AND(N89="完整",ISNUMBER('03_逐品成本'!E9),'03_逐品成本'!E9&gt;0),ROUND(ROUND(F89*IF(E89="PHP",'03_逐品成本'!E9,1),10),2),"")</f>
        <v/>
      </c>
      <c r="M89" s="9">
        <f>IF(AND(N89="完整",ISNUMBER('03_逐品成本'!E9),'03_逐品成本'!E9&gt;0),ROUND(ROUND(IF(ISNUMBER(G89),G89,F89)*1*IF(E89="PHP",'03_逐品成本'!E9*0.95,1),10),2),"")</f>
        <v/>
      </c>
      <c r="N89" s="6" t="str">
        <f>IF(AND(ISNUMBER(F89),F89&gt;=0,OR(E89="PHP",E89="CNY"),OR(H89="已核实",H89="不适用",H89="预算"),I89&lt;&gt;"",J89&lt;&gt;"",ISNUMBER(K89),K89&gt;='00_审核入口'!$F$2,OR(H89&lt;&gt;"不适用",F89=0),OR(G89="",AND(ISNUMBER(G89),G89&gt;=0))),"完整","待补证")</f>
        <v>待补证</v>
      </c>
    </row>
    <row r="90" spans="1:14" ht="58" customHeight="1">
      <c r="A90" s="8" t="s">
        <v>88</v>
      </c>
      <c r="B90" s="8" t="s">
        <v>89</v>
      </c>
      <c r="C90" s="8" t="s">
        <v>533</v>
      </c>
      <c r="D90" s="8" t="s">
        <v>534</v>
      </c>
      <c r="E90" s="8"/>
      <c r="F90" s="8"/>
      <c r="G90" s="8"/>
      <c r="H90" s="8" t="s">
        <v>506</v>
      </c>
      <c r="I90" s="8"/>
      <c r="J90" s="8"/>
      <c r="L90" s="9">
        <f>IF(AND(N90="完整",ISNUMBER('03_逐品成本'!E9),'03_逐品成本'!E9&gt;0),ROUND(ROUND(F90*IF(E90="PHP",'03_逐品成本'!E9,1),10),2),"")</f>
        <v/>
      </c>
      <c r="M90" s="9">
        <f>IF(AND(N90="完整",ISNUMBER('03_逐品成本'!E9),'03_逐品成本'!E9&gt;0),ROUND(ROUND(IF(ISNUMBER(G90),G90,F90)*1*IF(E90="PHP",'03_逐品成本'!E9*0.95,1),10),2),"")</f>
        <v/>
      </c>
      <c r="N90" s="6" t="str">
        <f>IF(AND(ISNUMBER(F90),F90&gt;=0,OR(E90="PHP",E90="CNY"),OR(H90="已核实",H90="不适用",H90="预算"),I90&lt;&gt;"",J90&lt;&gt;"",ISNUMBER(K90),K90&gt;='00_审核入口'!$F$2,OR(H90&lt;&gt;"不适用",F90=0),OR(G90="",AND(ISNUMBER(G90),G90&gt;=0))),"完整","待补证")</f>
        <v>待补证</v>
      </c>
    </row>
    <row r="91" spans="1:14" ht="58" customHeight="1">
      <c r="A91" s="8" t="s">
        <v>88</v>
      </c>
      <c r="B91" s="8" t="s">
        <v>89</v>
      </c>
      <c r="C91" s="8" t="s">
        <v>535</v>
      </c>
      <c r="D91" s="8" t="s">
        <v>536</v>
      </c>
      <c r="E91" s="8"/>
      <c r="F91" s="8"/>
      <c r="G91" s="8"/>
      <c r="H91" s="8" t="s">
        <v>506</v>
      </c>
      <c r="I91" s="8"/>
      <c r="J91" s="8"/>
      <c r="L91" s="9">
        <f>IF(AND(N91="完整",ISNUMBER('03_逐品成本'!E9),'03_逐品成本'!E9&gt;0),ROUND(ROUND(F91*IF(E91="PHP",'03_逐品成本'!E9,1),10),2),"")</f>
        <v/>
      </c>
      <c r="M91" s="9">
        <f>IF(AND(N91="完整",ISNUMBER('03_逐品成本'!E9),'03_逐品成本'!E9&gt;0),ROUND(ROUND(IF(ISNUMBER(G91),G91,F91)*1*IF(E91="PHP",'03_逐品成本'!E9*0.95,1),10),2),"")</f>
        <v/>
      </c>
      <c r="N91" s="6" t="str">
        <f>IF(AND(ISNUMBER(F91),F91&gt;=0,OR(E91="PHP",E91="CNY"),OR(H91="已核实",H91="不适用"),I91&lt;&gt;"",J91&lt;&gt;"",ISNUMBER(K91),K91&gt;='00_审核入口'!$F$2,OR(H91&lt;&gt;"不适用",F91=0),OR(G91="",AND(ISNUMBER(G91),G91&gt;=0))),"完整","待补证")</f>
        <v>待补证</v>
      </c>
    </row>
    <row r="92" spans="1:14" ht="58" customHeight="1">
      <c r="A92" s="8" t="s">
        <v>88</v>
      </c>
      <c r="B92" s="8" t="s">
        <v>89</v>
      </c>
      <c r="C92" s="8" t="s">
        <v>537</v>
      </c>
      <c r="D92" s="8" t="s">
        <v>538</v>
      </c>
      <c r="E92" s="8"/>
      <c r="F92" s="8"/>
      <c r="G92" s="8"/>
      <c r="H92" s="8" t="s">
        <v>506</v>
      </c>
      <c r="I92" s="8"/>
      <c r="J92" s="8"/>
      <c r="L92" s="9">
        <f>IF(AND(N92="完整",ISNUMBER('03_逐品成本'!E9),'03_逐品成本'!E9&gt;0),ROUND(ROUND(F92*IF(E92="PHP",'03_逐品成本'!E9,1),10),2),"")</f>
        <v/>
      </c>
      <c r="M92" s="9">
        <f>IF(AND(N92="完整",ISNUMBER('03_逐品成本'!E9),'03_逐品成本'!E9&gt;0),ROUND(ROUND(IF(ISNUMBER(G92),G92,F92)*1*IF(E92="PHP",'03_逐品成本'!E9*0.95,1),10),2),"")</f>
        <v/>
      </c>
      <c r="N92" s="6" t="str">
        <f>IF(AND(ISNUMBER(F92),F92&gt;=0,OR(E92="PHP",E92="CNY"),OR(H92="已核实",H92="不适用"),I92&lt;&gt;"",J92&lt;&gt;"",ISNUMBER(K92),K92&gt;='00_审核入口'!$F$2,OR(H92&lt;&gt;"不适用",F92=0),OR(G92="",AND(ISNUMBER(G92),G92&gt;=0))),"完整","待补证")</f>
        <v>待补证</v>
      </c>
    </row>
    <row r="93" spans="1:14" ht="58" customHeight="1">
      <c r="A93" s="8" t="s">
        <v>88</v>
      </c>
      <c r="B93" s="8" t="s">
        <v>89</v>
      </c>
      <c r="C93" s="8" t="s">
        <v>539</v>
      </c>
      <c r="D93" s="8" t="s">
        <v>540</v>
      </c>
      <c r="E93" s="8"/>
      <c r="F93" s="8"/>
      <c r="G93" s="8"/>
      <c r="H93" s="8" t="s">
        <v>506</v>
      </c>
      <c r="I93" s="8"/>
      <c r="J93" s="8"/>
      <c r="L93" s="9">
        <f>IF(AND(N93="完整",ISNUMBER('03_逐品成本'!E9),'03_逐品成本'!E9&gt;0),ROUND(ROUND(F93*IF(E93="PHP",'03_逐品成本'!E9,1),10),2),"")</f>
        <v/>
      </c>
      <c r="M93" s="9">
        <f>IF(AND(N93="完整",ISNUMBER('03_逐品成本'!E9),'03_逐品成本'!E9&gt;0),ROUND(ROUND(IF(ISNUMBER(G93),G93,F93)*1*IF(E93="PHP",'03_逐品成本'!E9*0.95,1),10),2),"")</f>
        <v/>
      </c>
      <c r="N93" s="6" t="str">
        <f>IF(AND(ISNUMBER(F93),F93&gt;=0,OR(E93="PHP",E93="CNY"),OR(H93="已核实",H93="不适用",H93="预算"),I93&lt;&gt;"",J93&lt;&gt;"",ISNUMBER(K93),K93&gt;='00_审核入口'!$F$2,OR(H93&lt;&gt;"不适用",F93=0),OR(G93="",AND(ISNUMBER(G93),G93&gt;=0))),"完整","待补证")</f>
        <v>待补证</v>
      </c>
    </row>
    <row r="94" spans="1:14" ht="58" customHeight="1">
      <c r="A94" s="8" t="s">
        <v>88</v>
      </c>
      <c r="B94" s="8" t="s">
        <v>89</v>
      </c>
      <c r="C94" s="8" t="s">
        <v>541</v>
      </c>
      <c r="D94" s="8" t="s">
        <v>542</v>
      </c>
      <c r="E94" s="8"/>
      <c r="F94" s="8"/>
      <c r="G94" s="8"/>
      <c r="H94" s="8" t="s">
        <v>506</v>
      </c>
      <c r="I94" s="8"/>
      <c r="J94" s="8"/>
      <c r="L94" s="9">
        <f>IF(AND(N94="完整",ISNUMBER('03_逐品成本'!E9),'03_逐品成本'!E9&gt;0),ROUND(ROUND(F94*IF(E94="PHP",'03_逐品成本'!E9,1),10),2),"")</f>
        <v/>
      </c>
      <c r="M94" s="9">
        <f>IF(AND(N94="完整",ISNUMBER('03_逐品成本'!E9),'03_逐品成本'!E9&gt;0),ROUND(ROUND(IF(ISNUMBER(G94),G94,F94)*1*IF(E94="PHP",'03_逐品成本'!E9*0.95,1),10),2),"")</f>
        <v/>
      </c>
      <c r="N94" s="6" t="str">
        <f>IF(AND(ISNUMBER(F94),F94&gt;=0,OR(E94="PHP",E94="CNY"),OR(H94="已核实",H94="不适用",H94="预算"),I94&lt;&gt;"",J94&lt;&gt;"",ISNUMBER(K94),K94&gt;='00_审核入口'!$F$2,OR(H94&lt;&gt;"不适用",F94=0),OR(G94="",AND(ISNUMBER(G94),G94&gt;=0))),"完整","待补证")</f>
        <v>待补证</v>
      </c>
    </row>
    <row r="95" spans="1:14" ht="58" customHeight="1">
      <c r="A95" s="8" t="s">
        <v>96</v>
      </c>
      <c r="B95" s="8" t="s">
        <v>97</v>
      </c>
      <c r="C95" s="8" t="s">
        <v>507</v>
      </c>
      <c r="D95" s="8" t="s">
        <v>508</v>
      </c>
      <c r="E95" s="8"/>
      <c r="F95" s="8"/>
      <c r="G95" s="8"/>
      <c r="H95" s="8" t="s">
        <v>506</v>
      </c>
      <c r="I95" s="8"/>
      <c r="J95" s="8"/>
      <c r="L95" s="9">
        <f>IF(AND(N95="完整",ISNUMBER('03_逐品成本'!E10),'03_逐品成本'!E10&gt;0),ROUND(ROUND(F95*IF(E95="PHP",'03_逐品成本'!E10,1),10),2),"")</f>
        <v/>
      </c>
      <c r="M95" s="9">
        <f>IF(AND(N95="完整",ISNUMBER('03_逐品成本'!E10),'03_逐品成本'!E10&gt;0),ROUND(ROUND(IF(ISNUMBER(G95),G95,F95)*1*IF(E95="PHP",'03_逐品成本'!E10*0.95,1),10),2),"")</f>
        <v/>
      </c>
      <c r="N95" s="6" t="str">
        <f>IF(AND(ISNUMBER(F95),F95&gt;=0,OR(E95="PHP",E95="CNY"),OR(H95="已核实",H95="不适用"),I95&lt;&gt;"",J95&lt;&gt;"",ISNUMBER(K95),K95&gt;='00_审核入口'!$F$2,OR(H95&lt;&gt;"不适用",F95=0),OR(G95="",AND(ISNUMBER(G95),G95&gt;=0))),"完整","待补证")</f>
        <v>待补证</v>
      </c>
    </row>
    <row r="96" spans="1:14" ht="58" customHeight="1">
      <c r="A96" s="8" t="s">
        <v>96</v>
      </c>
      <c r="B96" s="8" t="s">
        <v>97</v>
      </c>
      <c r="C96" s="8" t="s">
        <v>509</v>
      </c>
      <c r="D96" s="8" t="s">
        <v>510</v>
      </c>
      <c r="E96" s="8"/>
      <c r="F96" s="8"/>
      <c r="G96" s="8"/>
      <c r="H96" s="8" t="s">
        <v>506</v>
      </c>
      <c r="I96" s="8"/>
      <c r="J96" s="8"/>
      <c r="L96" s="9">
        <f>IF(AND(N96="完整",ISNUMBER('03_逐品成本'!E10),'03_逐品成本'!E10&gt;0),ROUND(ROUND(F96*IF(E96="PHP",'03_逐品成本'!E10,1),10),2),"")</f>
        <v/>
      </c>
      <c r="M96" s="9">
        <f>IF(AND(N96="完整",ISNUMBER('03_逐品成本'!E10),'03_逐品成本'!E10&gt;0),ROUND(ROUND(IF(ISNUMBER(G96),G96,F96)*1*IF(E96="PHP",'03_逐品成本'!E10*0.95,1),10),2),"")</f>
        <v/>
      </c>
      <c r="N96" s="6" t="str">
        <f>IF(AND(ISNUMBER(F96),F96&gt;=0,OR(E96="PHP",E96="CNY"),OR(H96="已核实",H96="不适用"),I96&lt;&gt;"",J96&lt;&gt;"",ISNUMBER(K96),K96&gt;='00_审核入口'!$F$2,OR(H96&lt;&gt;"不适用",F96=0),OR(G96="",AND(ISNUMBER(G96),G96&gt;=0)),ISNUMBER(G96),G96&gt;=0),"完整","待补证")</f>
        <v>待补证</v>
      </c>
    </row>
    <row r="97" spans="1:14" ht="58" customHeight="1">
      <c r="A97" s="8" t="s">
        <v>96</v>
      </c>
      <c r="B97" s="8" t="s">
        <v>97</v>
      </c>
      <c r="C97" s="8" t="s">
        <v>511</v>
      </c>
      <c r="D97" s="8" t="s">
        <v>512</v>
      </c>
      <c r="E97" s="8"/>
      <c r="F97" s="8"/>
      <c r="G97" s="8"/>
      <c r="H97" s="8" t="s">
        <v>506</v>
      </c>
      <c r="I97" s="8"/>
      <c r="J97" s="8"/>
      <c r="L97" s="9">
        <f>IF(AND(N97="完整",ISNUMBER('03_逐品成本'!E10),'03_逐品成本'!E10&gt;0),ROUND(ROUND(F97*IF(E97="PHP",'03_逐品成本'!E10,1),10),2),"")</f>
        <v/>
      </c>
      <c r="M97" s="9">
        <f>IF(AND(N97="完整",ISNUMBER('03_逐品成本'!E10),'03_逐品成本'!E10&gt;0),ROUND(ROUND(IF(ISNUMBER(G97),G97,F97)*1*IF(E97="PHP",'03_逐品成本'!E10*0.95,1),10),2),"")</f>
        <v/>
      </c>
      <c r="N97" s="6" t="str">
        <f>IF(AND(ISNUMBER(F97),F97&gt;=0,OR(E97="PHP",E97="CNY"),OR(H97="已核实",H97="不适用"),I97&lt;&gt;"",J97&lt;&gt;"",ISNUMBER(K97),K97&gt;='00_审核入口'!$F$2,OR(H97&lt;&gt;"不适用",F97=0),OR(G97="",AND(ISNUMBER(G97),G97&gt;=0))),"完整","待补证")</f>
        <v>待补证</v>
      </c>
    </row>
    <row r="98" spans="1:14" ht="58" customHeight="1">
      <c r="A98" s="8" t="s">
        <v>96</v>
      </c>
      <c r="B98" s="8" t="s">
        <v>97</v>
      </c>
      <c r="C98" s="8" t="s">
        <v>513</v>
      </c>
      <c r="D98" s="8" t="s">
        <v>514</v>
      </c>
      <c r="E98" s="8"/>
      <c r="F98" s="8"/>
      <c r="G98" s="8"/>
      <c r="H98" s="8" t="s">
        <v>506</v>
      </c>
      <c r="I98" s="8"/>
      <c r="J98" s="8"/>
      <c r="L98" s="9">
        <f>IF(AND(N98="完整",ISNUMBER('03_逐品成本'!E10),'03_逐品成本'!E10&gt;0),ROUND(ROUND(F98*IF(E98="PHP",'03_逐品成本'!E10,1),10),2),"")</f>
        <v/>
      </c>
      <c r="M98" s="9">
        <f>IF(AND(N98="完整",ISNUMBER('03_逐品成本'!E10),'03_逐品成本'!E10&gt;0),ROUND(ROUND(IF(ISNUMBER(G98),G98,F98)*1*IF(E98="PHP",'03_逐品成本'!E10*0.95,1),10),2),"")</f>
        <v/>
      </c>
      <c r="N98" s="6" t="str">
        <f>IF(AND(ISNUMBER(F98),F98&gt;=0,OR(E98="PHP",E98="CNY"),OR(H98="已核实",H98="不适用"),I98&lt;&gt;"",J98&lt;&gt;"",ISNUMBER(K98),K98&gt;='00_审核入口'!$F$2,OR(H98&lt;&gt;"不适用",F98=0),OR(G98="",AND(ISNUMBER(G98),G98&gt;=0))),"完整","待补证")</f>
        <v>待补证</v>
      </c>
    </row>
    <row r="99" spans="1:14" ht="58" customHeight="1">
      <c r="A99" s="8" t="s">
        <v>96</v>
      </c>
      <c r="B99" s="8" t="s">
        <v>97</v>
      </c>
      <c r="C99" s="8" t="s">
        <v>515</v>
      </c>
      <c r="D99" s="8" t="s">
        <v>516</v>
      </c>
      <c r="E99" s="8"/>
      <c r="F99" s="8"/>
      <c r="G99" s="8"/>
      <c r="H99" s="8" t="s">
        <v>506</v>
      </c>
      <c r="I99" s="8"/>
      <c r="J99" s="8"/>
      <c r="L99" s="9">
        <f>IF(AND(N99="完整",ISNUMBER('03_逐品成本'!E10),'03_逐品成本'!E10&gt;0),ROUND(ROUND(F99*IF(E99="PHP",'03_逐品成本'!E10,1),10),2),"")</f>
        <v/>
      </c>
      <c r="M99" s="9">
        <f>IF(AND(N99="完整",ISNUMBER('03_逐品成本'!E10),'03_逐品成本'!E10&gt;0),ROUND(ROUND(IF(ISNUMBER(G99),G99,F99)*1*IF(E99="PHP",'03_逐品成本'!E10*0.95,1),10),2),"")</f>
        <v/>
      </c>
      <c r="N99" s="6" t="str">
        <f>IF(AND(ISNUMBER(F99),F99&gt;=0,OR(E99="PHP",E99="CNY"),OR(H99="已核实",H99="不适用"),I99&lt;&gt;"",J99&lt;&gt;"",ISNUMBER(K99),K99&gt;='00_审核入口'!$F$2,OR(H99&lt;&gt;"不适用",F99=0),OR(G99="",AND(ISNUMBER(G99),G99&gt;=0))),"完整","待补证")</f>
        <v>待补证</v>
      </c>
    </row>
    <row r="100" spans="1:14" ht="58" customHeight="1">
      <c r="A100" s="8" t="s">
        <v>96</v>
      </c>
      <c r="B100" s="8" t="s">
        <v>97</v>
      </c>
      <c r="C100" s="8" t="s">
        <v>517</v>
      </c>
      <c r="D100" s="8" t="s">
        <v>518</v>
      </c>
      <c r="E100" s="8"/>
      <c r="F100" s="8"/>
      <c r="G100" s="8"/>
      <c r="H100" s="8" t="s">
        <v>506</v>
      </c>
      <c r="I100" s="8"/>
      <c r="J100" s="8"/>
      <c r="L100" s="9">
        <f>IF(AND(N100="完整",ISNUMBER('03_逐品成本'!E10),'03_逐品成本'!E10&gt;0),ROUND(ROUND(F100*IF(E100="PHP",'03_逐品成本'!E10,1),10),2),"")</f>
        <v/>
      </c>
      <c r="M100" s="9">
        <f>IF(AND(N100="完整",ISNUMBER('03_逐品成本'!E10),'03_逐品成本'!E10&gt;0),ROUND(ROUND(IF(ISNUMBER(G100),G100,F100)*1*IF(E100="PHP",'03_逐品成本'!E10*0.95,1),10),2),"")</f>
        <v/>
      </c>
      <c r="N100" s="6" t="str">
        <f>IF(AND(ISNUMBER(F100),F100&gt;=0,OR(E100="PHP",E100="CNY"),OR(H100="已核实",H100="不适用"),I100&lt;&gt;"",J100&lt;&gt;"",ISNUMBER(K100),K100&gt;='00_审核入口'!$F$2,OR(H100&lt;&gt;"不适用",F100=0),OR(G100="",AND(ISNUMBER(G100),G100&gt;=0))),"完整","待补证")</f>
        <v>待补证</v>
      </c>
    </row>
    <row r="101" spans="1:14" ht="58" customHeight="1">
      <c r="A101" s="8" t="s">
        <v>96</v>
      </c>
      <c r="B101" s="8" t="s">
        <v>97</v>
      </c>
      <c r="C101" s="8" t="s">
        <v>519</v>
      </c>
      <c r="D101" s="8" t="s">
        <v>520</v>
      </c>
      <c r="E101" s="8"/>
      <c r="F101" s="8"/>
      <c r="G101" s="8"/>
      <c r="H101" s="8" t="s">
        <v>506</v>
      </c>
      <c r="I101" s="8"/>
      <c r="J101" s="8"/>
      <c r="L101" s="9">
        <f>IF(AND(N101="完整",ISNUMBER('03_逐品成本'!E10),'03_逐品成本'!E10&gt;0),ROUND(ROUND(F101*IF(E101="PHP",'03_逐品成本'!E10,1),10),2),"")</f>
        <v/>
      </c>
      <c r="M101" s="9">
        <f>IF(AND(N101="完整",ISNUMBER('03_逐品成本'!E10),'03_逐品成本'!E10&gt;0),ROUND(ROUND(IF(ISNUMBER(G101),G101,F101)*1*IF(E101="PHP",'03_逐品成本'!E10*0.95,1),10),2),"")</f>
        <v/>
      </c>
      <c r="N101" s="6" t="str">
        <f>IF(AND(ISNUMBER(F101),F101&gt;=0,OR(E101="PHP",E101="CNY"),OR(H101="已核实",H101="不适用"),I101&lt;&gt;"",J101&lt;&gt;"",ISNUMBER(K101),K101&gt;='00_审核入口'!$F$2,OR(H101&lt;&gt;"不适用",F101=0),OR(G101="",AND(ISNUMBER(G101),G101&gt;=0))),"完整","待补证")</f>
        <v>待补证</v>
      </c>
    </row>
    <row r="102" spans="1:14" ht="58" customHeight="1">
      <c r="A102" s="8" t="s">
        <v>96</v>
      </c>
      <c r="B102" s="8" t="s">
        <v>97</v>
      </c>
      <c r="C102" s="8" t="s">
        <v>521</v>
      </c>
      <c r="D102" s="8" t="s">
        <v>522</v>
      </c>
      <c r="E102" s="8"/>
      <c r="F102" s="8"/>
      <c r="G102" s="8"/>
      <c r="H102" s="8" t="s">
        <v>506</v>
      </c>
      <c r="I102" s="8"/>
      <c r="J102" s="8"/>
      <c r="L102" s="9">
        <f>IF(AND(N102="完整",ISNUMBER('03_逐品成本'!E10),'03_逐品成本'!E10&gt;0),ROUND(ROUND(F102*IF(E102="PHP",'03_逐品成本'!E10,1),10),2),"")</f>
        <v/>
      </c>
      <c r="M102" s="9">
        <f>IF(AND(N102="完整",ISNUMBER('03_逐品成本'!E10),'03_逐品成本'!E10&gt;0),ROUND(ROUND(IF(ISNUMBER(G102),G102,F102)*1*IF(E102="PHP",'03_逐品成本'!E10*0.95,1),10),2),"")</f>
        <v/>
      </c>
      <c r="N102" s="6" t="str">
        <f>IF(AND(ISNUMBER(F102),F102&gt;=0,OR(E102="PHP",E102="CNY"),OR(H102="已核实",H102="不适用"),I102&lt;&gt;"",J102&lt;&gt;"",ISNUMBER(K102),K102&gt;='00_审核入口'!$F$2,OR(H102&lt;&gt;"不适用",F102=0),OR(G102="",AND(ISNUMBER(G102),G102&gt;=0))),"完整","待补证")</f>
        <v>待补证</v>
      </c>
    </row>
    <row r="103" spans="1:14" ht="58" customHeight="1">
      <c r="A103" s="8" t="s">
        <v>96</v>
      </c>
      <c r="B103" s="8" t="s">
        <v>97</v>
      </c>
      <c r="C103" s="8" t="s">
        <v>523</v>
      </c>
      <c r="D103" s="8" t="s">
        <v>524</v>
      </c>
      <c r="E103" s="8"/>
      <c r="F103" s="8"/>
      <c r="G103" s="8"/>
      <c r="H103" s="8" t="s">
        <v>506</v>
      </c>
      <c r="I103" s="8"/>
      <c r="J103" s="8"/>
      <c r="L103" s="9">
        <f>IF(AND(N103="完整",ISNUMBER('03_逐品成本'!E10),'03_逐品成本'!E10&gt;0),ROUND(ROUND(F103*IF(E103="PHP",'03_逐品成本'!E10,1),10),2),"")</f>
        <v/>
      </c>
      <c r="M103" s="9">
        <f>IF(AND(N103="完整",ISNUMBER('03_逐品成本'!E10),'03_逐品成本'!E10&gt;0),ROUND(ROUND(IF(ISNUMBER(G103),G103,F103)*1.15*IF(E103="PHP",'03_逐品成本'!E10*0.95,1),10),2),"")</f>
        <v/>
      </c>
      <c r="N103" s="6" t="str">
        <f>IF(AND(ISNUMBER(F103),F103&gt;=0,OR(E103="PHP",E103="CNY"),OR(H103="已核实",H103="不适用"),I103&lt;&gt;"",J103&lt;&gt;"",ISNUMBER(K103),K103&gt;='00_审核入口'!$F$2,OR(H103&lt;&gt;"不适用",F103=0),OR(G103="",AND(ISNUMBER(G103),G103&gt;=0))),"完整","待补证")</f>
        <v>待补证</v>
      </c>
    </row>
    <row r="104" spans="1:14" ht="58" customHeight="1">
      <c r="A104" s="8" t="s">
        <v>96</v>
      </c>
      <c r="B104" s="8" t="s">
        <v>97</v>
      </c>
      <c r="C104" s="8" t="s">
        <v>525</v>
      </c>
      <c r="D104" s="8" t="s">
        <v>526</v>
      </c>
      <c r="E104" s="8"/>
      <c r="F104" s="8"/>
      <c r="G104" s="8"/>
      <c r="H104" s="8" t="s">
        <v>506</v>
      </c>
      <c r="I104" s="8"/>
      <c r="J104" s="8"/>
      <c r="L104" s="9">
        <f>IF(AND(N104="完整",ISNUMBER('03_逐品成本'!E10),'03_逐品成本'!E10&gt;0),ROUND(ROUND(F104*IF(E104="PHP",'03_逐品成本'!E10,1),10),2),"")</f>
        <v/>
      </c>
      <c r="M104" s="9">
        <f>IF(AND(N104="完整",ISNUMBER('03_逐品成本'!E10),'03_逐品成本'!E10&gt;0),ROUND(ROUND(IF(ISNUMBER(G104),G104,F104)*1.15*IF(E104="PHP",'03_逐品成本'!E10*0.95,1),10),2),"")</f>
        <v/>
      </c>
      <c r="N104" s="6" t="str">
        <f>IF(AND(ISNUMBER(F104),F104&gt;=0,OR(E104="PHP",E104="CNY"),OR(H104="已核实",H104="不适用"),I104&lt;&gt;"",J104&lt;&gt;"",ISNUMBER(K104),K104&gt;='00_审核入口'!$F$2,OR(H104&lt;&gt;"不适用",F104=0),OR(G104="",AND(ISNUMBER(G104),G104&gt;=0))),"完整","待补证")</f>
        <v>待补证</v>
      </c>
    </row>
    <row r="105" spans="1:14" ht="58" customHeight="1">
      <c r="A105" s="8" t="s">
        <v>96</v>
      </c>
      <c r="B105" s="8" t="s">
        <v>97</v>
      </c>
      <c r="C105" s="8" t="s">
        <v>527</v>
      </c>
      <c r="D105" s="8" t="s">
        <v>528</v>
      </c>
      <c r="E105" s="8"/>
      <c r="F105" s="8"/>
      <c r="G105" s="8"/>
      <c r="H105" s="8" t="s">
        <v>506</v>
      </c>
      <c r="I105" s="8"/>
      <c r="J105" s="8"/>
      <c r="L105" s="9">
        <f>IF(AND(N105="完整",ISNUMBER('03_逐品成本'!E10),'03_逐品成本'!E10&gt;0),ROUND(ROUND(F105*IF(E105="PHP",'03_逐品成本'!E10,1),10),2),"")</f>
        <v/>
      </c>
      <c r="M105" s="9">
        <f>IF(AND(N105="完整",ISNUMBER('03_逐品成本'!E10),'03_逐品成本'!E10&gt;0),ROUND(ROUND(IF(ISNUMBER(G105),G105,F105)*1.15*IF(E105="PHP",'03_逐品成本'!E10*0.95,1),10),2),"")</f>
        <v/>
      </c>
      <c r="N105" s="6" t="str">
        <f>IF(AND(ISNUMBER(F105),F105&gt;=0,OR(E105="PHP",E105="CNY"),OR(H105="已核实",H105="不适用"),I105&lt;&gt;"",J105&lt;&gt;"",ISNUMBER(K105),K105&gt;='00_审核入口'!$F$2,OR(H105&lt;&gt;"不适用",F105=0),OR(G105="",AND(ISNUMBER(G105),G105&gt;=0))),"完整","待补证")</f>
        <v>待补证</v>
      </c>
    </row>
    <row r="106" spans="1:14" ht="58" customHeight="1">
      <c r="A106" s="8" t="s">
        <v>96</v>
      </c>
      <c r="B106" s="8" t="s">
        <v>97</v>
      </c>
      <c r="C106" s="8" t="s">
        <v>529</v>
      </c>
      <c r="D106" s="8" t="s">
        <v>530</v>
      </c>
      <c r="E106" s="8"/>
      <c r="F106" s="8"/>
      <c r="G106" s="8"/>
      <c r="H106" s="8" t="s">
        <v>506</v>
      </c>
      <c r="I106" s="8"/>
      <c r="J106" s="8"/>
      <c r="L106" s="9">
        <f>IF(AND(N106="完整",ISNUMBER('03_逐品成本'!E10),'03_逐品成本'!E10&gt;0),ROUND(ROUND(F106*IF(E106="PHP",'03_逐品成本'!E10,1),10),2),"")</f>
        <v/>
      </c>
      <c r="M106" s="9">
        <f>IF(AND(N106="完整",ISNUMBER('03_逐品成本'!E10),'03_逐品成本'!E10&gt;0),ROUND(ROUND(IF(ISNUMBER(G106),G106,F106)*1*IF(E106="PHP",'03_逐品成本'!E10*0.95,1),10),2),"")</f>
        <v/>
      </c>
      <c r="N106" s="6" t="str">
        <f>IF(AND(ISNUMBER(F106),F106&gt;=0,OR(E106="PHP",E106="CNY"),OR(H106="已核实",H106="不适用",H106="预算"),I106&lt;&gt;"",J106&lt;&gt;"",ISNUMBER(K106),K106&gt;='00_审核入口'!$F$2,OR(H106&lt;&gt;"不适用",F106=0),OR(G106="",AND(ISNUMBER(G106),G106&gt;=0))),"完整","待补证")</f>
        <v>待补证</v>
      </c>
    </row>
    <row r="107" spans="1:14" ht="58" customHeight="1">
      <c r="A107" s="8" t="s">
        <v>96</v>
      </c>
      <c r="B107" s="8" t="s">
        <v>97</v>
      </c>
      <c r="C107" s="8" t="s">
        <v>531</v>
      </c>
      <c r="D107" s="8" t="s">
        <v>532</v>
      </c>
      <c r="E107" s="8"/>
      <c r="F107" s="8"/>
      <c r="G107" s="8"/>
      <c r="H107" s="8" t="s">
        <v>506</v>
      </c>
      <c r="I107" s="8"/>
      <c r="J107" s="8"/>
      <c r="L107" s="9">
        <f>IF(AND(N107="完整",ISNUMBER('03_逐品成本'!E10),'03_逐品成本'!E10&gt;0),ROUND(ROUND(F107*IF(E107="PHP",'03_逐品成本'!E10,1),10),2),"")</f>
        <v/>
      </c>
      <c r="M107" s="9">
        <f>IF(AND(N107="完整",ISNUMBER('03_逐品成本'!E10),'03_逐品成本'!E10&gt;0),ROUND(ROUND(IF(ISNUMBER(G107),G107,F107)*1*IF(E107="PHP",'03_逐品成本'!E10*0.95,1),10),2),"")</f>
        <v/>
      </c>
      <c r="N107" s="6" t="str">
        <f>IF(AND(ISNUMBER(F107),F107&gt;=0,OR(E107="PHP",E107="CNY"),OR(H107="已核实",H107="不适用",H107="预算"),I107&lt;&gt;"",J107&lt;&gt;"",ISNUMBER(K107),K107&gt;='00_审核入口'!$F$2,OR(H107&lt;&gt;"不适用",F107=0),OR(G107="",AND(ISNUMBER(G107),G107&gt;=0))),"完整","待补证")</f>
        <v>待补证</v>
      </c>
    </row>
    <row r="108" spans="1:14" ht="58" customHeight="1">
      <c r="A108" s="8" t="s">
        <v>96</v>
      </c>
      <c r="B108" s="8" t="s">
        <v>97</v>
      </c>
      <c r="C108" s="8" t="s">
        <v>533</v>
      </c>
      <c r="D108" s="8" t="s">
        <v>534</v>
      </c>
      <c r="E108" s="8"/>
      <c r="F108" s="8"/>
      <c r="G108" s="8"/>
      <c r="H108" s="8" t="s">
        <v>506</v>
      </c>
      <c r="I108" s="8"/>
      <c r="J108" s="8"/>
      <c r="L108" s="9">
        <f>IF(AND(N108="完整",ISNUMBER('03_逐品成本'!E10),'03_逐品成本'!E10&gt;0),ROUND(ROUND(F108*IF(E108="PHP",'03_逐品成本'!E10,1),10),2),"")</f>
        <v/>
      </c>
      <c r="M108" s="9">
        <f>IF(AND(N108="完整",ISNUMBER('03_逐品成本'!E10),'03_逐品成本'!E10&gt;0),ROUND(ROUND(IF(ISNUMBER(G108),G108,F108)*1*IF(E108="PHP",'03_逐品成本'!E10*0.95,1),10),2),"")</f>
        <v/>
      </c>
      <c r="N108" s="6" t="str">
        <f>IF(AND(ISNUMBER(F108),F108&gt;=0,OR(E108="PHP",E108="CNY"),OR(H108="已核实",H108="不适用",H108="预算"),I108&lt;&gt;"",J108&lt;&gt;"",ISNUMBER(K108),K108&gt;='00_审核入口'!$F$2,OR(H108&lt;&gt;"不适用",F108=0),OR(G108="",AND(ISNUMBER(G108),G108&gt;=0))),"完整","待补证")</f>
        <v>待补证</v>
      </c>
    </row>
    <row r="109" spans="1:14" ht="58" customHeight="1">
      <c r="A109" s="8" t="s">
        <v>96</v>
      </c>
      <c r="B109" s="8" t="s">
        <v>97</v>
      </c>
      <c r="C109" s="8" t="s">
        <v>535</v>
      </c>
      <c r="D109" s="8" t="s">
        <v>536</v>
      </c>
      <c r="E109" s="8"/>
      <c r="F109" s="8"/>
      <c r="G109" s="8"/>
      <c r="H109" s="8" t="s">
        <v>506</v>
      </c>
      <c r="I109" s="8"/>
      <c r="J109" s="8"/>
      <c r="L109" s="9">
        <f>IF(AND(N109="完整",ISNUMBER('03_逐品成本'!E10),'03_逐品成本'!E10&gt;0),ROUND(ROUND(F109*IF(E109="PHP",'03_逐品成本'!E10,1),10),2),"")</f>
        <v/>
      </c>
      <c r="M109" s="9">
        <f>IF(AND(N109="完整",ISNUMBER('03_逐品成本'!E10),'03_逐品成本'!E10&gt;0),ROUND(ROUND(IF(ISNUMBER(G109),G109,F109)*1*IF(E109="PHP",'03_逐品成本'!E10*0.95,1),10),2),"")</f>
        <v/>
      </c>
      <c r="N109" s="6" t="str">
        <f>IF(AND(ISNUMBER(F109),F109&gt;=0,OR(E109="PHP",E109="CNY"),OR(H109="已核实",H109="不适用"),I109&lt;&gt;"",J109&lt;&gt;"",ISNUMBER(K109),K109&gt;='00_审核入口'!$F$2,OR(H109&lt;&gt;"不适用",F109=0),OR(G109="",AND(ISNUMBER(G109),G109&gt;=0))),"完整","待补证")</f>
        <v>待补证</v>
      </c>
    </row>
    <row r="110" spans="1:14" ht="58" customHeight="1">
      <c r="A110" s="8" t="s">
        <v>96</v>
      </c>
      <c r="B110" s="8" t="s">
        <v>97</v>
      </c>
      <c r="C110" s="8" t="s">
        <v>537</v>
      </c>
      <c r="D110" s="8" t="s">
        <v>538</v>
      </c>
      <c r="E110" s="8"/>
      <c r="F110" s="8"/>
      <c r="G110" s="8"/>
      <c r="H110" s="8" t="s">
        <v>506</v>
      </c>
      <c r="I110" s="8"/>
      <c r="J110" s="8"/>
      <c r="L110" s="9">
        <f>IF(AND(N110="完整",ISNUMBER('03_逐品成本'!E10),'03_逐品成本'!E10&gt;0),ROUND(ROUND(F110*IF(E110="PHP",'03_逐品成本'!E10,1),10),2),"")</f>
        <v/>
      </c>
      <c r="M110" s="9">
        <f>IF(AND(N110="完整",ISNUMBER('03_逐品成本'!E10),'03_逐品成本'!E10&gt;0),ROUND(ROUND(IF(ISNUMBER(G110),G110,F110)*1*IF(E110="PHP",'03_逐品成本'!E10*0.95,1),10),2),"")</f>
        <v/>
      </c>
      <c r="N110" s="6" t="str">
        <f>IF(AND(ISNUMBER(F110),F110&gt;=0,OR(E110="PHP",E110="CNY"),OR(H110="已核实",H110="不适用"),I110&lt;&gt;"",J110&lt;&gt;"",ISNUMBER(K110),K110&gt;='00_审核入口'!$F$2,OR(H110&lt;&gt;"不适用",F110=0),OR(G110="",AND(ISNUMBER(G110),G110&gt;=0))),"完整","待补证")</f>
        <v>待补证</v>
      </c>
    </row>
    <row r="111" spans="1:14" ht="58" customHeight="1">
      <c r="A111" s="8" t="s">
        <v>96</v>
      </c>
      <c r="B111" s="8" t="s">
        <v>97</v>
      </c>
      <c r="C111" s="8" t="s">
        <v>539</v>
      </c>
      <c r="D111" s="8" t="s">
        <v>540</v>
      </c>
      <c r="E111" s="8"/>
      <c r="F111" s="8"/>
      <c r="G111" s="8"/>
      <c r="H111" s="8" t="s">
        <v>506</v>
      </c>
      <c r="I111" s="8"/>
      <c r="J111" s="8"/>
      <c r="L111" s="9">
        <f>IF(AND(N111="完整",ISNUMBER('03_逐品成本'!E10),'03_逐品成本'!E10&gt;0),ROUND(ROUND(F111*IF(E111="PHP",'03_逐品成本'!E10,1),10),2),"")</f>
        <v/>
      </c>
      <c r="M111" s="9">
        <f>IF(AND(N111="完整",ISNUMBER('03_逐品成本'!E10),'03_逐品成本'!E10&gt;0),ROUND(ROUND(IF(ISNUMBER(G111),G111,F111)*1*IF(E111="PHP",'03_逐品成本'!E10*0.95,1),10),2),"")</f>
        <v/>
      </c>
      <c r="N111" s="6" t="str">
        <f>IF(AND(ISNUMBER(F111),F111&gt;=0,OR(E111="PHP",E111="CNY"),OR(H111="已核实",H111="不适用",H111="预算"),I111&lt;&gt;"",J111&lt;&gt;"",ISNUMBER(K111),K111&gt;='00_审核入口'!$F$2,OR(H111&lt;&gt;"不适用",F111=0),OR(G111="",AND(ISNUMBER(G111),G111&gt;=0))),"完整","待补证")</f>
        <v>待补证</v>
      </c>
    </row>
    <row r="112" spans="1:14" ht="58" customHeight="1">
      <c r="A112" s="8" t="s">
        <v>96</v>
      </c>
      <c r="B112" s="8" t="s">
        <v>97</v>
      </c>
      <c r="C112" s="8" t="s">
        <v>541</v>
      </c>
      <c r="D112" s="8" t="s">
        <v>542</v>
      </c>
      <c r="E112" s="8"/>
      <c r="F112" s="8"/>
      <c r="G112" s="8"/>
      <c r="H112" s="8" t="s">
        <v>506</v>
      </c>
      <c r="I112" s="8"/>
      <c r="J112" s="8"/>
      <c r="L112" s="9">
        <f>IF(AND(N112="完整",ISNUMBER('03_逐品成本'!E10),'03_逐品成本'!E10&gt;0),ROUND(ROUND(F112*IF(E112="PHP",'03_逐品成本'!E10,1),10),2),"")</f>
        <v/>
      </c>
      <c r="M112" s="9">
        <f>IF(AND(N112="完整",ISNUMBER('03_逐品成本'!E10),'03_逐品成本'!E10&gt;0),ROUND(ROUND(IF(ISNUMBER(G112),G112,F112)*1*IF(E112="PHP",'03_逐品成本'!E10*0.95,1),10),2),"")</f>
        <v/>
      </c>
      <c r="N112" s="6" t="str">
        <f>IF(AND(ISNUMBER(F112),F112&gt;=0,OR(E112="PHP",E112="CNY"),OR(H112="已核实",H112="不适用",H112="预算"),I112&lt;&gt;"",J112&lt;&gt;"",ISNUMBER(K112),K112&gt;='00_审核入口'!$F$2,OR(H112&lt;&gt;"不适用",F112=0),OR(G112="",AND(ISNUMBER(G112),G112&gt;=0))),"完整","待补证")</f>
        <v>待补证</v>
      </c>
    </row>
    <row r="113" spans="1:14" ht="58" customHeight="1">
      <c r="A113" s="8" t="s">
        <v>104</v>
      </c>
      <c r="B113" s="8" t="s">
        <v>105</v>
      </c>
      <c r="C113" s="8" t="s">
        <v>507</v>
      </c>
      <c r="D113" s="8" t="s">
        <v>508</v>
      </c>
      <c r="E113" s="8"/>
      <c r="F113" s="8"/>
      <c r="G113" s="8"/>
      <c r="H113" s="8" t="s">
        <v>506</v>
      </c>
      <c r="I113" s="8"/>
      <c r="J113" s="8"/>
      <c r="L113" s="9">
        <f>IF(AND(N113="完整",ISNUMBER('03_逐品成本'!E11),'03_逐品成本'!E11&gt;0),ROUND(ROUND(F113*IF(E113="PHP",'03_逐品成本'!E11,1),10),2),"")</f>
        <v/>
      </c>
      <c r="M113" s="9">
        <f>IF(AND(N113="完整",ISNUMBER('03_逐品成本'!E11),'03_逐品成本'!E11&gt;0),ROUND(ROUND(IF(ISNUMBER(G113),G113,F113)*1*IF(E113="PHP",'03_逐品成本'!E11*0.95,1),10),2),"")</f>
        <v/>
      </c>
      <c r="N113" s="6" t="str">
        <f>IF(AND(ISNUMBER(F113),F113&gt;=0,OR(E113="PHP",E113="CNY"),OR(H113="已核实",H113="不适用"),I113&lt;&gt;"",J113&lt;&gt;"",ISNUMBER(K113),K113&gt;='00_审核入口'!$F$2,OR(H113&lt;&gt;"不适用",F113=0),OR(G113="",AND(ISNUMBER(G113),G113&gt;=0))),"完整","待补证")</f>
        <v>待补证</v>
      </c>
    </row>
    <row r="114" spans="1:14" ht="58" customHeight="1">
      <c r="A114" s="8" t="s">
        <v>104</v>
      </c>
      <c r="B114" s="8" t="s">
        <v>105</v>
      </c>
      <c r="C114" s="8" t="s">
        <v>509</v>
      </c>
      <c r="D114" s="8" t="s">
        <v>510</v>
      </c>
      <c r="E114" s="8"/>
      <c r="F114" s="8"/>
      <c r="G114" s="8"/>
      <c r="H114" s="8" t="s">
        <v>506</v>
      </c>
      <c r="I114" s="8"/>
      <c r="J114" s="8"/>
      <c r="L114" s="9">
        <f>IF(AND(N114="完整",ISNUMBER('03_逐品成本'!E11),'03_逐品成本'!E11&gt;0),ROUND(ROUND(F114*IF(E114="PHP",'03_逐品成本'!E11,1),10),2),"")</f>
        <v/>
      </c>
      <c r="M114" s="9">
        <f>IF(AND(N114="完整",ISNUMBER('03_逐品成本'!E11),'03_逐品成本'!E11&gt;0),ROUND(ROUND(IF(ISNUMBER(G114),G114,F114)*1*IF(E114="PHP",'03_逐品成本'!E11*0.95,1),10),2),"")</f>
        <v/>
      </c>
      <c r="N114" s="6" t="str">
        <f>IF(AND(ISNUMBER(F114),F114&gt;=0,OR(E114="PHP",E114="CNY"),OR(H114="已核实",H114="不适用"),I114&lt;&gt;"",J114&lt;&gt;"",ISNUMBER(K114),K114&gt;='00_审核入口'!$F$2,OR(H114&lt;&gt;"不适用",F114=0),OR(G114="",AND(ISNUMBER(G114),G114&gt;=0)),ISNUMBER(G114),G114&gt;=0),"完整","待补证")</f>
        <v>待补证</v>
      </c>
    </row>
    <row r="115" spans="1:14" ht="58" customHeight="1">
      <c r="A115" s="8" t="s">
        <v>104</v>
      </c>
      <c r="B115" s="8" t="s">
        <v>105</v>
      </c>
      <c r="C115" s="8" t="s">
        <v>511</v>
      </c>
      <c r="D115" s="8" t="s">
        <v>512</v>
      </c>
      <c r="E115" s="8"/>
      <c r="F115" s="8"/>
      <c r="G115" s="8"/>
      <c r="H115" s="8" t="s">
        <v>506</v>
      </c>
      <c r="I115" s="8"/>
      <c r="J115" s="8"/>
      <c r="L115" s="9">
        <f>IF(AND(N115="完整",ISNUMBER('03_逐品成本'!E11),'03_逐品成本'!E11&gt;0),ROUND(ROUND(F115*IF(E115="PHP",'03_逐品成本'!E11,1),10),2),"")</f>
        <v/>
      </c>
      <c r="M115" s="9">
        <f>IF(AND(N115="完整",ISNUMBER('03_逐品成本'!E11),'03_逐品成本'!E11&gt;0),ROUND(ROUND(IF(ISNUMBER(G115),G115,F115)*1*IF(E115="PHP",'03_逐品成本'!E11*0.95,1),10),2),"")</f>
        <v/>
      </c>
      <c r="N115" s="6" t="str">
        <f>IF(AND(ISNUMBER(F115),F115&gt;=0,OR(E115="PHP",E115="CNY"),OR(H115="已核实",H115="不适用"),I115&lt;&gt;"",J115&lt;&gt;"",ISNUMBER(K115),K115&gt;='00_审核入口'!$F$2,OR(H115&lt;&gt;"不适用",F115=0),OR(G115="",AND(ISNUMBER(G115),G115&gt;=0))),"完整","待补证")</f>
        <v>待补证</v>
      </c>
    </row>
    <row r="116" spans="1:14" ht="58" customHeight="1">
      <c r="A116" s="8" t="s">
        <v>104</v>
      </c>
      <c r="B116" s="8" t="s">
        <v>105</v>
      </c>
      <c r="C116" s="8" t="s">
        <v>513</v>
      </c>
      <c r="D116" s="8" t="s">
        <v>514</v>
      </c>
      <c r="E116" s="8"/>
      <c r="F116" s="8"/>
      <c r="G116" s="8"/>
      <c r="H116" s="8" t="s">
        <v>506</v>
      </c>
      <c r="I116" s="8"/>
      <c r="J116" s="8"/>
      <c r="L116" s="9">
        <f>IF(AND(N116="完整",ISNUMBER('03_逐品成本'!E11),'03_逐品成本'!E11&gt;0),ROUND(ROUND(F116*IF(E116="PHP",'03_逐品成本'!E11,1),10),2),"")</f>
        <v/>
      </c>
      <c r="M116" s="9">
        <f>IF(AND(N116="完整",ISNUMBER('03_逐品成本'!E11),'03_逐品成本'!E11&gt;0),ROUND(ROUND(IF(ISNUMBER(G116),G116,F116)*1*IF(E116="PHP",'03_逐品成本'!E11*0.95,1),10),2),"")</f>
        <v/>
      </c>
      <c r="N116" s="6" t="str">
        <f>IF(AND(ISNUMBER(F116),F116&gt;=0,OR(E116="PHP",E116="CNY"),OR(H116="已核实",H116="不适用"),I116&lt;&gt;"",J116&lt;&gt;"",ISNUMBER(K116),K116&gt;='00_审核入口'!$F$2,OR(H116&lt;&gt;"不适用",F116=0),OR(G116="",AND(ISNUMBER(G116),G116&gt;=0))),"完整","待补证")</f>
        <v>待补证</v>
      </c>
    </row>
    <row r="117" spans="1:14" ht="58" customHeight="1">
      <c r="A117" s="8" t="s">
        <v>104</v>
      </c>
      <c r="B117" s="8" t="s">
        <v>105</v>
      </c>
      <c r="C117" s="8" t="s">
        <v>515</v>
      </c>
      <c r="D117" s="8" t="s">
        <v>516</v>
      </c>
      <c r="E117" s="8"/>
      <c r="F117" s="8"/>
      <c r="G117" s="8"/>
      <c r="H117" s="8" t="s">
        <v>506</v>
      </c>
      <c r="I117" s="8"/>
      <c r="J117" s="8"/>
      <c r="L117" s="9">
        <f>IF(AND(N117="完整",ISNUMBER('03_逐品成本'!E11),'03_逐品成本'!E11&gt;0),ROUND(ROUND(F117*IF(E117="PHP",'03_逐品成本'!E11,1),10),2),"")</f>
        <v/>
      </c>
      <c r="M117" s="9">
        <f>IF(AND(N117="完整",ISNUMBER('03_逐品成本'!E11),'03_逐品成本'!E11&gt;0),ROUND(ROUND(IF(ISNUMBER(G117),G117,F117)*1*IF(E117="PHP",'03_逐品成本'!E11*0.95,1),10),2),"")</f>
        <v/>
      </c>
      <c r="N117" s="6" t="str">
        <f>IF(AND(ISNUMBER(F117),F117&gt;=0,OR(E117="PHP",E117="CNY"),OR(H117="已核实",H117="不适用"),I117&lt;&gt;"",J117&lt;&gt;"",ISNUMBER(K117),K117&gt;='00_审核入口'!$F$2,OR(H117&lt;&gt;"不适用",F117=0),OR(G117="",AND(ISNUMBER(G117),G117&gt;=0))),"完整","待补证")</f>
        <v>待补证</v>
      </c>
    </row>
    <row r="118" spans="1:14" ht="58" customHeight="1">
      <c r="A118" s="8" t="s">
        <v>104</v>
      </c>
      <c r="B118" s="8" t="s">
        <v>105</v>
      </c>
      <c r="C118" s="8" t="s">
        <v>517</v>
      </c>
      <c r="D118" s="8" t="s">
        <v>518</v>
      </c>
      <c r="E118" s="8"/>
      <c r="F118" s="8"/>
      <c r="G118" s="8"/>
      <c r="H118" s="8" t="s">
        <v>506</v>
      </c>
      <c r="I118" s="8"/>
      <c r="J118" s="8"/>
      <c r="L118" s="9">
        <f>IF(AND(N118="完整",ISNUMBER('03_逐品成本'!E11),'03_逐品成本'!E11&gt;0),ROUND(ROUND(F118*IF(E118="PHP",'03_逐品成本'!E11,1),10),2),"")</f>
        <v/>
      </c>
      <c r="M118" s="9">
        <f>IF(AND(N118="完整",ISNUMBER('03_逐品成本'!E11),'03_逐品成本'!E11&gt;0),ROUND(ROUND(IF(ISNUMBER(G118),G118,F118)*1*IF(E118="PHP",'03_逐品成本'!E11*0.95,1),10),2),"")</f>
        <v/>
      </c>
      <c r="N118" s="6" t="str">
        <f>IF(AND(ISNUMBER(F118),F118&gt;=0,OR(E118="PHP",E118="CNY"),OR(H118="已核实",H118="不适用"),I118&lt;&gt;"",J118&lt;&gt;"",ISNUMBER(K118),K118&gt;='00_审核入口'!$F$2,OR(H118&lt;&gt;"不适用",F118=0),OR(G118="",AND(ISNUMBER(G118),G118&gt;=0))),"完整","待补证")</f>
        <v>待补证</v>
      </c>
    </row>
    <row r="119" spans="1:14" ht="58" customHeight="1">
      <c r="A119" s="8" t="s">
        <v>104</v>
      </c>
      <c r="B119" s="8" t="s">
        <v>105</v>
      </c>
      <c r="C119" s="8" t="s">
        <v>519</v>
      </c>
      <c r="D119" s="8" t="s">
        <v>520</v>
      </c>
      <c r="E119" s="8"/>
      <c r="F119" s="8"/>
      <c r="G119" s="8"/>
      <c r="H119" s="8" t="s">
        <v>506</v>
      </c>
      <c r="I119" s="8"/>
      <c r="J119" s="8"/>
      <c r="L119" s="9">
        <f>IF(AND(N119="完整",ISNUMBER('03_逐品成本'!E11),'03_逐品成本'!E11&gt;0),ROUND(ROUND(F119*IF(E119="PHP",'03_逐品成本'!E11,1),10),2),"")</f>
        <v/>
      </c>
      <c r="M119" s="9">
        <f>IF(AND(N119="完整",ISNUMBER('03_逐品成本'!E11),'03_逐品成本'!E11&gt;0),ROUND(ROUND(IF(ISNUMBER(G119),G119,F119)*1*IF(E119="PHP",'03_逐品成本'!E11*0.95,1),10),2),"")</f>
        <v/>
      </c>
      <c r="N119" s="6" t="str">
        <f>IF(AND(ISNUMBER(F119),F119&gt;=0,OR(E119="PHP",E119="CNY"),OR(H119="已核实",H119="不适用"),I119&lt;&gt;"",J119&lt;&gt;"",ISNUMBER(K119),K119&gt;='00_审核入口'!$F$2,OR(H119&lt;&gt;"不适用",F119=0),OR(G119="",AND(ISNUMBER(G119),G119&gt;=0))),"完整","待补证")</f>
        <v>待补证</v>
      </c>
    </row>
    <row r="120" spans="1:14" ht="58" customHeight="1">
      <c r="A120" s="8" t="s">
        <v>104</v>
      </c>
      <c r="B120" s="8" t="s">
        <v>105</v>
      </c>
      <c r="C120" s="8" t="s">
        <v>521</v>
      </c>
      <c r="D120" s="8" t="s">
        <v>522</v>
      </c>
      <c r="E120" s="8"/>
      <c r="F120" s="8"/>
      <c r="G120" s="8"/>
      <c r="H120" s="8" t="s">
        <v>506</v>
      </c>
      <c r="I120" s="8"/>
      <c r="J120" s="8"/>
      <c r="L120" s="9">
        <f>IF(AND(N120="完整",ISNUMBER('03_逐品成本'!E11),'03_逐品成本'!E11&gt;0),ROUND(ROUND(F120*IF(E120="PHP",'03_逐品成本'!E11,1),10),2),"")</f>
        <v/>
      </c>
      <c r="M120" s="9">
        <f>IF(AND(N120="完整",ISNUMBER('03_逐品成本'!E11),'03_逐品成本'!E11&gt;0),ROUND(ROUND(IF(ISNUMBER(G120),G120,F120)*1*IF(E120="PHP",'03_逐品成本'!E11*0.95,1),10),2),"")</f>
        <v/>
      </c>
      <c r="N120" s="6" t="str">
        <f>IF(AND(ISNUMBER(F120),F120&gt;=0,OR(E120="PHP",E120="CNY"),OR(H120="已核实",H120="不适用"),I120&lt;&gt;"",J120&lt;&gt;"",ISNUMBER(K120),K120&gt;='00_审核入口'!$F$2,OR(H120&lt;&gt;"不适用",F120=0),OR(G120="",AND(ISNUMBER(G120),G120&gt;=0))),"完整","待补证")</f>
        <v>待补证</v>
      </c>
    </row>
    <row r="121" spans="1:14" ht="58" customHeight="1">
      <c r="A121" s="8" t="s">
        <v>104</v>
      </c>
      <c r="B121" s="8" t="s">
        <v>105</v>
      </c>
      <c r="C121" s="8" t="s">
        <v>523</v>
      </c>
      <c r="D121" s="8" t="s">
        <v>524</v>
      </c>
      <c r="E121" s="8"/>
      <c r="F121" s="8"/>
      <c r="G121" s="8"/>
      <c r="H121" s="8" t="s">
        <v>506</v>
      </c>
      <c r="I121" s="8"/>
      <c r="J121" s="8"/>
      <c r="L121" s="9">
        <f>IF(AND(N121="完整",ISNUMBER('03_逐品成本'!E11),'03_逐品成本'!E11&gt;0),ROUND(ROUND(F121*IF(E121="PHP",'03_逐品成本'!E11,1),10),2),"")</f>
        <v/>
      </c>
      <c r="M121" s="9">
        <f>IF(AND(N121="完整",ISNUMBER('03_逐品成本'!E11),'03_逐品成本'!E11&gt;0),ROUND(ROUND(IF(ISNUMBER(G121),G121,F121)*1.15*IF(E121="PHP",'03_逐品成本'!E11*0.95,1),10),2),"")</f>
        <v/>
      </c>
      <c r="N121" s="6" t="str">
        <f>IF(AND(ISNUMBER(F121),F121&gt;=0,OR(E121="PHP",E121="CNY"),OR(H121="已核实",H121="不适用"),I121&lt;&gt;"",J121&lt;&gt;"",ISNUMBER(K121),K121&gt;='00_审核入口'!$F$2,OR(H121&lt;&gt;"不适用",F121=0),OR(G121="",AND(ISNUMBER(G121),G121&gt;=0))),"完整","待补证")</f>
        <v>待补证</v>
      </c>
    </row>
    <row r="122" spans="1:14" ht="58" customHeight="1">
      <c r="A122" s="8" t="s">
        <v>104</v>
      </c>
      <c r="B122" s="8" t="s">
        <v>105</v>
      </c>
      <c r="C122" s="8" t="s">
        <v>525</v>
      </c>
      <c r="D122" s="8" t="s">
        <v>526</v>
      </c>
      <c r="E122" s="8"/>
      <c r="F122" s="8"/>
      <c r="G122" s="8"/>
      <c r="H122" s="8" t="s">
        <v>506</v>
      </c>
      <c r="I122" s="8"/>
      <c r="J122" s="8"/>
      <c r="L122" s="9">
        <f>IF(AND(N122="完整",ISNUMBER('03_逐品成本'!E11),'03_逐品成本'!E11&gt;0),ROUND(ROUND(F122*IF(E122="PHP",'03_逐品成本'!E11,1),10),2),"")</f>
        <v/>
      </c>
      <c r="M122" s="9">
        <f>IF(AND(N122="完整",ISNUMBER('03_逐品成本'!E11),'03_逐品成本'!E11&gt;0),ROUND(ROUND(IF(ISNUMBER(G122),G122,F122)*1.15*IF(E122="PHP",'03_逐品成本'!E11*0.95,1),10),2),"")</f>
        <v/>
      </c>
      <c r="N122" s="6" t="str">
        <f>IF(AND(ISNUMBER(F122),F122&gt;=0,OR(E122="PHP",E122="CNY"),OR(H122="已核实",H122="不适用"),I122&lt;&gt;"",J122&lt;&gt;"",ISNUMBER(K122),K122&gt;='00_审核入口'!$F$2,OR(H122&lt;&gt;"不适用",F122=0),OR(G122="",AND(ISNUMBER(G122),G122&gt;=0))),"完整","待补证")</f>
        <v>待补证</v>
      </c>
    </row>
    <row r="123" spans="1:14" ht="58" customHeight="1">
      <c r="A123" s="8" t="s">
        <v>104</v>
      </c>
      <c r="B123" s="8" t="s">
        <v>105</v>
      </c>
      <c r="C123" s="8" t="s">
        <v>527</v>
      </c>
      <c r="D123" s="8" t="s">
        <v>528</v>
      </c>
      <c r="E123" s="8"/>
      <c r="F123" s="8"/>
      <c r="G123" s="8"/>
      <c r="H123" s="8" t="s">
        <v>506</v>
      </c>
      <c r="I123" s="8"/>
      <c r="J123" s="8"/>
      <c r="L123" s="9">
        <f>IF(AND(N123="完整",ISNUMBER('03_逐品成本'!E11),'03_逐品成本'!E11&gt;0),ROUND(ROUND(F123*IF(E123="PHP",'03_逐品成本'!E11,1),10),2),"")</f>
        <v/>
      </c>
      <c r="M123" s="9">
        <f>IF(AND(N123="完整",ISNUMBER('03_逐品成本'!E11),'03_逐品成本'!E11&gt;0),ROUND(ROUND(IF(ISNUMBER(G123),G123,F123)*1.15*IF(E123="PHP",'03_逐品成本'!E11*0.95,1),10),2),"")</f>
        <v/>
      </c>
      <c r="N123" s="6" t="str">
        <f>IF(AND(ISNUMBER(F123),F123&gt;=0,OR(E123="PHP",E123="CNY"),OR(H123="已核实",H123="不适用"),I123&lt;&gt;"",J123&lt;&gt;"",ISNUMBER(K123),K123&gt;='00_审核入口'!$F$2,OR(H123&lt;&gt;"不适用",F123=0),OR(G123="",AND(ISNUMBER(G123),G123&gt;=0))),"完整","待补证")</f>
        <v>待补证</v>
      </c>
    </row>
    <row r="124" spans="1:14" ht="58" customHeight="1">
      <c r="A124" s="8" t="s">
        <v>104</v>
      </c>
      <c r="B124" s="8" t="s">
        <v>105</v>
      </c>
      <c r="C124" s="8" t="s">
        <v>529</v>
      </c>
      <c r="D124" s="8" t="s">
        <v>530</v>
      </c>
      <c r="E124" s="8"/>
      <c r="F124" s="8"/>
      <c r="G124" s="8"/>
      <c r="H124" s="8" t="s">
        <v>506</v>
      </c>
      <c r="I124" s="8"/>
      <c r="J124" s="8"/>
      <c r="L124" s="9">
        <f>IF(AND(N124="完整",ISNUMBER('03_逐品成本'!E11),'03_逐品成本'!E11&gt;0),ROUND(ROUND(F124*IF(E124="PHP",'03_逐品成本'!E11,1),10),2),"")</f>
        <v/>
      </c>
      <c r="M124" s="9">
        <f>IF(AND(N124="完整",ISNUMBER('03_逐品成本'!E11),'03_逐品成本'!E11&gt;0),ROUND(ROUND(IF(ISNUMBER(G124),G124,F124)*1*IF(E124="PHP",'03_逐品成本'!E11*0.95,1),10),2),"")</f>
        <v/>
      </c>
      <c r="N124" s="6" t="str">
        <f>IF(AND(ISNUMBER(F124),F124&gt;=0,OR(E124="PHP",E124="CNY"),OR(H124="已核实",H124="不适用",H124="预算"),I124&lt;&gt;"",J124&lt;&gt;"",ISNUMBER(K124),K124&gt;='00_审核入口'!$F$2,OR(H124&lt;&gt;"不适用",F124=0),OR(G124="",AND(ISNUMBER(G124),G124&gt;=0))),"完整","待补证")</f>
        <v>待补证</v>
      </c>
    </row>
    <row r="125" spans="1:14" ht="58" customHeight="1">
      <c r="A125" s="8" t="s">
        <v>104</v>
      </c>
      <c r="B125" s="8" t="s">
        <v>105</v>
      </c>
      <c r="C125" s="8" t="s">
        <v>531</v>
      </c>
      <c r="D125" s="8" t="s">
        <v>532</v>
      </c>
      <c r="E125" s="8"/>
      <c r="F125" s="8"/>
      <c r="G125" s="8"/>
      <c r="H125" s="8" t="s">
        <v>506</v>
      </c>
      <c r="I125" s="8"/>
      <c r="J125" s="8"/>
      <c r="L125" s="9">
        <f>IF(AND(N125="完整",ISNUMBER('03_逐品成本'!E11),'03_逐品成本'!E11&gt;0),ROUND(ROUND(F125*IF(E125="PHP",'03_逐品成本'!E11,1),10),2),"")</f>
        <v/>
      </c>
      <c r="M125" s="9">
        <f>IF(AND(N125="完整",ISNUMBER('03_逐品成本'!E11),'03_逐品成本'!E11&gt;0),ROUND(ROUND(IF(ISNUMBER(G125),G125,F125)*1*IF(E125="PHP",'03_逐品成本'!E11*0.95,1),10),2),"")</f>
        <v/>
      </c>
      <c r="N125" s="6" t="str">
        <f>IF(AND(ISNUMBER(F125),F125&gt;=0,OR(E125="PHP",E125="CNY"),OR(H125="已核实",H125="不适用",H125="预算"),I125&lt;&gt;"",J125&lt;&gt;"",ISNUMBER(K125),K125&gt;='00_审核入口'!$F$2,OR(H125&lt;&gt;"不适用",F125=0),OR(G125="",AND(ISNUMBER(G125),G125&gt;=0))),"完整","待补证")</f>
        <v>待补证</v>
      </c>
    </row>
    <row r="126" spans="1:14" ht="58" customHeight="1">
      <c r="A126" s="8" t="s">
        <v>104</v>
      </c>
      <c r="B126" s="8" t="s">
        <v>105</v>
      </c>
      <c r="C126" s="8" t="s">
        <v>533</v>
      </c>
      <c r="D126" s="8" t="s">
        <v>534</v>
      </c>
      <c r="E126" s="8"/>
      <c r="F126" s="8"/>
      <c r="G126" s="8"/>
      <c r="H126" s="8" t="s">
        <v>506</v>
      </c>
      <c r="I126" s="8"/>
      <c r="J126" s="8"/>
      <c r="L126" s="9">
        <f>IF(AND(N126="完整",ISNUMBER('03_逐品成本'!E11),'03_逐品成本'!E11&gt;0),ROUND(ROUND(F126*IF(E126="PHP",'03_逐品成本'!E11,1),10),2),"")</f>
        <v/>
      </c>
      <c r="M126" s="9">
        <f>IF(AND(N126="完整",ISNUMBER('03_逐品成本'!E11),'03_逐品成本'!E11&gt;0),ROUND(ROUND(IF(ISNUMBER(G126),G126,F126)*1*IF(E126="PHP",'03_逐品成本'!E11*0.95,1),10),2),"")</f>
        <v/>
      </c>
      <c r="N126" s="6" t="str">
        <f>IF(AND(ISNUMBER(F126),F126&gt;=0,OR(E126="PHP",E126="CNY"),OR(H126="已核实",H126="不适用",H126="预算"),I126&lt;&gt;"",J126&lt;&gt;"",ISNUMBER(K126),K126&gt;='00_审核入口'!$F$2,OR(H126&lt;&gt;"不适用",F126=0),OR(G126="",AND(ISNUMBER(G126),G126&gt;=0))),"完整","待补证")</f>
        <v>待补证</v>
      </c>
    </row>
    <row r="127" spans="1:14" ht="58" customHeight="1">
      <c r="A127" s="8" t="s">
        <v>104</v>
      </c>
      <c r="B127" s="8" t="s">
        <v>105</v>
      </c>
      <c r="C127" s="8" t="s">
        <v>535</v>
      </c>
      <c r="D127" s="8" t="s">
        <v>536</v>
      </c>
      <c r="E127" s="8"/>
      <c r="F127" s="8"/>
      <c r="G127" s="8"/>
      <c r="H127" s="8" t="s">
        <v>506</v>
      </c>
      <c r="I127" s="8"/>
      <c r="J127" s="8"/>
      <c r="L127" s="9">
        <f>IF(AND(N127="完整",ISNUMBER('03_逐品成本'!E11),'03_逐品成本'!E11&gt;0),ROUND(ROUND(F127*IF(E127="PHP",'03_逐品成本'!E11,1),10),2),"")</f>
        <v/>
      </c>
      <c r="M127" s="9">
        <f>IF(AND(N127="完整",ISNUMBER('03_逐品成本'!E11),'03_逐品成本'!E11&gt;0),ROUND(ROUND(IF(ISNUMBER(G127),G127,F127)*1*IF(E127="PHP",'03_逐品成本'!E11*0.95,1),10),2),"")</f>
        <v/>
      </c>
      <c r="N127" s="6" t="str">
        <f>IF(AND(ISNUMBER(F127),F127&gt;=0,OR(E127="PHP",E127="CNY"),OR(H127="已核实",H127="不适用"),I127&lt;&gt;"",J127&lt;&gt;"",ISNUMBER(K127),K127&gt;='00_审核入口'!$F$2,OR(H127&lt;&gt;"不适用",F127=0),OR(G127="",AND(ISNUMBER(G127),G127&gt;=0))),"完整","待补证")</f>
        <v>待补证</v>
      </c>
    </row>
    <row r="128" spans="1:14" ht="58" customHeight="1">
      <c r="A128" s="8" t="s">
        <v>104</v>
      </c>
      <c r="B128" s="8" t="s">
        <v>105</v>
      </c>
      <c r="C128" s="8" t="s">
        <v>537</v>
      </c>
      <c r="D128" s="8" t="s">
        <v>538</v>
      </c>
      <c r="E128" s="8"/>
      <c r="F128" s="8"/>
      <c r="G128" s="8"/>
      <c r="H128" s="8" t="s">
        <v>506</v>
      </c>
      <c r="I128" s="8"/>
      <c r="J128" s="8"/>
      <c r="L128" s="9">
        <f>IF(AND(N128="完整",ISNUMBER('03_逐品成本'!E11),'03_逐品成本'!E11&gt;0),ROUND(ROUND(F128*IF(E128="PHP",'03_逐品成本'!E11,1),10),2),"")</f>
        <v/>
      </c>
      <c r="M128" s="9">
        <f>IF(AND(N128="完整",ISNUMBER('03_逐品成本'!E11),'03_逐品成本'!E11&gt;0),ROUND(ROUND(IF(ISNUMBER(G128),G128,F128)*1*IF(E128="PHP",'03_逐品成本'!E11*0.95,1),10),2),"")</f>
        <v/>
      </c>
      <c r="N128" s="6" t="str">
        <f>IF(AND(ISNUMBER(F128),F128&gt;=0,OR(E128="PHP",E128="CNY"),OR(H128="已核实",H128="不适用"),I128&lt;&gt;"",J128&lt;&gt;"",ISNUMBER(K128),K128&gt;='00_审核入口'!$F$2,OR(H128&lt;&gt;"不适用",F128=0),OR(G128="",AND(ISNUMBER(G128),G128&gt;=0))),"完整","待补证")</f>
        <v>待补证</v>
      </c>
    </row>
    <row r="129" spans="1:14" ht="58" customHeight="1">
      <c r="A129" s="8" t="s">
        <v>104</v>
      </c>
      <c r="B129" s="8" t="s">
        <v>105</v>
      </c>
      <c r="C129" s="8" t="s">
        <v>539</v>
      </c>
      <c r="D129" s="8" t="s">
        <v>540</v>
      </c>
      <c r="E129" s="8"/>
      <c r="F129" s="8"/>
      <c r="G129" s="8"/>
      <c r="H129" s="8" t="s">
        <v>506</v>
      </c>
      <c r="I129" s="8"/>
      <c r="J129" s="8"/>
      <c r="L129" s="9">
        <f>IF(AND(N129="完整",ISNUMBER('03_逐品成本'!E11),'03_逐品成本'!E11&gt;0),ROUND(ROUND(F129*IF(E129="PHP",'03_逐品成本'!E11,1),10),2),"")</f>
        <v/>
      </c>
      <c r="M129" s="9">
        <f>IF(AND(N129="完整",ISNUMBER('03_逐品成本'!E11),'03_逐品成本'!E11&gt;0),ROUND(ROUND(IF(ISNUMBER(G129),G129,F129)*1*IF(E129="PHP",'03_逐品成本'!E11*0.95,1),10),2),"")</f>
        <v/>
      </c>
      <c r="N129" s="6" t="str">
        <f>IF(AND(ISNUMBER(F129),F129&gt;=0,OR(E129="PHP",E129="CNY"),OR(H129="已核实",H129="不适用",H129="预算"),I129&lt;&gt;"",J129&lt;&gt;"",ISNUMBER(K129),K129&gt;='00_审核入口'!$F$2,OR(H129&lt;&gt;"不适用",F129=0),OR(G129="",AND(ISNUMBER(G129),G129&gt;=0))),"完整","待补证")</f>
        <v>待补证</v>
      </c>
    </row>
    <row r="130" spans="1:14" ht="58" customHeight="1">
      <c r="A130" s="8" t="s">
        <v>104</v>
      </c>
      <c r="B130" s="8" t="s">
        <v>105</v>
      </c>
      <c r="C130" s="8" t="s">
        <v>541</v>
      </c>
      <c r="D130" s="8" t="s">
        <v>542</v>
      </c>
      <c r="E130" s="8"/>
      <c r="F130" s="8"/>
      <c r="G130" s="8"/>
      <c r="H130" s="8" t="s">
        <v>506</v>
      </c>
      <c r="I130" s="8"/>
      <c r="J130" s="8"/>
      <c r="L130" s="9">
        <f>IF(AND(N130="完整",ISNUMBER('03_逐品成本'!E11),'03_逐品成本'!E11&gt;0),ROUND(ROUND(F130*IF(E130="PHP",'03_逐品成本'!E11,1),10),2),"")</f>
        <v/>
      </c>
      <c r="M130" s="9">
        <f>IF(AND(N130="完整",ISNUMBER('03_逐品成本'!E11),'03_逐品成本'!E11&gt;0),ROUND(ROUND(IF(ISNUMBER(G130),G130,F130)*1*IF(E130="PHP",'03_逐品成本'!E11*0.95,1),10),2),"")</f>
        <v/>
      </c>
      <c r="N130" s="6" t="str">
        <f>IF(AND(ISNUMBER(F130),F130&gt;=0,OR(E130="PHP",E130="CNY"),OR(H130="已核实",H130="不适用",H130="预算"),I130&lt;&gt;"",J130&lt;&gt;"",ISNUMBER(K130),K130&gt;='00_审核入口'!$F$2,OR(H130&lt;&gt;"不适用",F130=0),OR(G130="",AND(ISNUMBER(G130),G130&gt;=0))),"完整","待补证")</f>
        <v>待补证</v>
      </c>
    </row>
    <row r="131" spans="1:14" ht="58" customHeight="1">
      <c r="A131" s="8" t="s">
        <v>113</v>
      </c>
      <c r="B131" s="8" t="s">
        <v>114</v>
      </c>
      <c r="C131" s="8" t="s">
        <v>507</v>
      </c>
      <c r="D131" s="8" t="s">
        <v>508</v>
      </c>
      <c r="E131" s="8"/>
      <c r="F131" s="8"/>
      <c r="G131" s="8"/>
      <c r="H131" s="8" t="s">
        <v>506</v>
      </c>
      <c r="I131" s="8"/>
      <c r="J131" s="8"/>
      <c r="L131" s="9">
        <f>IF(AND(N131="完整",ISNUMBER('03_逐品成本'!E12),'03_逐品成本'!E12&gt;0),ROUND(ROUND(F131*IF(E131="PHP",'03_逐品成本'!E12,1),10),2),"")</f>
        <v/>
      </c>
      <c r="M131" s="9">
        <f>IF(AND(N131="完整",ISNUMBER('03_逐品成本'!E12),'03_逐品成本'!E12&gt;0),ROUND(ROUND(IF(ISNUMBER(G131),G131,F131)*1*IF(E131="PHP",'03_逐品成本'!E12*0.95,1),10),2),"")</f>
        <v/>
      </c>
      <c r="N131" s="6" t="str">
        <f>IF(AND(ISNUMBER(F131),F131&gt;=0,OR(E131="PHP",E131="CNY"),OR(H131="已核实",H131="不适用"),I131&lt;&gt;"",J131&lt;&gt;"",ISNUMBER(K131),K131&gt;='00_审核入口'!$F$2,OR(H131&lt;&gt;"不适用",F131=0),OR(G131="",AND(ISNUMBER(G131),G131&gt;=0))),"完整","待补证")</f>
        <v>待补证</v>
      </c>
    </row>
    <row r="132" spans="1:14" ht="58" customHeight="1">
      <c r="A132" s="8" t="s">
        <v>113</v>
      </c>
      <c r="B132" s="8" t="s">
        <v>114</v>
      </c>
      <c r="C132" s="8" t="s">
        <v>509</v>
      </c>
      <c r="D132" s="8" t="s">
        <v>510</v>
      </c>
      <c r="E132" s="8"/>
      <c r="F132" s="8"/>
      <c r="G132" s="8"/>
      <c r="H132" s="8" t="s">
        <v>506</v>
      </c>
      <c r="I132" s="8"/>
      <c r="J132" s="8"/>
      <c r="L132" s="9">
        <f>IF(AND(N132="完整",ISNUMBER('03_逐品成本'!E12),'03_逐品成本'!E12&gt;0),ROUND(ROUND(F132*IF(E132="PHP",'03_逐品成本'!E12,1),10),2),"")</f>
        <v/>
      </c>
      <c r="M132" s="9">
        <f>IF(AND(N132="完整",ISNUMBER('03_逐品成本'!E12),'03_逐品成本'!E12&gt;0),ROUND(ROUND(IF(ISNUMBER(G132),G132,F132)*1*IF(E132="PHP",'03_逐品成本'!E12*0.95,1),10),2),"")</f>
        <v/>
      </c>
      <c r="N132" s="6" t="str">
        <f>IF(AND(ISNUMBER(F132),F132&gt;=0,OR(E132="PHP",E132="CNY"),OR(H132="已核实",H132="不适用"),I132&lt;&gt;"",J132&lt;&gt;"",ISNUMBER(K132),K132&gt;='00_审核入口'!$F$2,OR(H132&lt;&gt;"不适用",F132=0),OR(G132="",AND(ISNUMBER(G132),G132&gt;=0)),ISNUMBER(G132),G132&gt;=0),"完整","待补证")</f>
        <v>待补证</v>
      </c>
    </row>
    <row r="133" spans="1:14" ht="58" customHeight="1">
      <c r="A133" s="8" t="s">
        <v>113</v>
      </c>
      <c r="B133" s="8" t="s">
        <v>114</v>
      </c>
      <c r="C133" s="8" t="s">
        <v>511</v>
      </c>
      <c r="D133" s="8" t="s">
        <v>512</v>
      </c>
      <c r="E133" s="8"/>
      <c r="F133" s="8"/>
      <c r="G133" s="8"/>
      <c r="H133" s="8" t="s">
        <v>506</v>
      </c>
      <c r="I133" s="8"/>
      <c r="J133" s="8"/>
      <c r="L133" s="9">
        <f>IF(AND(N133="完整",ISNUMBER('03_逐品成本'!E12),'03_逐品成本'!E12&gt;0),ROUND(ROUND(F133*IF(E133="PHP",'03_逐品成本'!E12,1),10),2),"")</f>
        <v/>
      </c>
      <c r="M133" s="9">
        <f>IF(AND(N133="完整",ISNUMBER('03_逐品成本'!E12),'03_逐品成本'!E12&gt;0),ROUND(ROUND(IF(ISNUMBER(G133),G133,F133)*1*IF(E133="PHP",'03_逐品成本'!E12*0.95,1),10),2),"")</f>
        <v/>
      </c>
      <c r="N133" s="6" t="str">
        <f>IF(AND(ISNUMBER(F133),F133&gt;=0,OR(E133="PHP",E133="CNY"),OR(H133="已核实",H133="不适用"),I133&lt;&gt;"",J133&lt;&gt;"",ISNUMBER(K133),K133&gt;='00_审核入口'!$F$2,OR(H133&lt;&gt;"不适用",F133=0),OR(G133="",AND(ISNUMBER(G133),G133&gt;=0))),"完整","待补证")</f>
        <v>待补证</v>
      </c>
    </row>
    <row r="134" spans="1:14" ht="58" customHeight="1">
      <c r="A134" s="8" t="s">
        <v>113</v>
      </c>
      <c r="B134" s="8" t="s">
        <v>114</v>
      </c>
      <c r="C134" s="8" t="s">
        <v>513</v>
      </c>
      <c r="D134" s="8" t="s">
        <v>514</v>
      </c>
      <c r="E134" s="8"/>
      <c r="F134" s="8"/>
      <c r="G134" s="8"/>
      <c r="H134" s="8" t="s">
        <v>506</v>
      </c>
      <c r="I134" s="8"/>
      <c r="J134" s="8"/>
      <c r="L134" s="9">
        <f>IF(AND(N134="完整",ISNUMBER('03_逐品成本'!E12),'03_逐品成本'!E12&gt;0),ROUND(ROUND(F134*IF(E134="PHP",'03_逐品成本'!E12,1),10),2),"")</f>
        <v/>
      </c>
      <c r="M134" s="9">
        <f>IF(AND(N134="完整",ISNUMBER('03_逐品成本'!E12),'03_逐品成本'!E12&gt;0),ROUND(ROUND(IF(ISNUMBER(G134),G134,F134)*1*IF(E134="PHP",'03_逐品成本'!E12*0.95,1),10),2),"")</f>
        <v/>
      </c>
      <c r="N134" s="6" t="str">
        <f>IF(AND(ISNUMBER(F134),F134&gt;=0,OR(E134="PHP",E134="CNY"),OR(H134="已核实",H134="不适用"),I134&lt;&gt;"",J134&lt;&gt;"",ISNUMBER(K134),K134&gt;='00_审核入口'!$F$2,OR(H134&lt;&gt;"不适用",F134=0),OR(G134="",AND(ISNUMBER(G134),G134&gt;=0))),"完整","待补证")</f>
        <v>待补证</v>
      </c>
    </row>
    <row r="135" spans="1:14" ht="58" customHeight="1">
      <c r="A135" s="8" t="s">
        <v>113</v>
      </c>
      <c r="B135" s="8" t="s">
        <v>114</v>
      </c>
      <c r="C135" s="8" t="s">
        <v>515</v>
      </c>
      <c r="D135" s="8" t="s">
        <v>516</v>
      </c>
      <c r="E135" s="8"/>
      <c r="F135" s="8"/>
      <c r="G135" s="8"/>
      <c r="H135" s="8" t="s">
        <v>506</v>
      </c>
      <c r="I135" s="8"/>
      <c r="J135" s="8"/>
      <c r="L135" s="9">
        <f>IF(AND(N135="完整",ISNUMBER('03_逐品成本'!E12),'03_逐品成本'!E12&gt;0),ROUND(ROUND(F135*IF(E135="PHP",'03_逐品成本'!E12,1),10),2),"")</f>
        <v/>
      </c>
      <c r="M135" s="9">
        <f>IF(AND(N135="完整",ISNUMBER('03_逐品成本'!E12),'03_逐品成本'!E12&gt;0),ROUND(ROUND(IF(ISNUMBER(G135),G135,F135)*1*IF(E135="PHP",'03_逐品成本'!E12*0.95,1),10),2),"")</f>
        <v/>
      </c>
      <c r="N135" s="6" t="str">
        <f>IF(AND(ISNUMBER(F135),F135&gt;=0,OR(E135="PHP",E135="CNY"),OR(H135="已核实",H135="不适用"),I135&lt;&gt;"",J135&lt;&gt;"",ISNUMBER(K135),K135&gt;='00_审核入口'!$F$2,OR(H135&lt;&gt;"不适用",F135=0),OR(G135="",AND(ISNUMBER(G135),G135&gt;=0))),"完整","待补证")</f>
        <v>待补证</v>
      </c>
    </row>
    <row r="136" spans="1:14" ht="58" customHeight="1">
      <c r="A136" s="8" t="s">
        <v>113</v>
      </c>
      <c r="B136" s="8" t="s">
        <v>114</v>
      </c>
      <c r="C136" s="8" t="s">
        <v>517</v>
      </c>
      <c r="D136" s="8" t="s">
        <v>518</v>
      </c>
      <c r="E136" s="8"/>
      <c r="F136" s="8"/>
      <c r="G136" s="8"/>
      <c r="H136" s="8" t="s">
        <v>506</v>
      </c>
      <c r="I136" s="8"/>
      <c r="J136" s="8"/>
      <c r="L136" s="9">
        <f>IF(AND(N136="完整",ISNUMBER('03_逐品成本'!E12),'03_逐品成本'!E12&gt;0),ROUND(ROUND(F136*IF(E136="PHP",'03_逐品成本'!E12,1),10),2),"")</f>
        <v/>
      </c>
      <c r="M136" s="9">
        <f>IF(AND(N136="完整",ISNUMBER('03_逐品成本'!E12),'03_逐品成本'!E12&gt;0),ROUND(ROUND(IF(ISNUMBER(G136),G136,F136)*1*IF(E136="PHP",'03_逐品成本'!E12*0.95,1),10),2),"")</f>
        <v/>
      </c>
      <c r="N136" s="6" t="str">
        <f>IF(AND(ISNUMBER(F136),F136&gt;=0,OR(E136="PHP",E136="CNY"),OR(H136="已核实",H136="不适用"),I136&lt;&gt;"",J136&lt;&gt;"",ISNUMBER(K136),K136&gt;='00_审核入口'!$F$2,OR(H136&lt;&gt;"不适用",F136=0),OR(G136="",AND(ISNUMBER(G136),G136&gt;=0))),"完整","待补证")</f>
        <v>待补证</v>
      </c>
    </row>
    <row r="137" spans="1:14" ht="58" customHeight="1">
      <c r="A137" s="8" t="s">
        <v>113</v>
      </c>
      <c r="B137" s="8" t="s">
        <v>114</v>
      </c>
      <c r="C137" s="8" t="s">
        <v>519</v>
      </c>
      <c r="D137" s="8" t="s">
        <v>520</v>
      </c>
      <c r="E137" s="8"/>
      <c r="F137" s="8"/>
      <c r="G137" s="8"/>
      <c r="H137" s="8" t="s">
        <v>506</v>
      </c>
      <c r="I137" s="8"/>
      <c r="J137" s="8"/>
      <c r="L137" s="9">
        <f>IF(AND(N137="完整",ISNUMBER('03_逐品成本'!E12),'03_逐品成本'!E12&gt;0),ROUND(ROUND(F137*IF(E137="PHP",'03_逐品成本'!E12,1),10),2),"")</f>
        <v/>
      </c>
      <c r="M137" s="9">
        <f>IF(AND(N137="完整",ISNUMBER('03_逐品成本'!E12),'03_逐品成本'!E12&gt;0),ROUND(ROUND(IF(ISNUMBER(G137),G137,F137)*1*IF(E137="PHP",'03_逐品成本'!E12*0.95,1),10),2),"")</f>
        <v/>
      </c>
      <c r="N137" s="6" t="str">
        <f>IF(AND(ISNUMBER(F137),F137&gt;=0,OR(E137="PHP",E137="CNY"),OR(H137="已核实",H137="不适用"),I137&lt;&gt;"",J137&lt;&gt;"",ISNUMBER(K137),K137&gt;='00_审核入口'!$F$2,OR(H137&lt;&gt;"不适用",F137=0),OR(G137="",AND(ISNUMBER(G137),G137&gt;=0))),"完整","待补证")</f>
        <v>待补证</v>
      </c>
    </row>
    <row r="138" spans="1:14" ht="58" customHeight="1">
      <c r="A138" s="8" t="s">
        <v>113</v>
      </c>
      <c r="B138" s="8" t="s">
        <v>114</v>
      </c>
      <c r="C138" s="8" t="s">
        <v>521</v>
      </c>
      <c r="D138" s="8" t="s">
        <v>522</v>
      </c>
      <c r="E138" s="8"/>
      <c r="F138" s="8"/>
      <c r="G138" s="8"/>
      <c r="H138" s="8" t="s">
        <v>506</v>
      </c>
      <c r="I138" s="8"/>
      <c r="J138" s="8"/>
      <c r="L138" s="9">
        <f>IF(AND(N138="完整",ISNUMBER('03_逐品成本'!E12),'03_逐品成本'!E12&gt;0),ROUND(ROUND(F138*IF(E138="PHP",'03_逐品成本'!E12,1),10),2),"")</f>
        <v/>
      </c>
      <c r="M138" s="9">
        <f>IF(AND(N138="完整",ISNUMBER('03_逐品成本'!E12),'03_逐品成本'!E12&gt;0),ROUND(ROUND(IF(ISNUMBER(G138),G138,F138)*1*IF(E138="PHP",'03_逐品成本'!E12*0.95,1),10),2),"")</f>
        <v/>
      </c>
      <c r="N138" s="6" t="str">
        <f>IF(AND(ISNUMBER(F138),F138&gt;=0,OR(E138="PHP",E138="CNY"),OR(H138="已核实",H138="不适用"),I138&lt;&gt;"",J138&lt;&gt;"",ISNUMBER(K138),K138&gt;='00_审核入口'!$F$2,OR(H138&lt;&gt;"不适用",F138=0),OR(G138="",AND(ISNUMBER(G138),G138&gt;=0))),"完整","待补证")</f>
        <v>待补证</v>
      </c>
    </row>
    <row r="139" spans="1:14" ht="58" customHeight="1">
      <c r="A139" s="8" t="s">
        <v>113</v>
      </c>
      <c r="B139" s="8" t="s">
        <v>114</v>
      </c>
      <c r="C139" s="8" t="s">
        <v>523</v>
      </c>
      <c r="D139" s="8" t="s">
        <v>524</v>
      </c>
      <c r="E139" s="8"/>
      <c r="F139" s="8"/>
      <c r="G139" s="8"/>
      <c r="H139" s="8" t="s">
        <v>506</v>
      </c>
      <c r="I139" s="8"/>
      <c r="J139" s="8"/>
      <c r="L139" s="9">
        <f>IF(AND(N139="完整",ISNUMBER('03_逐品成本'!E12),'03_逐品成本'!E12&gt;0),ROUND(ROUND(F139*IF(E139="PHP",'03_逐品成本'!E12,1),10),2),"")</f>
        <v/>
      </c>
      <c r="M139" s="9">
        <f>IF(AND(N139="完整",ISNUMBER('03_逐品成本'!E12),'03_逐品成本'!E12&gt;0),ROUND(ROUND(IF(ISNUMBER(G139),G139,F139)*1.15*IF(E139="PHP",'03_逐品成本'!E12*0.95,1),10),2),"")</f>
        <v/>
      </c>
      <c r="N139" s="6" t="str">
        <f>IF(AND(ISNUMBER(F139),F139&gt;=0,OR(E139="PHP",E139="CNY"),OR(H139="已核实",H139="不适用"),I139&lt;&gt;"",J139&lt;&gt;"",ISNUMBER(K139),K139&gt;='00_审核入口'!$F$2,OR(H139&lt;&gt;"不适用",F139=0),OR(G139="",AND(ISNUMBER(G139),G139&gt;=0))),"完整","待补证")</f>
        <v>待补证</v>
      </c>
    </row>
    <row r="140" spans="1:14" ht="58" customHeight="1">
      <c r="A140" s="8" t="s">
        <v>113</v>
      </c>
      <c r="B140" s="8" t="s">
        <v>114</v>
      </c>
      <c r="C140" s="8" t="s">
        <v>525</v>
      </c>
      <c r="D140" s="8" t="s">
        <v>526</v>
      </c>
      <c r="E140" s="8"/>
      <c r="F140" s="8"/>
      <c r="G140" s="8"/>
      <c r="H140" s="8" t="s">
        <v>506</v>
      </c>
      <c r="I140" s="8"/>
      <c r="J140" s="8"/>
      <c r="L140" s="9">
        <f>IF(AND(N140="完整",ISNUMBER('03_逐品成本'!E12),'03_逐品成本'!E12&gt;0),ROUND(ROUND(F140*IF(E140="PHP",'03_逐品成本'!E12,1),10),2),"")</f>
        <v/>
      </c>
      <c r="M140" s="9">
        <f>IF(AND(N140="完整",ISNUMBER('03_逐品成本'!E12),'03_逐品成本'!E12&gt;0),ROUND(ROUND(IF(ISNUMBER(G140),G140,F140)*1.15*IF(E140="PHP",'03_逐品成本'!E12*0.95,1),10),2),"")</f>
        <v/>
      </c>
      <c r="N140" s="6" t="str">
        <f>IF(AND(ISNUMBER(F140),F140&gt;=0,OR(E140="PHP",E140="CNY"),OR(H140="已核实",H140="不适用"),I140&lt;&gt;"",J140&lt;&gt;"",ISNUMBER(K140),K140&gt;='00_审核入口'!$F$2,OR(H140&lt;&gt;"不适用",F140=0),OR(G140="",AND(ISNUMBER(G140),G140&gt;=0))),"完整","待补证")</f>
        <v>待补证</v>
      </c>
    </row>
    <row r="141" spans="1:14" ht="58" customHeight="1">
      <c r="A141" s="8" t="s">
        <v>113</v>
      </c>
      <c r="B141" s="8" t="s">
        <v>114</v>
      </c>
      <c r="C141" s="8" t="s">
        <v>527</v>
      </c>
      <c r="D141" s="8" t="s">
        <v>528</v>
      </c>
      <c r="E141" s="8"/>
      <c r="F141" s="8"/>
      <c r="G141" s="8"/>
      <c r="H141" s="8" t="s">
        <v>506</v>
      </c>
      <c r="I141" s="8"/>
      <c r="J141" s="8"/>
      <c r="L141" s="9">
        <f>IF(AND(N141="完整",ISNUMBER('03_逐品成本'!E12),'03_逐品成本'!E12&gt;0),ROUND(ROUND(F141*IF(E141="PHP",'03_逐品成本'!E12,1),10),2),"")</f>
        <v/>
      </c>
      <c r="M141" s="9">
        <f>IF(AND(N141="完整",ISNUMBER('03_逐品成本'!E12),'03_逐品成本'!E12&gt;0),ROUND(ROUND(IF(ISNUMBER(G141),G141,F141)*1.15*IF(E141="PHP",'03_逐品成本'!E12*0.95,1),10),2),"")</f>
        <v/>
      </c>
      <c r="N141" s="6" t="str">
        <f>IF(AND(ISNUMBER(F141),F141&gt;=0,OR(E141="PHP",E141="CNY"),OR(H141="已核实",H141="不适用"),I141&lt;&gt;"",J141&lt;&gt;"",ISNUMBER(K141),K141&gt;='00_审核入口'!$F$2,OR(H141&lt;&gt;"不适用",F141=0),OR(G141="",AND(ISNUMBER(G141),G141&gt;=0))),"完整","待补证")</f>
        <v>待补证</v>
      </c>
    </row>
    <row r="142" spans="1:14" ht="58" customHeight="1">
      <c r="A142" s="8" t="s">
        <v>113</v>
      </c>
      <c r="B142" s="8" t="s">
        <v>114</v>
      </c>
      <c r="C142" s="8" t="s">
        <v>529</v>
      </c>
      <c r="D142" s="8" t="s">
        <v>530</v>
      </c>
      <c r="E142" s="8"/>
      <c r="F142" s="8"/>
      <c r="G142" s="8"/>
      <c r="H142" s="8" t="s">
        <v>506</v>
      </c>
      <c r="I142" s="8"/>
      <c r="J142" s="8"/>
      <c r="L142" s="9">
        <f>IF(AND(N142="完整",ISNUMBER('03_逐品成本'!E12),'03_逐品成本'!E12&gt;0),ROUND(ROUND(F142*IF(E142="PHP",'03_逐品成本'!E12,1),10),2),"")</f>
        <v/>
      </c>
      <c r="M142" s="9">
        <f>IF(AND(N142="完整",ISNUMBER('03_逐品成本'!E12),'03_逐品成本'!E12&gt;0),ROUND(ROUND(IF(ISNUMBER(G142),G142,F142)*1*IF(E142="PHP",'03_逐品成本'!E12*0.95,1),10),2),"")</f>
        <v/>
      </c>
      <c r="N142" s="6" t="str">
        <f>IF(AND(ISNUMBER(F142),F142&gt;=0,OR(E142="PHP",E142="CNY"),OR(H142="已核实",H142="不适用",H142="预算"),I142&lt;&gt;"",J142&lt;&gt;"",ISNUMBER(K142),K142&gt;='00_审核入口'!$F$2,OR(H142&lt;&gt;"不适用",F142=0),OR(G142="",AND(ISNUMBER(G142),G142&gt;=0))),"完整","待补证")</f>
        <v>待补证</v>
      </c>
    </row>
    <row r="143" spans="1:14" ht="58" customHeight="1">
      <c r="A143" s="8" t="s">
        <v>113</v>
      </c>
      <c r="B143" s="8" t="s">
        <v>114</v>
      </c>
      <c r="C143" s="8" t="s">
        <v>531</v>
      </c>
      <c r="D143" s="8" t="s">
        <v>532</v>
      </c>
      <c r="E143" s="8"/>
      <c r="F143" s="8"/>
      <c r="G143" s="8"/>
      <c r="H143" s="8" t="s">
        <v>506</v>
      </c>
      <c r="I143" s="8"/>
      <c r="J143" s="8"/>
      <c r="L143" s="9">
        <f>IF(AND(N143="完整",ISNUMBER('03_逐品成本'!E12),'03_逐品成本'!E12&gt;0),ROUND(ROUND(F143*IF(E143="PHP",'03_逐品成本'!E12,1),10),2),"")</f>
        <v/>
      </c>
      <c r="M143" s="9">
        <f>IF(AND(N143="完整",ISNUMBER('03_逐品成本'!E12),'03_逐品成本'!E12&gt;0),ROUND(ROUND(IF(ISNUMBER(G143),G143,F143)*1*IF(E143="PHP",'03_逐品成本'!E12*0.95,1),10),2),"")</f>
        <v/>
      </c>
      <c r="N143" s="6" t="str">
        <f>IF(AND(ISNUMBER(F143),F143&gt;=0,OR(E143="PHP",E143="CNY"),OR(H143="已核实",H143="不适用",H143="预算"),I143&lt;&gt;"",J143&lt;&gt;"",ISNUMBER(K143),K143&gt;='00_审核入口'!$F$2,OR(H143&lt;&gt;"不适用",F143=0),OR(G143="",AND(ISNUMBER(G143),G143&gt;=0))),"完整","待补证")</f>
        <v>待补证</v>
      </c>
    </row>
    <row r="144" spans="1:14" ht="58" customHeight="1">
      <c r="A144" s="8" t="s">
        <v>113</v>
      </c>
      <c r="B144" s="8" t="s">
        <v>114</v>
      </c>
      <c r="C144" s="8" t="s">
        <v>533</v>
      </c>
      <c r="D144" s="8" t="s">
        <v>534</v>
      </c>
      <c r="E144" s="8"/>
      <c r="F144" s="8"/>
      <c r="G144" s="8"/>
      <c r="H144" s="8" t="s">
        <v>506</v>
      </c>
      <c r="I144" s="8"/>
      <c r="J144" s="8"/>
      <c r="L144" s="9">
        <f>IF(AND(N144="完整",ISNUMBER('03_逐品成本'!E12),'03_逐品成本'!E12&gt;0),ROUND(ROUND(F144*IF(E144="PHP",'03_逐品成本'!E12,1),10),2),"")</f>
        <v/>
      </c>
      <c r="M144" s="9">
        <f>IF(AND(N144="完整",ISNUMBER('03_逐品成本'!E12),'03_逐品成本'!E12&gt;0),ROUND(ROUND(IF(ISNUMBER(G144),G144,F144)*1*IF(E144="PHP",'03_逐品成本'!E12*0.95,1),10),2),"")</f>
        <v/>
      </c>
      <c r="N144" s="6" t="str">
        <f>IF(AND(ISNUMBER(F144),F144&gt;=0,OR(E144="PHP",E144="CNY"),OR(H144="已核实",H144="不适用",H144="预算"),I144&lt;&gt;"",J144&lt;&gt;"",ISNUMBER(K144),K144&gt;='00_审核入口'!$F$2,OR(H144&lt;&gt;"不适用",F144=0),OR(G144="",AND(ISNUMBER(G144),G144&gt;=0))),"完整","待补证")</f>
        <v>待补证</v>
      </c>
    </row>
    <row r="145" spans="1:14" ht="58" customHeight="1">
      <c r="A145" s="8" t="s">
        <v>113</v>
      </c>
      <c r="B145" s="8" t="s">
        <v>114</v>
      </c>
      <c r="C145" s="8" t="s">
        <v>535</v>
      </c>
      <c r="D145" s="8" t="s">
        <v>536</v>
      </c>
      <c r="E145" s="8"/>
      <c r="F145" s="8"/>
      <c r="G145" s="8"/>
      <c r="H145" s="8" t="s">
        <v>506</v>
      </c>
      <c r="I145" s="8"/>
      <c r="J145" s="8"/>
      <c r="L145" s="9">
        <f>IF(AND(N145="完整",ISNUMBER('03_逐品成本'!E12),'03_逐品成本'!E12&gt;0),ROUND(ROUND(F145*IF(E145="PHP",'03_逐品成本'!E12,1),10),2),"")</f>
        <v/>
      </c>
      <c r="M145" s="9">
        <f>IF(AND(N145="完整",ISNUMBER('03_逐品成本'!E12),'03_逐品成本'!E12&gt;0),ROUND(ROUND(IF(ISNUMBER(G145),G145,F145)*1*IF(E145="PHP",'03_逐品成本'!E12*0.95,1),10),2),"")</f>
        <v/>
      </c>
      <c r="N145" s="6" t="str">
        <f>IF(AND(ISNUMBER(F145),F145&gt;=0,OR(E145="PHP",E145="CNY"),OR(H145="已核实",H145="不适用"),I145&lt;&gt;"",J145&lt;&gt;"",ISNUMBER(K145),K145&gt;='00_审核入口'!$F$2,OR(H145&lt;&gt;"不适用",F145=0),OR(G145="",AND(ISNUMBER(G145),G145&gt;=0))),"完整","待补证")</f>
        <v>待补证</v>
      </c>
    </row>
    <row r="146" spans="1:14" ht="58" customHeight="1">
      <c r="A146" s="8" t="s">
        <v>113</v>
      </c>
      <c r="B146" s="8" t="s">
        <v>114</v>
      </c>
      <c r="C146" s="8" t="s">
        <v>537</v>
      </c>
      <c r="D146" s="8" t="s">
        <v>538</v>
      </c>
      <c r="E146" s="8"/>
      <c r="F146" s="8"/>
      <c r="G146" s="8"/>
      <c r="H146" s="8" t="s">
        <v>506</v>
      </c>
      <c r="I146" s="8"/>
      <c r="J146" s="8"/>
      <c r="L146" s="9">
        <f>IF(AND(N146="完整",ISNUMBER('03_逐品成本'!E12),'03_逐品成本'!E12&gt;0),ROUND(ROUND(F146*IF(E146="PHP",'03_逐品成本'!E12,1),10),2),"")</f>
        <v/>
      </c>
      <c r="M146" s="9">
        <f>IF(AND(N146="完整",ISNUMBER('03_逐品成本'!E12),'03_逐品成本'!E12&gt;0),ROUND(ROUND(IF(ISNUMBER(G146),G146,F146)*1*IF(E146="PHP",'03_逐品成本'!E12*0.95,1),10),2),"")</f>
        <v/>
      </c>
      <c r="N146" s="6" t="str">
        <f>IF(AND(ISNUMBER(F146),F146&gt;=0,OR(E146="PHP",E146="CNY"),OR(H146="已核实",H146="不适用"),I146&lt;&gt;"",J146&lt;&gt;"",ISNUMBER(K146),K146&gt;='00_审核入口'!$F$2,OR(H146&lt;&gt;"不适用",F146=0),OR(G146="",AND(ISNUMBER(G146),G146&gt;=0))),"完整","待补证")</f>
        <v>待补证</v>
      </c>
    </row>
    <row r="147" spans="1:14" ht="58" customHeight="1">
      <c r="A147" s="8" t="s">
        <v>113</v>
      </c>
      <c r="B147" s="8" t="s">
        <v>114</v>
      </c>
      <c r="C147" s="8" t="s">
        <v>539</v>
      </c>
      <c r="D147" s="8" t="s">
        <v>540</v>
      </c>
      <c r="E147" s="8"/>
      <c r="F147" s="8"/>
      <c r="G147" s="8"/>
      <c r="H147" s="8" t="s">
        <v>506</v>
      </c>
      <c r="I147" s="8"/>
      <c r="J147" s="8"/>
      <c r="L147" s="9">
        <f>IF(AND(N147="完整",ISNUMBER('03_逐品成本'!E12),'03_逐品成本'!E12&gt;0),ROUND(ROUND(F147*IF(E147="PHP",'03_逐品成本'!E12,1),10),2),"")</f>
        <v/>
      </c>
      <c r="M147" s="9">
        <f>IF(AND(N147="完整",ISNUMBER('03_逐品成本'!E12),'03_逐品成本'!E12&gt;0),ROUND(ROUND(IF(ISNUMBER(G147),G147,F147)*1*IF(E147="PHP",'03_逐品成本'!E12*0.95,1),10),2),"")</f>
        <v/>
      </c>
      <c r="N147" s="6" t="str">
        <f>IF(AND(ISNUMBER(F147),F147&gt;=0,OR(E147="PHP",E147="CNY"),OR(H147="已核实",H147="不适用",H147="预算"),I147&lt;&gt;"",J147&lt;&gt;"",ISNUMBER(K147),K147&gt;='00_审核入口'!$F$2,OR(H147&lt;&gt;"不适用",F147=0),OR(G147="",AND(ISNUMBER(G147),G147&gt;=0))),"完整","待补证")</f>
        <v>待补证</v>
      </c>
    </row>
    <row r="148" spans="1:14" ht="58" customHeight="1">
      <c r="A148" s="8" t="s">
        <v>113</v>
      </c>
      <c r="B148" s="8" t="s">
        <v>114</v>
      </c>
      <c r="C148" s="8" t="s">
        <v>541</v>
      </c>
      <c r="D148" s="8" t="s">
        <v>542</v>
      </c>
      <c r="E148" s="8"/>
      <c r="F148" s="8"/>
      <c r="G148" s="8"/>
      <c r="H148" s="8" t="s">
        <v>506</v>
      </c>
      <c r="I148" s="8"/>
      <c r="J148" s="8"/>
      <c r="L148" s="9">
        <f>IF(AND(N148="完整",ISNUMBER('03_逐品成本'!E12),'03_逐品成本'!E12&gt;0),ROUND(ROUND(F148*IF(E148="PHP",'03_逐品成本'!E12,1),10),2),"")</f>
        <v/>
      </c>
      <c r="M148" s="9">
        <f>IF(AND(N148="完整",ISNUMBER('03_逐品成本'!E12),'03_逐品成本'!E12&gt;0),ROUND(ROUND(IF(ISNUMBER(G148),G148,F148)*1*IF(E148="PHP",'03_逐品成本'!E12*0.95,1),10),2),"")</f>
        <v/>
      </c>
      <c r="N148" s="6" t="str">
        <f>IF(AND(ISNUMBER(F148),F148&gt;=0,OR(E148="PHP",E148="CNY"),OR(H148="已核实",H148="不适用",H148="预算"),I148&lt;&gt;"",J148&lt;&gt;"",ISNUMBER(K148),K148&gt;='00_审核入口'!$F$2,OR(H148&lt;&gt;"不适用",F148=0),OR(G148="",AND(ISNUMBER(G148),G148&gt;=0))),"完整","待补证")</f>
        <v>待补证</v>
      </c>
    </row>
    <row r="149" spans="1:14" ht="58" customHeight="1">
      <c r="A149" s="8" t="s">
        <v>121</v>
      </c>
      <c r="B149" s="8" t="s">
        <v>122</v>
      </c>
      <c r="C149" s="8" t="s">
        <v>507</v>
      </c>
      <c r="D149" s="8" t="s">
        <v>508</v>
      </c>
      <c r="E149" s="8"/>
      <c r="F149" s="8"/>
      <c r="G149" s="8"/>
      <c r="H149" s="8" t="s">
        <v>506</v>
      </c>
      <c r="I149" s="8"/>
      <c r="J149" s="8"/>
      <c r="L149" s="9">
        <f>IF(AND(N149="完整",ISNUMBER('03_逐品成本'!E13),'03_逐品成本'!E13&gt;0),ROUND(ROUND(F149*IF(E149="PHP",'03_逐品成本'!E13,1),10),2),"")</f>
        <v/>
      </c>
      <c r="M149" s="9">
        <f>IF(AND(N149="完整",ISNUMBER('03_逐品成本'!E13),'03_逐品成本'!E13&gt;0),ROUND(ROUND(IF(ISNUMBER(G149),G149,F149)*1*IF(E149="PHP",'03_逐品成本'!E13*0.95,1),10),2),"")</f>
        <v/>
      </c>
      <c r="N149" s="6" t="str">
        <f>IF(AND(ISNUMBER(F149),F149&gt;=0,OR(E149="PHP",E149="CNY"),OR(H149="已核实",H149="不适用"),I149&lt;&gt;"",J149&lt;&gt;"",ISNUMBER(K149),K149&gt;='00_审核入口'!$F$2,OR(H149&lt;&gt;"不适用",F149=0),OR(G149="",AND(ISNUMBER(G149),G149&gt;=0))),"完整","待补证")</f>
        <v>待补证</v>
      </c>
    </row>
    <row r="150" spans="1:14" ht="58" customHeight="1">
      <c r="A150" s="8" t="s">
        <v>121</v>
      </c>
      <c r="B150" s="8" t="s">
        <v>122</v>
      </c>
      <c r="C150" s="8" t="s">
        <v>509</v>
      </c>
      <c r="D150" s="8" t="s">
        <v>510</v>
      </c>
      <c r="E150" s="8"/>
      <c r="F150" s="8"/>
      <c r="G150" s="8"/>
      <c r="H150" s="8" t="s">
        <v>506</v>
      </c>
      <c r="I150" s="8"/>
      <c r="J150" s="8"/>
      <c r="L150" s="9">
        <f>IF(AND(N150="完整",ISNUMBER('03_逐品成本'!E13),'03_逐品成本'!E13&gt;0),ROUND(ROUND(F150*IF(E150="PHP",'03_逐品成本'!E13,1),10),2),"")</f>
        <v/>
      </c>
      <c r="M150" s="9">
        <f>IF(AND(N150="完整",ISNUMBER('03_逐品成本'!E13),'03_逐品成本'!E13&gt;0),ROUND(ROUND(IF(ISNUMBER(G150),G150,F150)*1*IF(E150="PHP",'03_逐品成本'!E13*0.95,1),10),2),"")</f>
        <v/>
      </c>
      <c r="N150" s="6" t="str">
        <f>IF(AND(ISNUMBER(F150),F150&gt;=0,OR(E150="PHP",E150="CNY"),OR(H150="已核实",H150="不适用"),I150&lt;&gt;"",J150&lt;&gt;"",ISNUMBER(K150),K150&gt;='00_审核入口'!$F$2,OR(H150&lt;&gt;"不适用",F150=0),OR(G150="",AND(ISNUMBER(G150),G150&gt;=0)),ISNUMBER(G150),G150&gt;=0),"完整","待补证")</f>
        <v>待补证</v>
      </c>
    </row>
    <row r="151" spans="1:14" ht="58" customHeight="1">
      <c r="A151" s="8" t="s">
        <v>121</v>
      </c>
      <c r="B151" s="8" t="s">
        <v>122</v>
      </c>
      <c r="C151" s="8" t="s">
        <v>511</v>
      </c>
      <c r="D151" s="8" t="s">
        <v>512</v>
      </c>
      <c r="E151" s="8"/>
      <c r="F151" s="8"/>
      <c r="G151" s="8"/>
      <c r="H151" s="8" t="s">
        <v>506</v>
      </c>
      <c r="I151" s="8"/>
      <c r="J151" s="8"/>
      <c r="L151" s="9">
        <f>IF(AND(N151="完整",ISNUMBER('03_逐品成本'!E13),'03_逐品成本'!E13&gt;0),ROUND(ROUND(F151*IF(E151="PHP",'03_逐品成本'!E13,1),10),2),"")</f>
        <v/>
      </c>
      <c r="M151" s="9">
        <f>IF(AND(N151="完整",ISNUMBER('03_逐品成本'!E13),'03_逐品成本'!E13&gt;0),ROUND(ROUND(IF(ISNUMBER(G151),G151,F151)*1*IF(E151="PHP",'03_逐品成本'!E13*0.95,1),10),2),"")</f>
        <v/>
      </c>
      <c r="N151" s="6" t="str">
        <f>IF(AND(ISNUMBER(F151),F151&gt;=0,OR(E151="PHP",E151="CNY"),OR(H151="已核实",H151="不适用"),I151&lt;&gt;"",J151&lt;&gt;"",ISNUMBER(K151),K151&gt;='00_审核入口'!$F$2,OR(H151&lt;&gt;"不适用",F151=0),OR(G151="",AND(ISNUMBER(G151),G151&gt;=0))),"完整","待补证")</f>
        <v>待补证</v>
      </c>
    </row>
    <row r="152" spans="1:14" ht="58" customHeight="1">
      <c r="A152" s="8" t="s">
        <v>121</v>
      </c>
      <c r="B152" s="8" t="s">
        <v>122</v>
      </c>
      <c r="C152" s="8" t="s">
        <v>513</v>
      </c>
      <c r="D152" s="8" t="s">
        <v>514</v>
      </c>
      <c r="E152" s="8"/>
      <c r="F152" s="8"/>
      <c r="G152" s="8"/>
      <c r="H152" s="8" t="s">
        <v>506</v>
      </c>
      <c r="I152" s="8"/>
      <c r="J152" s="8"/>
      <c r="L152" s="9">
        <f>IF(AND(N152="完整",ISNUMBER('03_逐品成本'!E13),'03_逐品成本'!E13&gt;0),ROUND(ROUND(F152*IF(E152="PHP",'03_逐品成本'!E13,1),10),2),"")</f>
        <v/>
      </c>
      <c r="M152" s="9">
        <f>IF(AND(N152="完整",ISNUMBER('03_逐品成本'!E13),'03_逐品成本'!E13&gt;0),ROUND(ROUND(IF(ISNUMBER(G152),G152,F152)*1*IF(E152="PHP",'03_逐品成本'!E13*0.95,1),10),2),"")</f>
        <v/>
      </c>
      <c r="N152" s="6" t="str">
        <f>IF(AND(ISNUMBER(F152),F152&gt;=0,OR(E152="PHP",E152="CNY"),OR(H152="已核实",H152="不适用"),I152&lt;&gt;"",J152&lt;&gt;"",ISNUMBER(K152),K152&gt;='00_审核入口'!$F$2,OR(H152&lt;&gt;"不适用",F152=0),OR(G152="",AND(ISNUMBER(G152),G152&gt;=0))),"完整","待补证")</f>
        <v>待补证</v>
      </c>
    </row>
    <row r="153" spans="1:14" ht="58" customHeight="1">
      <c r="A153" s="8" t="s">
        <v>121</v>
      </c>
      <c r="B153" s="8" t="s">
        <v>122</v>
      </c>
      <c r="C153" s="8" t="s">
        <v>515</v>
      </c>
      <c r="D153" s="8" t="s">
        <v>516</v>
      </c>
      <c r="E153" s="8"/>
      <c r="F153" s="8"/>
      <c r="G153" s="8"/>
      <c r="H153" s="8" t="s">
        <v>506</v>
      </c>
      <c r="I153" s="8"/>
      <c r="J153" s="8"/>
      <c r="L153" s="9">
        <f>IF(AND(N153="完整",ISNUMBER('03_逐品成本'!E13),'03_逐品成本'!E13&gt;0),ROUND(ROUND(F153*IF(E153="PHP",'03_逐品成本'!E13,1),10),2),"")</f>
        <v/>
      </c>
      <c r="M153" s="9">
        <f>IF(AND(N153="完整",ISNUMBER('03_逐品成本'!E13),'03_逐品成本'!E13&gt;0),ROUND(ROUND(IF(ISNUMBER(G153),G153,F153)*1*IF(E153="PHP",'03_逐品成本'!E13*0.95,1),10),2),"")</f>
        <v/>
      </c>
      <c r="N153" s="6" t="str">
        <f>IF(AND(ISNUMBER(F153),F153&gt;=0,OR(E153="PHP",E153="CNY"),OR(H153="已核实",H153="不适用"),I153&lt;&gt;"",J153&lt;&gt;"",ISNUMBER(K153),K153&gt;='00_审核入口'!$F$2,OR(H153&lt;&gt;"不适用",F153=0),OR(G153="",AND(ISNUMBER(G153),G153&gt;=0))),"完整","待补证")</f>
        <v>待补证</v>
      </c>
    </row>
    <row r="154" spans="1:14" ht="58" customHeight="1">
      <c r="A154" s="8" t="s">
        <v>121</v>
      </c>
      <c r="B154" s="8" t="s">
        <v>122</v>
      </c>
      <c r="C154" s="8" t="s">
        <v>517</v>
      </c>
      <c r="D154" s="8" t="s">
        <v>518</v>
      </c>
      <c r="E154" s="8"/>
      <c r="F154" s="8"/>
      <c r="G154" s="8"/>
      <c r="H154" s="8" t="s">
        <v>506</v>
      </c>
      <c r="I154" s="8"/>
      <c r="J154" s="8"/>
      <c r="L154" s="9">
        <f>IF(AND(N154="完整",ISNUMBER('03_逐品成本'!E13),'03_逐品成本'!E13&gt;0),ROUND(ROUND(F154*IF(E154="PHP",'03_逐品成本'!E13,1),10),2),"")</f>
        <v/>
      </c>
      <c r="M154" s="9">
        <f>IF(AND(N154="完整",ISNUMBER('03_逐品成本'!E13),'03_逐品成本'!E13&gt;0),ROUND(ROUND(IF(ISNUMBER(G154),G154,F154)*1*IF(E154="PHP",'03_逐品成本'!E13*0.95,1),10),2),"")</f>
        <v/>
      </c>
      <c r="N154" s="6" t="str">
        <f>IF(AND(ISNUMBER(F154),F154&gt;=0,OR(E154="PHP",E154="CNY"),OR(H154="已核实",H154="不适用"),I154&lt;&gt;"",J154&lt;&gt;"",ISNUMBER(K154),K154&gt;='00_审核入口'!$F$2,OR(H154&lt;&gt;"不适用",F154=0),OR(G154="",AND(ISNUMBER(G154),G154&gt;=0))),"完整","待补证")</f>
        <v>待补证</v>
      </c>
    </row>
    <row r="155" spans="1:14" ht="58" customHeight="1">
      <c r="A155" s="8" t="s">
        <v>121</v>
      </c>
      <c r="B155" s="8" t="s">
        <v>122</v>
      </c>
      <c r="C155" s="8" t="s">
        <v>519</v>
      </c>
      <c r="D155" s="8" t="s">
        <v>520</v>
      </c>
      <c r="E155" s="8"/>
      <c r="F155" s="8"/>
      <c r="G155" s="8"/>
      <c r="H155" s="8" t="s">
        <v>506</v>
      </c>
      <c r="I155" s="8"/>
      <c r="J155" s="8"/>
      <c r="L155" s="9">
        <f>IF(AND(N155="完整",ISNUMBER('03_逐品成本'!E13),'03_逐品成本'!E13&gt;0),ROUND(ROUND(F155*IF(E155="PHP",'03_逐品成本'!E13,1),10),2),"")</f>
        <v/>
      </c>
      <c r="M155" s="9">
        <f>IF(AND(N155="完整",ISNUMBER('03_逐品成本'!E13),'03_逐品成本'!E13&gt;0),ROUND(ROUND(IF(ISNUMBER(G155),G155,F155)*1*IF(E155="PHP",'03_逐品成本'!E13*0.95,1),10),2),"")</f>
        <v/>
      </c>
      <c r="N155" s="6" t="str">
        <f>IF(AND(ISNUMBER(F155),F155&gt;=0,OR(E155="PHP",E155="CNY"),OR(H155="已核实",H155="不适用"),I155&lt;&gt;"",J155&lt;&gt;"",ISNUMBER(K155),K155&gt;='00_审核入口'!$F$2,OR(H155&lt;&gt;"不适用",F155=0),OR(G155="",AND(ISNUMBER(G155),G155&gt;=0))),"完整","待补证")</f>
        <v>待补证</v>
      </c>
    </row>
    <row r="156" spans="1:14" ht="58" customHeight="1">
      <c r="A156" s="8" t="s">
        <v>121</v>
      </c>
      <c r="B156" s="8" t="s">
        <v>122</v>
      </c>
      <c r="C156" s="8" t="s">
        <v>521</v>
      </c>
      <c r="D156" s="8" t="s">
        <v>522</v>
      </c>
      <c r="E156" s="8"/>
      <c r="F156" s="8"/>
      <c r="G156" s="8"/>
      <c r="H156" s="8" t="s">
        <v>506</v>
      </c>
      <c r="I156" s="8"/>
      <c r="J156" s="8"/>
      <c r="L156" s="9">
        <f>IF(AND(N156="完整",ISNUMBER('03_逐品成本'!E13),'03_逐品成本'!E13&gt;0),ROUND(ROUND(F156*IF(E156="PHP",'03_逐品成本'!E13,1),10),2),"")</f>
        <v/>
      </c>
      <c r="M156" s="9">
        <f>IF(AND(N156="完整",ISNUMBER('03_逐品成本'!E13),'03_逐品成本'!E13&gt;0),ROUND(ROUND(IF(ISNUMBER(G156),G156,F156)*1*IF(E156="PHP",'03_逐品成本'!E13*0.95,1),10),2),"")</f>
        <v/>
      </c>
      <c r="N156" s="6" t="str">
        <f>IF(AND(ISNUMBER(F156),F156&gt;=0,OR(E156="PHP",E156="CNY"),OR(H156="已核实",H156="不适用"),I156&lt;&gt;"",J156&lt;&gt;"",ISNUMBER(K156),K156&gt;='00_审核入口'!$F$2,OR(H156&lt;&gt;"不适用",F156=0),OR(G156="",AND(ISNUMBER(G156),G156&gt;=0))),"完整","待补证")</f>
        <v>待补证</v>
      </c>
    </row>
    <row r="157" spans="1:14" ht="58" customHeight="1">
      <c r="A157" s="8" t="s">
        <v>121</v>
      </c>
      <c r="B157" s="8" t="s">
        <v>122</v>
      </c>
      <c r="C157" s="8" t="s">
        <v>523</v>
      </c>
      <c r="D157" s="8" t="s">
        <v>524</v>
      </c>
      <c r="E157" s="8"/>
      <c r="F157" s="8"/>
      <c r="G157" s="8"/>
      <c r="H157" s="8" t="s">
        <v>506</v>
      </c>
      <c r="I157" s="8"/>
      <c r="J157" s="8"/>
      <c r="L157" s="9">
        <f>IF(AND(N157="完整",ISNUMBER('03_逐品成本'!E13),'03_逐品成本'!E13&gt;0),ROUND(ROUND(F157*IF(E157="PHP",'03_逐品成本'!E13,1),10),2),"")</f>
        <v/>
      </c>
      <c r="M157" s="9">
        <f>IF(AND(N157="完整",ISNUMBER('03_逐品成本'!E13),'03_逐品成本'!E13&gt;0),ROUND(ROUND(IF(ISNUMBER(G157),G157,F157)*1.15*IF(E157="PHP",'03_逐品成本'!E13*0.95,1),10),2),"")</f>
        <v/>
      </c>
      <c r="N157" s="6" t="str">
        <f>IF(AND(ISNUMBER(F157),F157&gt;=0,OR(E157="PHP",E157="CNY"),OR(H157="已核实",H157="不适用"),I157&lt;&gt;"",J157&lt;&gt;"",ISNUMBER(K157),K157&gt;='00_审核入口'!$F$2,OR(H157&lt;&gt;"不适用",F157=0),OR(G157="",AND(ISNUMBER(G157),G157&gt;=0))),"完整","待补证")</f>
        <v>待补证</v>
      </c>
    </row>
    <row r="158" spans="1:14" ht="58" customHeight="1">
      <c r="A158" s="8" t="s">
        <v>121</v>
      </c>
      <c r="B158" s="8" t="s">
        <v>122</v>
      </c>
      <c r="C158" s="8" t="s">
        <v>525</v>
      </c>
      <c r="D158" s="8" t="s">
        <v>526</v>
      </c>
      <c r="E158" s="8"/>
      <c r="F158" s="8"/>
      <c r="G158" s="8"/>
      <c r="H158" s="8" t="s">
        <v>506</v>
      </c>
      <c r="I158" s="8"/>
      <c r="J158" s="8"/>
      <c r="L158" s="9">
        <f>IF(AND(N158="完整",ISNUMBER('03_逐品成本'!E13),'03_逐品成本'!E13&gt;0),ROUND(ROUND(F158*IF(E158="PHP",'03_逐品成本'!E13,1),10),2),"")</f>
        <v/>
      </c>
      <c r="M158" s="9">
        <f>IF(AND(N158="完整",ISNUMBER('03_逐品成本'!E13),'03_逐品成本'!E13&gt;0),ROUND(ROUND(IF(ISNUMBER(G158),G158,F158)*1.15*IF(E158="PHP",'03_逐品成本'!E13*0.95,1),10),2),"")</f>
        <v/>
      </c>
      <c r="N158" s="6" t="str">
        <f>IF(AND(ISNUMBER(F158),F158&gt;=0,OR(E158="PHP",E158="CNY"),OR(H158="已核实",H158="不适用"),I158&lt;&gt;"",J158&lt;&gt;"",ISNUMBER(K158),K158&gt;='00_审核入口'!$F$2,OR(H158&lt;&gt;"不适用",F158=0),OR(G158="",AND(ISNUMBER(G158),G158&gt;=0))),"完整","待补证")</f>
        <v>待补证</v>
      </c>
    </row>
    <row r="159" spans="1:14" ht="58" customHeight="1">
      <c r="A159" s="8" t="s">
        <v>121</v>
      </c>
      <c r="B159" s="8" t="s">
        <v>122</v>
      </c>
      <c r="C159" s="8" t="s">
        <v>527</v>
      </c>
      <c r="D159" s="8" t="s">
        <v>528</v>
      </c>
      <c r="E159" s="8"/>
      <c r="F159" s="8"/>
      <c r="G159" s="8"/>
      <c r="H159" s="8" t="s">
        <v>506</v>
      </c>
      <c r="I159" s="8"/>
      <c r="J159" s="8"/>
      <c r="L159" s="9">
        <f>IF(AND(N159="完整",ISNUMBER('03_逐品成本'!E13),'03_逐品成本'!E13&gt;0),ROUND(ROUND(F159*IF(E159="PHP",'03_逐品成本'!E13,1),10),2),"")</f>
        <v/>
      </c>
      <c r="M159" s="9">
        <f>IF(AND(N159="完整",ISNUMBER('03_逐品成本'!E13),'03_逐品成本'!E13&gt;0),ROUND(ROUND(IF(ISNUMBER(G159),G159,F159)*1.15*IF(E159="PHP",'03_逐品成本'!E13*0.95,1),10),2),"")</f>
        <v/>
      </c>
      <c r="N159" s="6" t="str">
        <f>IF(AND(ISNUMBER(F159),F159&gt;=0,OR(E159="PHP",E159="CNY"),OR(H159="已核实",H159="不适用"),I159&lt;&gt;"",J159&lt;&gt;"",ISNUMBER(K159),K159&gt;='00_审核入口'!$F$2,OR(H159&lt;&gt;"不适用",F159=0),OR(G159="",AND(ISNUMBER(G159),G159&gt;=0))),"完整","待补证")</f>
        <v>待补证</v>
      </c>
    </row>
    <row r="160" spans="1:14" ht="58" customHeight="1">
      <c r="A160" s="8" t="s">
        <v>121</v>
      </c>
      <c r="B160" s="8" t="s">
        <v>122</v>
      </c>
      <c r="C160" s="8" t="s">
        <v>529</v>
      </c>
      <c r="D160" s="8" t="s">
        <v>530</v>
      </c>
      <c r="E160" s="8"/>
      <c r="F160" s="8"/>
      <c r="G160" s="8"/>
      <c r="H160" s="8" t="s">
        <v>506</v>
      </c>
      <c r="I160" s="8"/>
      <c r="J160" s="8"/>
      <c r="L160" s="9">
        <f>IF(AND(N160="完整",ISNUMBER('03_逐品成本'!E13),'03_逐品成本'!E13&gt;0),ROUND(ROUND(F160*IF(E160="PHP",'03_逐品成本'!E13,1),10),2),"")</f>
        <v/>
      </c>
      <c r="M160" s="9">
        <f>IF(AND(N160="完整",ISNUMBER('03_逐品成本'!E13),'03_逐品成本'!E13&gt;0),ROUND(ROUND(IF(ISNUMBER(G160),G160,F160)*1*IF(E160="PHP",'03_逐品成本'!E13*0.95,1),10),2),"")</f>
        <v/>
      </c>
      <c r="N160" s="6" t="str">
        <f>IF(AND(ISNUMBER(F160),F160&gt;=0,OR(E160="PHP",E160="CNY"),OR(H160="已核实",H160="不适用",H160="预算"),I160&lt;&gt;"",J160&lt;&gt;"",ISNUMBER(K160),K160&gt;='00_审核入口'!$F$2,OR(H160&lt;&gt;"不适用",F160=0),OR(G160="",AND(ISNUMBER(G160),G160&gt;=0))),"完整","待补证")</f>
        <v>待补证</v>
      </c>
    </row>
    <row r="161" spans="1:14" ht="58" customHeight="1">
      <c r="A161" s="8" t="s">
        <v>121</v>
      </c>
      <c r="B161" s="8" t="s">
        <v>122</v>
      </c>
      <c r="C161" s="8" t="s">
        <v>531</v>
      </c>
      <c r="D161" s="8" t="s">
        <v>532</v>
      </c>
      <c r="E161" s="8"/>
      <c r="F161" s="8"/>
      <c r="G161" s="8"/>
      <c r="H161" s="8" t="s">
        <v>506</v>
      </c>
      <c r="I161" s="8"/>
      <c r="J161" s="8"/>
      <c r="L161" s="9">
        <f>IF(AND(N161="完整",ISNUMBER('03_逐品成本'!E13),'03_逐品成本'!E13&gt;0),ROUND(ROUND(F161*IF(E161="PHP",'03_逐品成本'!E13,1),10),2),"")</f>
        <v/>
      </c>
      <c r="M161" s="9">
        <f>IF(AND(N161="完整",ISNUMBER('03_逐品成本'!E13),'03_逐品成本'!E13&gt;0),ROUND(ROUND(IF(ISNUMBER(G161),G161,F161)*1*IF(E161="PHP",'03_逐品成本'!E13*0.95,1),10),2),"")</f>
        <v/>
      </c>
      <c r="N161" s="6" t="str">
        <f>IF(AND(ISNUMBER(F161),F161&gt;=0,OR(E161="PHP",E161="CNY"),OR(H161="已核实",H161="不适用",H161="预算"),I161&lt;&gt;"",J161&lt;&gt;"",ISNUMBER(K161),K161&gt;='00_审核入口'!$F$2,OR(H161&lt;&gt;"不适用",F161=0),OR(G161="",AND(ISNUMBER(G161),G161&gt;=0))),"完整","待补证")</f>
        <v>待补证</v>
      </c>
    </row>
    <row r="162" spans="1:14" ht="58" customHeight="1">
      <c r="A162" s="8" t="s">
        <v>121</v>
      </c>
      <c r="B162" s="8" t="s">
        <v>122</v>
      </c>
      <c r="C162" s="8" t="s">
        <v>533</v>
      </c>
      <c r="D162" s="8" t="s">
        <v>534</v>
      </c>
      <c r="E162" s="8"/>
      <c r="F162" s="8"/>
      <c r="G162" s="8"/>
      <c r="H162" s="8" t="s">
        <v>506</v>
      </c>
      <c r="I162" s="8"/>
      <c r="J162" s="8"/>
      <c r="L162" s="9">
        <f>IF(AND(N162="完整",ISNUMBER('03_逐品成本'!E13),'03_逐品成本'!E13&gt;0),ROUND(ROUND(F162*IF(E162="PHP",'03_逐品成本'!E13,1),10),2),"")</f>
        <v/>
      </c>
      <c r="M162" s="9">
        <f>IF(AND(N162="完整",ISNUMBER('03_逐品成本'!E13),'03_逐品成本'!E13&gt;0),ROUND(ROUND(IF(ISNUMBER(G162),G162,F162)*1*IF(E162="PHP",'03_逐品成本'!E13*0.95,1),10),2),"")</f>
        <v/>
      </c>
      <c r="N162" s="6" t="str">
        <f>IF(AND(ISNUMBER(F162),F162&gt;=0,OR(E162="PHP",E162="CNY"),OR(H162="已核实",H162="不适用",H162="预算"),I162&lt;&gt;"",J162&lt;&gt;"",ISNUMBER(K162),K162&gt;='00_审核入口'!$F$2,OR(H162&lt;&gt;"不适用",F162=0),OR(G162="",AND(ISNUMBER(G162),G162&gt;=0))),"完整","待补证")</f>
        <v>待补证</v>
      </c>
    </row>
    <row r="163" spans="1:14" ht="58" customHeight="1">
      <c r="A163" s="8" t="s">
        <v>121</v>
      </c>
      <c r="B163" s="8" t="s">
        <v>122</v>
      </c>
      <c r="C163" s="8" t="s">
        <v>535</v>
      </c>
      <c r="D163" s="8" t="s">
        <v>536</v>
      </c>
      <c r="E163" s="8"/>
      <c r="F163" s="8"/>
      <c r="G163" s="8"/>
      <c r="H163" s="8" t="s">
        <v>506</v>
      </c>
      <c r="I163" s="8"/>
      <c r="J163" s="8"/>
      <c r="L163" s="9">
        <f>IF(AND(N163="完整",ISNUMBER('03_逐品成本'!E13),'03_逐品成本'!E13&gt;0),ROUND(ROUND(F163*IF(E163="PHP",'03_逐品成本'!E13,1),10),2),"")</f>
        <v/>
      </c>
      <c r="M163" s="9">
        <f>IF(AND(N163="完整",ISNUMBER('03_逐品成本'!E13),'03_逐品成本'!E13&gt;0),ROUND(ROUND(IF(ISNUMBER(G163),G163,F163)*1*IF(E163="PHP",'03_逐品成本'!E13*0.95,1),10),2),"")</f>
        <v/>
      </c>
      <c r="N163" s="6" t="str">
        <f>IF(AND(ISNUMBER(F163),F163&gt;=0,OR(E163="PHP",E163="CNY"),OR(H163="已核实",H163="不适用"),I163&lt;&gt;"",J163&lt;&gt;"",ISNUMBER(K163),K163&gt;='00_审核入口'!$F$2,OR(H163&lt;&gt;"不适用",F163=0),OR(G163="",AND(ISNUMBER(G163),G163&gt;=0))),"完整","待补证")</f>
        <v>待补证</v>
      </c>
    </row>
    <row r="164" spans="1:14" ht="58" customHeight="1">
      <c r="A164" s="8" t="s">
        <v>121</v>
      </c>
      <c r="B164" s="8" t="s">
        <v>122</v>
      </c>
      <c r="C164" s="8" t="s">
        <v>537</v>
      </c>
      <c r="D164" s="8" t="s">
        <v>538</v>
      </c>
      <c r="E164" s="8"/>
      <c r="F164" s="8"/>
      <c r="G164" s="8"/>
      <c r="H164" s="8" t="s">
        <v>506</v>
      </c>
      <c r="I164" s="8"/>
      <c r="J164" s="8"/>
      <c r="L164" s="9">
        <f>IF(AND(N164="完整",ISNUMBER('03_逐品成本'!E13),'03_逐品成本'!E13&gt;0),ROUND(ROUND(F164*IF(E164="PHP",'03_逐品成本'!E13,1),10),2),"")</f>
        <v/>
      </c>
      <c r="M164" s="9">
        <f>IF(AND(N164="完整",ISNUMBER('03_逐品成本'!E13),'03_逐品成本'!E13&gt;0),ROUND(ROUND(IF(ISNUMBER(G164),G164,F164)*1*IF(E164="PHP",'03_逐品成本'!E13*0.95,1),10),2),"")</f>
        <v/>
      </c>
      <c r="N164" s="6" t="str">
        <f>IF(AND(ISNUMBER(F164),F164&gt;=0,OR(E164="PHP",E164="CNY"),OR(H164="已核实",H164="不适用"),I164&lt;&gt;"",J164&lt;&gt;"",ISNUMBER(K164),K164&gt;='00_审核入口'!$F$2,OR(H164&lt;&gt;"不适用",F164=0),OR(G164="",AND(ISNUMBER(G164),G164&gt;=0))),"完整","待补证")</f>
        <v>待补证</v>
      </c>
    </row>
    <row r="165" spans="1:14" ht="58" customHeight="1">
      <c r="A165" s="8" t="s">
        <v>121</v>
      </c>
      <c r="B165" s="8" t="s">
        <v>122</v>
      </c>
      <c r="C165" s="8" t="s">
        <v>539</v>
      </c>
      <c r="D165" s="8" t="s">
        <v>540</v>
      </c>
      <c r="E165" s="8"/>
      <c r="F165" s="8"/>
      <c r="G165" s="8"/>
      <c r="H165" s="8" t="s">
        <v>506</v>
      </c>
      <c r="I165" s="8"/>
      <c r="J165" s="8"/>
      <c r="L165" s="9">
        <f>IF(AND(N165="完整",ISNUMBER('03_逐品成本'!E13),'03_逐品成本'!E13&gt;0),ROUND(ROUND(F165*IF(E165="PHP",'03_逐品成本'!E13,1),10),2),"")</f>
        <v/>
      </c>
      <c r="M165" s="9">
        <f>IF(AND(N165="完整",ISNUMBER('03_逐品成本'!E13),'03_逐品成本'!E13&gt;0),ROUND(ROUND(IF(ISNUMBER(G165),G165,F165)*1*IF(E165="PHP",'03_逐品成本'!E13*0.95,1),10),2),"")</f>
        <v/>
      </c>
      <c r="N165" s="6" t="str">
        <f>IF(AND(ISNUMBER(F165),F165&gt;=0,OR(E165="PHP",E165="CNY"),OR(H165="已核实",H165="不适用",H165="预算"),I165&lt;&gt;"",J165&lt;&gt;"",ISNUMBER(K165),K165&gt;='00_审核入口'!$F$2,OR(H165&lt;&gt;"不适用",F165=0),OR(G165="",AND(ISNUMBER(G165),G165&gt;=0))),"完整","待补证")</f>
        <v>待补证</v>
      </c>
    </row>
    <row r="166" spans="1:14" ht="58" customHeight="1">
      <c r="A166" s="8" t="s">
        <v>121</v>
      </c>
      <c r="B166" s="8" t="s">
        <v>122</v>
      </c>
      <c r="C166" s="8" t="s">
        <v>541</v>
      </c>
      <c r="D166" s="8" t="s">
        <v>542</v>
      </c>
      <c r="E166" s="8"/>
      <c r="F166" s="8"/>
      <c r="G166" s="8"/>
      <c r="H166" s="8" t="s">
        <v>506</v>
      </c>
      <c r="I166" s="8"/>
      <c r="J166" s="8"/>
      <c r="L166" s="9">
        <f>IF(AND(N166="完整",ISNUMBER('03_逐品成本'!E13),'03_逐品成本'!E13&gt;0),ROUND(ROUND(F166*IF(E166="PHP",'03_逐品成本'!E13,1),10),2),"")</f>
        <v/>
      </c>
      <c r="M166" s="9">
        <f>IF(AND(N166="完整",ISNUMBER('03_逐品成本'!E13),'03_逐品成本'!E13&gt;0),ROUND(ROUND(IF(ISNUMBER(G166),G166,F166)*1*IF(E166="PHP",'03_逐品成本'!E13*0.95,1),10),2),"")</f>
        <v/>
      </c>
      <c r="N166" s="6" t="str">
        <f>IF(AND(ISNUMBER(F166),F166&gt;=0,OR(E166="PHP",E166="CNY"),OR(H166="已核实",H166="不适用",H166="预算"),I166&lt;&gt;"",J166&lt;&gt;"",ISNUMBER(K166),K166&gt;='00_审核入口'!$F$2,OR(H166&lt;&gt;"不适用",F166=0),OR(G166="",AND(ISNUMBER(G166),G166&gt;=0))),"完整","待补证")</f>
        <v>待补证</v>
      </c>
    </row>
    <row r="167" spans="1:14" ht="58" customHeight="1">
      <c r="A167" s="8" t="s">
        <v>129</v>
      </c>
      <c r="B167" s="8" t="s">
        <v>130</v>
      </c>
      <c r="C167" s="8" t="s">
        <v>507</v>
      </c>
      <c r="D167" s="8" t="s">
        <v>508</v>
      </c>
      <c r="E167" s="8"/>
      <c r="F167" s="8"/>
      <c r="G167" s="8"/>
      <c r="H167" s="8" t="s">
        <v>506</v>
      </c>
      <c r="I167" s="8"/>
      <c r="J167" s="8"/>
      <c r="L167" s="9">
        <f>IF(AND(N167="完整",ISNUMBER('03_逐品成本'!E14),'03_逐品成本'!E14&gt;0),ROUND(ROUND(F167*IF(E167="PHP",'03_逐品成本'!E14,1),10),2),"")</f>
        <v/>
      </c>
      <c r="M167" s="9">
        <f>IF(AND(N167="完整",ISNUMBER('03_逐品成本'!E14),'03_逐品成本'!E14&gt;0),ROUND(ROUND(IF(ISNUMBER(G167),G167,F167)*1*IF(E167="PHP",'03_逐品成本'!E14*0.95,1),10),2),"")</f>
        <v/>
      </c>
      <c r="N167" s="6" t="str">
        <f>IF(AND(ISNUMBER(F167),F167&gt;=0,OR(E167="PHP",E167="CNY"),OR(H167="已核实",H167="不适用"),I167&lt;&gt;"",J167&lt;&gt;"",ISNUMBER(K167),K167&gt;='00_审核入口'!$F$2,OR(H167&lt;&gt;"不适用",F167=0),OR(G167="",AND(ISNUMBER(G167),G167&gt;=0))),"完整","待补证")</f>
        <v>待补证</v>
      </c>
    </row>
    <row r="168" spans="1:14" ht="58" customHeight="1">
      <c r="A168" s="8" t="s">
        <v>129</v>
      </c>
      <c r="B168" s="8" t="s">
        <v>130</v>
      </c>
      <c r="C168" s="8" t="s">
        <v>509</v>
      </c>
      <c r="D168" s="8" t="s">
        <v>510</v>
      </c>
      <c r="E168" s="8"/>
      <c r="F168" s="8"/>
      <c r="G168" s="8"/>
      <c r="H168" s="8" t="s">
        <v>506</v>
      </c>
      <c r="I168" s="8"/>
      <c r="J168" s="8"/>
      <c r="L168" s="9">
        <f>IF(AND(N168="完整",ISNUMBER('03_逐品成本'!E14),'03_逐品成本'!E14&gt;0),ROUND(ROUND(F168*IF(E168="PHP",'03_逐品成本'!E14,1),10),2),"")</f>
        <v/>
      </c>
      <c r="M168" s="9">
        <f>IF(AND(N168="完整",ISNUMBER('03_逐品成本'!E14),'03_逐品成本'!E14&gt;0),ROUND(ROUND(IF(ISNUMBER(G168),G168,F168)*1*IF(E168="PHP",'03_逐品成本'!E14*0.95,1),10),2),"")</f>
        <v/>
      </c>
      <c r="N168" s="6" t="str">
        <f>IF(AND(ISNUMBER(F168),F168&gt;=0,OR(E168="PHP",E168="CNY"),OR(H168="已核实",H168="不适用"),I168&lt;&gt;"",J168&lt;&gt;"",ISNUMBER(K168),K168&gt;='00_审核入口'!$F$2,OR(H168&lt;&gt;"不适用",F168=0),OR(G168="",AND(ISNUMBER(G168),G168&gt;=0)),ISNUMBER(G168),G168&gt;=0),"完整","待补证")</f>
        <v>待补证</v>
      </c>
    </row>
    <row r="169" spans="1:14" ht="58" customHeight="1">
      <c r="A169" s="8" t="s">
        <v>129</v>
      </c>
      <c r="B169" s="8" t="s">
        <v>130</v>
      </c>
      <c r="C169" s="8" t="s">
        <v>511</v>
      </c>
      <c r="D169" s="8" t="s">
        <v>512</v>
      </c>
      <c r="E169" s="8"/>
      <c r="F169" s="8"/>
      <c r="G169" s="8"/>
      <c r="H169" s="8" t="s">
        <v>506</v>
      </c>
      <c r="I169" s="8"/>
      <c r="J169" s="8"/>
      <c r="L169" s="9">
        <f>IF(AND(N169="完整",ISNUMBER('03_逐品成本'!E14),'03_逐品成本'!E14&gt;0),ROUND(ROUND(F169*IF(E169="PHP",'03_逐品成本'!E14,1),10),2),"")</f>
        <v/>
      </c>
      <c r="M169" s="9">
        <f>IF(AND(N169="完整",ISNUMBER('03_逐品成本'!E14),'03_逐品成本'!E14&gt;0),ROUND(ROUND(IF(ISNUMBER(G169),G169,F169)*1*IF(E169="PHP",'03_逐品成本'!E14*0.95,1),10),2),"")</f>
        <v/>
      </c>
      <c r="N169" s="6" t="str">
        <f>IF(AND(ISNUMBER(F169),F169&gt;=0,OR(E169="PHP",E169="CNY"),OR(H169="已核实",H169="不适用"),I169&lt;&gt;"",J169&lt;&gt;"",ISNUMBER(K169),K169&gt;='00_审核入口'!$F$2,OR(H169&lt;&gt;"不适用",F169=0),OR(G169="",AND(ISNUMBER(G169),G169&gt;=0))),"完整","待补证")</f>
        <v>待补证</v>
      </c>
    </row>
    <row r="170" spans="1:14" ht="58" customHeight="1">
      <c r="A170" s="8" t="s">
        <v>129</v>
      </c>
      <c r="B170" s="8" t="s">
        <v>130</v>
      </c>
      <c r="C170" s="8" t="s">
        <v>513</v>
      </c>
      <c r="D170" s="8" t="s">
        <v>514</v>
      </c>
      <c r="E170" s="8"/>
      <c r="F170" s="8"/>
      <c r="G170" s="8"/>
      <c r="H170" s="8" t="s">
        <v>506</v>
      </c>
      <c r="I170" s="8"/>
      <c r="J170" s="8"/>
      <c r="L170" s="9">
        <f>IF(AND(N170="完整",ISNUMBER('03_逐品成本'!E14),'03_逐品成本'!E14&gt;0),ROUND(ROUND(F170*IF(E170="PHP",'03_逐品成本'!E14,1),10),2),"")</f>
        <v/>
      </c>
      <c r="M170" s="9">
        <f>IF(AND(N170="完整",ISNUMBER('03_逐品成本'!E14),'03_逐品成本'!E14&gt;0),ROUND(ROUND(IF(ISNUMBER(G170),G170,F170)*1*IF(E170="PHP",'03_逐品成本'!E14*0.95,1),10),2),"")</f>
        <v/>
      </c>
      <c r="N170" s="6" t="str">
        <f>IF(AND(ISNUMBER(F170),F170&gt;=0,OR(E170="PHP",E170="CNY"),OR(H170="已核实",H170="不适用"),I170&lt;&gt;"",J170&lt;&gt;"",ISNUMBER(K170),K170&gt;='00_审核入口'!$F$2,OR(H170&lt;&gt;"不适用",F170=0),OR(G170="",AND(ISNUMBER(G170),G170&gt;=0))),"完整","待补证")</f>
        <v>待补证</v>
      </c>
    </row>
    <row r="171" spans="1:14" ht="58" customHeight="1">
      <c r="A171" s="8" t="s">
        <v>129</v>
      </c>
      <c r="B171" s="8" t="s">
        <v>130</v>
      </c>
      <c r="C171" s="8" t="s">
        <v>515</v>
      </c>
      <c r="D171" s="8" t="s">
        <v>516</v>
      </c>
      <c r="E171" s="8"/>
      <c r="F171" s="8"/>
      <c r="G171" s="8"/>
      <c r="H171" s="8" t="s">
        <v>506</v>
      </c>
      <c r="I171" s="8"/>
      <c r="J171" s="8"/>
      <c r="L171" s="9">
        <f>IF(AND(N171="完整",ISNUMBER('03_逐品成本'!E14),'03_逐品成本'!E14&gt;0),ROUND(ROUND(F171*IF(E171="PHP",'03_逐品成本'!E14,1),10),2),"")</f>
        <v/>
      </c>
      <c r="M171" s="9">
        <f>IF(AND(N171="完整",ISNUMBER('03_逐品成本'!E14),'03_逐品成本'!E14&gt;0),ROUND(ROUND(IF(ISNUMBER(G171),G171,F171)*1*IF(E171="PHP",'03_逐品成本'!E14*0.95,1),10),2),"")</f>
        <v/>
      </c>
      <c r="N171" s="6" t="str">
        <f>IF(AND(ISNUMBER(F171),F171&gt;=0,OR(E171="PHP",E171="CNY"),OR(H171="已核实",H171="不适用"),I171&lt;&gt;"",J171&lt;&gt;"",ISNUMBER(K171),K171&gt;='00_审核入口'!$F$2,OR(H171&lt;&gt;"不适用",F171=0),OR(G171="",AND(ISNUMBER(G171),G171&gt;=0))),"完整","待补证")</f>
        <v>待补证</v>
      </c>
    </row>
    <row r="172" spans="1:14" ht="58" customHeight="1">
      <c r="A172" s="8" t="s">
        <v>129</v>
      </c>
      <c r="B172" s="8" t="s">
        <v>130</v>
      </c>
      <c r="C172" s="8" t="s">
        <v>517</v>
      </c>
      <c r="D172" s="8" t="s">
        <v>518</v>
      </c>
      <c r="E172" s="8"/>
      <c r="F172" s="8"/>
      <c r="G172" s="8"/>
      <c r="H172" s="8" t="s">
        <v>506</v>
      </c>
      <c r="I172" s="8"/>
      <c r="J172" s="8"/>
      <c r="L172" s="9">
        <f>IF(AND(N172="完整",ISNUMBER('03_逐品成本'!E14),'03_逐品成本'!E14&gt;0),ROUND(ROUND(F172*IF(E172="PHP",'03_逐品成本'!E14,1),10),2),"")</f>
        <v/>
      </c>
      <c r="M172" s="9">
        <f>IF(AND(N172="完整",ISNUMBER('03_逐品成本'!E14),'03_逐品成本'!E14&gt;0),ROUND(ROUND(IF(ISNUMBER(G172),G172,F172)*1*IF(E172="PHP",'03_逐品成本'!E14*0.95,1),10),2),"")</f>
        <v/>
      </c>
      <c r="N172" s="6" t="str">
        <f>IF(AND(ISNUMBER(F172),F172&gt;=0,OR(E172="PHP",E172="CNY"),OR(H172="已核实",H172="不适用"),I172&lt;&gt;"",J172&lt;&gt;"",ISNUMBER(K172),K172&gt;='00_审核入口'!$F$2,OR(H172&lt;&gt;"不适用",F172=0),OR(G172="",AND(ISNUMBER(G172),G172&gt;=0))),"完整","待补证")</f>
        <v>待补证</v>
      </c>
    </row>
    <row r="173" spans="1:14" ht="58" customHeight="1">
      <c r="A173" s="8" t="s">
        <v>129</v>
      </c>
      <c r="B173" s="8" t="s">
        <v>130</v>
      </c>
      <c r="C173" s="8" t="s">
        <v>519</v>
      </c>
      <c r="D173" s="8" t="s">
        <v>520</v>
      </c>
      <c r="E173" s="8"/>
      <c r="F173" s="8"/>
      <c r="G173" s="8"/>
      <c r="H173" s="8" t="s">
        <v>506</v>
      </c>
      <c r="I173" s="8"/>
      <c r="J173" s="8"/>
      <c r="L173" s="9">
        <f>IF(AND(N173="完整",ISNUMBER('03_逐品成本'!E14),'03_逐品成本'!E14&gt;0),ROUND(ROUND(F173*IF(E173="PHP",'03_逐品成本'!E14,1),10),2),"")</f>
        <v/>
      </c>
      <c r="M173" s="9">
        <f>IF(AND(N173="完整",ISNUMBER('03_逐品成本'!E14),'03_逐品成本'!E14&gt;0),ROUND(ROUND(IF(ISNUMBER(G173),G173,F173)*1*IF(E173="PHP",'03_逐品成本'!E14*0.95,1),10),2),"")</f>
        <v/>
      </c>
      <c r="N173" s="6" t="str">
        <f>IF(AND(ISNUMBER(F173),F173&gt;=0,OR(E173="PHP",E173="CNY"),OR(H173="已核实",H173="不适用"),I173&lt;&gt;"",J173&lt;&gt;"",ISNUMBER(K173),K173&gt;='00_审核入口'!$F$2,OR(H173&lt;&gt;"不适用",F173=0),OR(G173="",AND(ISNUMBER(G173),G173&gt;=0))),"完整","待补证")</f>
        <v>待补证</v>
      </c>
    </row>
    <row r="174" spans="1:14" ht="58" customHeight="1">
      <c r="A174" s="8" t="s">
        <v>129</v>
      </c>
      <c r="B174" s="8" t="s">
        <v>130</v>
      </c>
      <c r="C174" s="8" t="s">
        <v>521</v>
      </c>
      <c r="D174" s="8" t="s">
        <v>522</v>
      </c>
      <c r="E174" s="8"/>
      <c r="F174" s="8"/>
      <c r="G174" s="8"/>
      <c r="H174" s="8" t="s">
        <v>506</v>
      </c>
      <c r="I174" s="8"/>
      <c r="J174" s="8"/>
      <c r="L174" s="9">
        <f>IF(AND(N174="完整",ISNUMBER('03_逐品成本'!E14),'03_逐品成本'!E14&gt;0),ROUND(ROUND(F174*IF(E174="PHP",'03_逐品成本'!E14,1),10),2),"")</f>
        <v/>
      </c>
      <c r="M174" s="9">
        <f>IF(AND(N174="完整",ISNUMBER('03_逐品成本'!E14),'03_逐品成本'!E14&gt;0),ROUND(ROUND(IF(ISNUMBER(G174),G174,F174)*1*IF(E174="PHP",'03_逐品成本'!E14*0.95,1),10),2),"")</f>
        <v/>
      </c>
      <c r="N174" s="6" t="str">
        <f>IF(AND(ISNUMBER(F174),F174&gt;=0,OR(E174="PHP",E174="CNY"),OR(H174="已核实",H174="不适用"),I174&lt;&gt;"",J174&lt;&gt;"",ISNUMBER(K174),K174&gt;='00_审核入口'!$F$2,OR(H174&lt;&gt;"不适用",F174=0),OR(G174="",AND(ISNUMBER(G174),G174&gt;=0))),"完整","待补证")</f>
        <v>待补证</v>
      </c>
    </row>
    <row r="175" spans="1:14" ht="58" customHeight="1">
      <c r="A175" s="8" t="s">
        <v>129</v>
      </c>
      <c r="B175" s="8" t="s">
        <v>130</v>
      </c>
      <c r="C175" s="8" t="s">
        <v>523</v>
      </c>
      <c r="D175" s="8" t="s">
        <v>524</v>
      </c>
      <c r="E175" s="8"/>
      <c r="F175" s="8"/>
      <c r="G175" s="8"/>
      <c r="H175" s="8" t="s">
        <v>506</v>
      </c>
      <c r="I175" s="8"/>
      <c r="J175" s="8"/>
      <c r="L175" s="9">
        <f>IF(AND(N175="完整",ISNUMBER('03_逐品成本'!E14),'03_逐品成本'!E14&gt;0),ROUND(ROUND(F175*IF(E175="PHP",'03_逐品成本'!E14,1),10),2),"")</f>
        <v/>
      </c>
      <c r="M175" s="9">
        <f>IF(AND(N175="完整",ISNUMBER('03_逐品成本'!E14),'03_逐品成本'!E14&gt;0),ROUND(ROUND(IF(ISNUMBER(G175),G175,F175)*1.15*IF(E175="PHP",'03_逐品成本'!E14*0.95,1),10),2),"")</f>
        <v/>
      </c>
      <c r="N175" s="6" t="str">
        <f>IF(AND(ISNUMBER(F175),F175&gt;=0,OR(E175="PHP",E175="CNY"),OR(H175="已核实",H175="不适用"),I175&lt;&gt;"",J175&lt;&gt;"",ISNUMBER(K175),K175&gt;='00_审核入口'!$F$2,OR(H175&lt;&gt;"不适用",F175=0),OR(G175="",AND(ISNUMBER(G175),G175&gt;=0))),"完整","待补证")</f>
        <v>待补证</v>
      </c>
    </row>
    <row r="176" spans="1:14" ht="58" customHeight="1">
      <c r="A176" s="8" t="s">
        <v>129</v>
      </c>
      <c r="B176" s="8" t="s">
        <v>130</v>
      </c>
      <c r="C176" s="8" t="s">
        <v>525</v>
      </c>
      <c r="D176" s="8" t="s">
        <v>526</v>
      </c>
      <c r="E176" s="8"/>
      <c r="F176" s="8"/>
      <c r="G176" s="8"/>
      <c r="H176" s="8" t="s">
        <v>506</v>
      </c>
      <c r="I176" s="8"/>
      <c r="J176" s="8"/>
      <c r="L176" s="9">
        <f>IF(AND(N176="完整",ISNUMBER('03_逐品成本'!E14),'03_逐品成本'!E14&gt;0),ROUND(ROUND(F176*IF(E176="PHP",'03_逐品成本'!E14,1),10),2),"")</f>
        <v/>
      </c>
      <c r="M176" s="9">
        <f>IF(AND(N176="完整",ISNUMBER('03_逐品成本'!E14),'03_逐品成本'!E14&gt;0),ROUND(ROUND(IF(ISNUMBER(G176),G176,F176)*1.15*IF(E176="PHP",'03_逐品成本'!E14*0.95,1),10),2),"")</f>
        <v/>
      </c>
      <c r="N176" s="6" t="str">
        <f>IF(AND(ISNUMBER(F176),F176&gt;=0,OR(E176="PHP",E176="CNY"),OR(H176="已核实",H176="不适用"),I176&lt;&gt;"",J176&lt;&gt;"",ISNUMBER(K176),K176&gt;='00_审核入口'!$F$2,OR(H176&lt;&gt;"不适用",F176=0),OR(G176="",AND(ISNUMBER(G176),G176&gt;=0))),"完整","待补证")</f>
        <v>待补证</v>
      </c>
    </row>
    <row r="177" spans="1:14" ht="58" customHeight="1">
      <c r="A177" s="8" t="s">
        <v>129</v>
      </c>
      <c r="B177" s="8" t="s">
        <v>130</v>
      </c>
      <c r="C177" s="8" t="s">
        <v>527</v>
      </c>
      <c r="D177" s="8" t="s">
        <v>528</v>
      </c>
      <c r="E177" s="8"/>
      <c r="F177" s="8"/>
      <c r="G177" s="8"/>
      <c r="H177" s="8" t="s">
        <v>506</v>
      </c>
      <c r="I177" s="8"/>
      <c r="J177" s="8"/>
      <c r="L177" s="9">
        <f>IF(AND(N177="完整",ISNUMBER('03_逐品成本'!E14),'03_逐品成本'!E14&gt;0),ROUND(ROUND(F177*IF(E177="PHP",'03_逐品成本'!E14,1),10),2),"")</f>
        <v/>
      </c>
      <c r="M177" s="9">
        <f>IF(AND(N177="完整",ISNUMBER('03_逐品成本'!E14),'03_逐品成本'!E14&gt;0),ROUND(ROUND(IF(ISNUMBER(G177),G177,F177)*1.15*IF(E177="PHP",'03_逐品成本'!E14*0.95,1),10),2),"")</f>
        <v/>
      </c>
      <c r="N177" s="6" t="str">
        <f>IF(AND(ISNUMBER(F177),F177&gt;=0,OR(E177="PHP",E177="CNY"),OR(H177="已核实",H177="不适用"),I177&lt;&gt;"",J177&lt;&gt;"",ISNUMBER(K177),K177&gt;='00_审核入口'!$F$2,OR(H177&lt;&gt;"不适用",F177=0),OR(G177="",AND(ISNUMBER(G177),G177&gt;=0))),"完整","待补证")</f>
        <v>待补证</v>
      </c>
    </row>
    <row r="178" spans="1:14" ht="58" customHeight="1">
      <c r="A178" s="8" t="s">
        <v>129</v>
      </c>
      <c r="B178" s="8" t="s">
        <v>130</v>
      </c>
      <c r="C178" s="8" t="s">
        <v>529</v>
      </c>
      <c r="D178" s="8" t="s">
        <v>530</v>
      </c>
      <c r="E178" s="8"/>
      <c r="F178" s="8"/>
      <c r="G178" s="8"/>
      <c r="H178" s="8" t="s">
        <v>506</v>
      </c>
      <c r="I178" s="8"/>
      <c r="J178" s="8"/>
      <c r="L178" s="9">
        <f>IF(AND(N178="完整",ISNUMBER('03_逐品成本'!E14),'03_逐品成本'!E14&gt;0),ROUND(ROUND(F178*IF(E178="PHP",'03_逐品成本'!E14,1),10),2),"")</f>
        <v/>
      </c>
      <c r="M178" s="9">
        <f>IF(AND(N178="完整",ISNUMBER('03_逐品成本'!E14),'03_逐品成本'!E14&gt;0),ROUND(ROUND(IF(ISNUMBER(G178),G178,F178)*1*IF(E178="PHP",'03_逐品成本'!E14*0.95,1),10),2),"")</f>
        <v/>
      </c>
      <c r="N178" s="6" t="str">
        <f>IF(AND(ISNUMBER(F178),F178&gt;=0,OR(E178="PHP",E178="CNY"),OR(H178="已核实",H178="不适用",H178="预算"),I178&lt;&gt;"",J178&lt;&gt;"",ISNUMBER(K178),K178&gt;='00_审核入口'!$F$2,OR(H178&lt;&gt;"不适用",F178=0),OR(G178="",AND(ISNUMBER(G178),G178&gt;=0))),"完整","待补证")</f>
        <v>待补证</v>
      </c>
    </row>
    <row r="179" spans="1:14" ht="58" customHeight="1">
      <c r="A179" s="8" t="s">
        <v>129</v>
      </c>
      <c r="B179" s="8" t="s">
        <v>130</v>
      </c>
      <c r="C179" s="8" t="s">
        <v>531</v>
      </c>
      <c r="D179" s="8" t="s">
        <v>532</v>
      </c>
      <c r="E179" s="8"/>
      <c r="F179" s="8"/>
      <c r="G179" s="8"/>
      <c r="H179" s="8" t="s">
        <v>506</v>
      </c>
      <c r="I179" s="8"/>
      <c r="J179" s="8"/>
      <c r="L179" s="9">
        <f>IF(AND(N179="完整",ISNUMBER('03_逐品成本'!E14),'03_逐品成本'!E14&gt;0),ROUND(ROUND(F179*IF(E179="PHP",'03_逐品成本'!E14,1),10),2),"")</f>
        <v/>
      </c>
      <c r="M179" s="9">
        <f>IF(AND(N179="完整",ISNUMBER('03_逐品成本'!E14),'03_逐品成本'!E14&gt;0),ROUND(ROUND(IF(ISNUMBER(G179),G179,F179)*1*IF(E179="PHP",'03_逐品成本'!E14*0.95,1),10),2),"")</f>
        <v/>
      </c>
      <c r="N179" s="6" t="str">
        <f>IF(AND(ISNUMBER(F179),F179&gt;=0,OR(E179="PHP",E179="CNY"),OR(H179="已核实",H179="不适用",H179="预算"),I179&lt;&gt;"",J179&lt;&gt;"",ISNUMBER(K179),K179&gt;='00_审核入口'!$F$2,OR(H179&lt;&gt;"不适用",F179=0),OR(G179="",AND(ISNUMBER(G179),G179&gt;=0))),"完整","待补证")</f>
        <v>待补证</v>
      </c>
    </row>
    <row r="180" spans="1:14" ht="58" customHeight="1">
      <c r="A180" s="8" t="s">
        <v>129</v>
      </c>
      <c r="B180" s="8" t="s">
        <v>130</v>
      </c>
      <c r="C180" s="8" t="s">
        <v>533</v>
      </c>
      <c r="D180" s="8" t="s">
        <v>534</v>
      </c>
      <c r="E180" s="8"/>
      <c r="F180" s="8"/>
      <c r="G180" s="8"/>
      <c r="H180" s="8" t="s">
        <v>506</v>
      </c>
      <c r="I180" s="8"/>
      <c r="J180" s="8"/>
      <c r="L180" s="9">
        <f>IF(AND(N180="完整",ISNUMBER('03_逐品成本'!E14),'03_逐品成本'!E14&gt;0),ROUND(ROUND(F180*IF(E180="PHP",'03_逐品成本'!E14,1),10),2),"")</f>
        <v/>
      </c>
      <c r="M180" s="9">
        <f>IF(AND(N180="完整",ISNUMBER('03_逐品成本'!E14),'03_逐品成本'!E14&gt;0),ROUND(ROUND(IF(ISNUMBER(G180),G180,F180)*1*IF(E180="PHP",'03_逐品成本'!E14*0.95,1),10),2),"")</f>
        <v/>
      </c>
      <c r="N180" s="6" t="str">
        <f>IF(AND(ISNUMBER(F180),F180&gt;=0,OR(E180="PHP",E180="CNY"),OR(H180="已核实",H180="不适用",H180="预算"),I180&lt;&gt;"",J180&lt;&gt;"",ISNUMBER(K180),K180&gt;='00_审核入口'!$F$2,OR(H180&lt;&gt;"不适用",F180=0),OR(G180="",AND(ISNUMBER(G180),G180&gt;=0))),"完整","待补证")</f>
        <v>待补证</v>
      </c>
    </row>
    <row r="181" spans="1:14" ht="58" customHeight="1">
      <c r="A181" s="8" t="s">
        <v>129</v>
      </c>
      <c r="B181" s="8" t="s">
        <v>130</v>
      </c>
      <c r="C181" s="8" t="s">
        <v>535</v>
      </c>
      <c r="D181" s="8" t="s">
        <v>536</v>
      </c>
      <c r="E181" s="8"/>
      <c r="F181" s="8"/>
      <c r="G181" s="8"/>
      <c r="H181" s="8" t="s">
        <v>506</v>
      </c>
      <c r="I181" s="8"/>
      <c r="J181" s="8"/>
      <c r="L181" s="9">
        <f>IF(AND(N181="完整",ISNUMBER('03_逐品成本'!E14),'03_逐品成本'!E14&gt;0),ROUND(ROUND(F181*IF(E181="PHP",'03_逐品成本'!E14,1),10),2),"")</f>
        <v/>
      </c>
      <c r="M181" s="9">
        <f>IF(AND(N181="完整",ISNUMBER('03_逐品成本'!E14),'03_逐品成本'!E14&gt;0),ROUND(ROUND(IF(ISNUMBER(G181),G181,F181)*1*IF(E181="PHP",'03_逐品成本'!E14*0.95,1),10),2),"")</f>
        <v/>
      </c>
      <c r="N181" s="6" t="str">
        <f>IF(AND(ISNUMBER(F181),F181&gt;=0,OR(E181="PHP",E181="CNY"),OR(H181="已核实",H181="不适用"),I181&lt;&gt;"",J181&lt;&gt;"",ISNUMBER(K181),K181&gt;='00_审核入口'!$F$2,OR(H181&lt;&gt;"不适用",F181=0),OR(G181="",AND(ISNUMBER(G181),G181&gt;=0))),"完整","待补证")</f>
        <v>待补证</v>
      </c>
    </row>
    <row r="182" spans="1:14" ht="58" customHeight="1">
      <c r="A182" s="8" t="s">
        <v>129</v>
      </c>
      <c r="B182" s="8" t="s">
        <v>130</v>
      </c>
      <c r="C182" s="8" t="s">
        <v>537</v>
      </c>
      <c r="D182" s="8" t="s">
        <v>538</v>
      </c>
      <c r="E182" s="8"/>
      <c r="F182" s="8"/>
      <c r="G182" s="8"/>
      <c r="H182" s="8" t="s">
        <v>506</v>
      </c>
      <c r="I182" s="8"/>
      <c r="J182" s="8"/>
      <c r="L182" s="9">
        <f>IF(AND(N182="完整",ISNUMBER('03_逐品成本'!E14),'03_逐品成本'!E14&gt;0),ROUND(ROUND(F182*IF(E182="PHP",'03_逐品成本'!E14,1),10),2),"")</f>
        <v/>
      </c>
      <c r="M182" s="9">
        <f>IF(AND(N182="完整",ISNUMBER('03_逐品成本'!E14),'03_逐品成本'!E14&gt;0),ROUND(ROUND(IF(ISNUMBER(G182),G182,F182)*1*IF(E182="PHP",'03_逐品成本'!E14*0.95,1),10),2),"")</f>
        <v/>
      </c>
      <c r="N182" s="6" t="str">
        <f>IF(AND(ISNUMBER(F182),F182&gt;=0,OR(E182="PHP",E182="CNY"),OR(H182="已核实",H182="不适用"),I182&lt;&gt;"",J182&lt;&gt;"",ISNUMBER(K182),K182&gt;='00_审核入口'!$F$2,OR(H182&lt;&gt;"不适用",F182=0),OR(G182="",AND(ISNUMBER(G182),G182&gt;=0))),"完整","待补证")</f>
        <v>待补证</v>
      </c>
    </row>
    <row r="183" spans="1:14" ht="58" customHeight="1">
      <c r="A183" s="8" t="s">
        <v>129</v>
      </c>
      <c r="B183" s="8" t="s">
        <v>130</v>
      </c>
      <c r="C183" s="8" t="s">
        <v>539</v>
      </c>
      <c r="D183" s="8" t="s">
        <v>540</v>
      </c>
      <c r="E183" s="8"/>
      <c r="F183" s="8"/>
      <c r="G183" s="8"/>
      <c r="H183" s="8" t="s">
        <v>506</v>
      </c>
      <c r="I183" s="8"/>
      <c r="J183" s="8"/>
      <c r="L183" s="9">
        <f>IF(AND(N183="完整",ISNUMBER('03_逐品成本'!E14),'03_逐品成本'!E14&gt;0),ROUND(ROUND(F183*IF(E183="PHP",'03_逐品成本'!E14,1),10),2),"")</f>
        <v/>
      </c>
      <c r="M183" s="9">
        <f>IF(AND(N183="完整",ISNUMBER('03_逐品成本'!E14),'03_逐品成本'!E14&gt;0),ROUND(ROUND(IF(ISNUMBER(G183),G183,F183)*1*IF(E183="PHP",'03_逐品成本'!E14*0.95,1),10),2),"")</f>
        <v/>
      </c>
      <c r="N183" s="6" t="str">
        <f>IF(AND(ISNUMBER(F183),F183&gt;=0,OR(E183="PHP",E183="CNY"),OR(H183="已核实",H183="不适用",H183="预算"),I183&lt;&gt;"",J183&lt;&gt;"",ISNUMBER(K183),K183&gt;='00_审核入口'!$F$2,OR(H183&lt;&gt;"不适用",F183=0),OR(G183="",AND(ISNUMBER(G183),G183&gt;=0))),"完整","待补证")</f>
        <v>待补证</v>
      </c>
    </row>
    <row r="184" spans="1:14" ht="58" customHeight="1">
      <c r="A184" s="8" t="s">
        <v>129</v>
      </c>
      <c r="B184" s="8" t="s">
        <v>130</v>
      </c>
      <c r="C184" s="8" t="s">
        <v>541</v>
      </c>
      <c r="D184" s="8" t="s">
        <v>542</v>
      </c>
      <c r="E184" s="8"/>
      <c r="F184" s="8"/>
      <c r="G184" s="8"/>
      <c r="H184" s="8" t="s">
        <v>506</v>
      </c>
      <c r="I184" s="8"/>
      <c r="J184" s="8"/>
      <c r="L184" s="9">
        <f>IF(AND(N184="完整",ISNUMBER('03_逐品成本'!E14),'03_逐品成本'!E14&gt;0),ROUND(ROUND(F184*IF(E184="PHP",'03_逐品成本'!E14,1),10),2),"")</f>
        <v/>
      </c>
      <c r="M184" s="9">
        <f>IF(AND(N184="完整",ISNUMBER('03_逐品成本'!E14),'03_逐品成本'!E14&gt;0),ROUND(ROUND(IF(ISNUMBER(G184),G184,F184)*1*IF(E184="PHP",'03_逐品成本'!E14*0.95,1),10),2),"")</f>
        <v/>
      </c>
      <c r="N184" s="6" t="str">
        <f>IF(AND(ISNUMBER(F184),F184&gt;=0,OR(E184="PHP",E184="CNY"),OR(H184="已核实",H184="不适用",H184="预算"),I184&lt;&gt;"",J184&lt;&gt;"",ISNUMBER(K184),K184&gt;='00_审核入口'!$F$2,OR(H184&lt;&gt;"不适用",F184=0),OR(G184="",AND(ISNUMBER(G184),G184&gt;=0))),"完整","待补证")</f>
        <v>待补证</v>
      </c>
    </row>
    <row r="185" spans="1:14" ht="58" customHeight="1">
      <c r="A185" s="8" t="s">
        <v>137</v>
      </c>
      <c r="B185" s="8" t="s">
        <v>138</v>
      </c>
      <c r="C185" s="8" t="s">
        <v>507</v>
      </c>
      <c r="D185" s="8" t="s">
        <v>508</v>
      </c>
      <c r="E185" s="8"/>
      <c r="F185" s="8"/>
      <c r="G185" s="8"/>
      <c r="H185" s="8" t="s">
        <v>506</v>
      </c>
      <c r="I185" s="8"/>
      <c r="J185" s="8"/>
      <c r="L185" s="9">
        <f>IF(AND(N185="完整",ISNUMBER('03_逐品成本'!E15),'03_逐品成本'!E15&gt;0),ROUND(ROUND(F185*IF(E185="PHP",'03_逐品成本'!E15,1),10),2),"")</f>
        <v/>
      </c>
      <c r="M185" s="9">
        <f>IF(AND(N185="完整",ISNUMBER('03_逐品成本'!E15),'03_逐品成本'!E15&gt;0),ROUND(ROUND(IF(ISNUMBER(G185),G185,F185)*1*IF(E185="PHP",'03_逐品成本'!E15*0.95,1),10),2),"")</f>
        <v/>
      </c>
      <c r="N185" s="6" t="str">
        <f>IF(AND(ISNUMBER(F185),F185&gt;=0,OR(E185="PHP",E185="CNY"),OR(H185="已核实",H185="不适用"),I185&lt;&gt;"",J185&lt;&gt;"",ISNUMBER(K185),K185&gt;='00_审核入口'!$F$2,OR(H185&lt;&gt;"不适用",F185=0),OR(G185="",AND(ISNUMBER(G185),G185&gt;=0))),"完整","待补证")</f>
        <v>待补证</v>
      </c>
    </row>
    <row r="186" spans="1:14" ht="58" customHeight="1">
      <c r="A186" s="8" t="s">
        <v>137</v>
      </c>
      <c r="B186" s="8" t="s">
        <v>138</v>
      </c>
      <c r="C186" s="8" t="s">
        <v>509</v>
      </c>
      <c r="D186" s="8" t="s">
        <v>510</v>
      </c>
      <c r="E186" s="8"/>
      <c r="F186" s="8"/>
      <c r="G186" s="8"/>
      <c r="H186" s="8" t="s">
        <v>506</v>
      </c>
      <c r="I186" s="8"/>
      <c r="J186" s="8"/>
      <c r="L186" s="9">
        <f>IF(AND(N186="完整",ISNUMBER('03_逐品成本'!E15),'03_逐品成本'!E15&gt;0),ROUND(ROUND(F186*IF(E186="PHP",'03_逐品成本'!E15,1),10),2),"")</f>
        <v/>
      </c>
      <c r="M186" s="9">
        <f>IF(AND(N186="完整",ISNUMBER('03_逐品成本'!E15),'03_逐品成本'!E15&gt;0),ROUND(ROUND(IF(ISNUMBER(G186),G186,F186)*1*IF(E186="PHP",'03_逐品成本'!E15*0.95,1),10),2),"")</f>
        <v/>
      </c>
      <c r="N186" s="6" t="str">
        <f>IF(AND(ISNUMBER(F186),F186&gt;=0,OR(E186="PHP",E186="CNY"),OR(H186="已核实",H186="不适用"),I186&lt;&gt;"",J186&lt;&gt;"",ISNUMBER(K186),K186&gt;='00_审核入口'!$F$2,OR(H186&lt;&gt;"不适用",F186=0),OR(G186="",AND(ISNUMBER(G186),G186&gt;=0)),ISNUMBER(G186),G186&gt;=0),"完整","待补证")</f>
        <v>待补证</v>
      </c>
    </row>
    <row r="187" spans="1:14" ht="58" customHeight="1">
      <c r="A187" s="8" t="s">
        <v>137</v>
      </c>
      <c r="B187" s="8" t="s">
        <v>138</v>
      </c>
      <c r="C187" s="8" t="s">
        <v>511</v>
      </c>
      <c r="D187" s="8" t="s">
        <v>512</v>
      </c>
      <c r="E187" s="8"/>
      <c r="F187" s="8"/>
      <c r="G187" s="8"/>
      <c r="H187" s="8" t="s">
        <v>506</v>
      </c>
      <c r="I187" s="8"/>
      <c r="J187" s="8"/>
      <c r="L187" s="9">
        <f>IF(AND(N187="完整",ISNUMBER('03_逐品成本'!E15),'03_逐品成本'!E15&gt;0),ROUND(ROUND(F187*IF(E187="PHP",'03_逐品成本'!E15,1),10),2),"")</f>
        <v/>
      </c>
      <c r="M187" s="9">
        <f>IF(AND(N187="完整",ISNUMBER('03_逐品成本'!E15),'03_逐品成本'!E15&gt;0),ROUND(ROUND(IF(ISNUMBER(G187),G187,F187)*1*IF(E187="PHP",'03_逐品成本'!E15*0.95,1),10),2),"")</f>
        <v/>
      </c>
      <c r="N187" s="6" t="str">
        <f>IF(AND(ISNUMBER(F187),F187&gt;=0,OR(E187="PHP",E187="CNY"),OR(H187="已核实",H187="不适用"),I187&lt;&gt;"",J187&lt;&gt;"",ISNUMBER(K187),K187&gt;='00_审核入口'!$F$2,OR(H187&lt;&gt;"不适用",F187=0),OR(G187="",AND(ISNUMBER(G187),G187&gt;=0))),"完整","待补证")</f>
        <v>待补证</v>
      </c>
    </row>
    <row r="188" spans="1:14" ht="58" customHeight="1">
      <c r="A188" s="8" t="s">
        <v>137</v>
      </c>
      <c r="B188" s="8" t="s">
        <v>138</v>
      </c>
      <c r="C188" s="8" t="s">
        <v>513</v>
      </c>
      <c r="D188" s="8" t="s">
        <v>514</v>
      </c>
      <c r="E188" s="8"/>
      <c r="F188" s="8"/>
      <c r="G188" s="8"/>
      <c r="H188" s="8" t="s">
        <v>506</v>
      </c>
      <c r="I188" s="8"/>
      <c r="J188" s="8"/>
      <c r="L188" s="9">
        <f>IF(AND(N188="完整",ISNUMBER('03_逐品成本'!E15),'03_逐品成本'!E15&gt;0),ROUND(ROUND(F188*IF(E188="PHP",'03_逐品成本'!E15,1),10),2),"")</f>
        <v/>
      </c>
      <c r="M188" s="9">
        <f>IF(AND(N188="完整",ISNUMBER('03_逐品成本'!E15),'03_逐品成本'!E15&gt;0),ROUND(ROUND(IF(ISNUMBER(G188),G188,F188)*1*IF(E188="PHP",'03_逐品成本'!E15*0.95,1),10),2),"")</f>
        <v/>
      </c>
      <c r="N188" s="6" t="str">
        <f>IF(AND(ISNUMBER(F188),F188&gt;=0,OR(E188="PHP",E188="CNY"),OR(H188="已核实",H188="不适用"),I188&lt;&gt;"",J188&lt;&gt;"",ISNUMBER(K188),K188&gt;='00_审核入口'!$F$2,OR(H188&lt;&gt;"不适用",F188=0),OR(G188="",AND(ISNUMBER(G188),G188&gt;=0))),"完整","待补证")</f>
        <v>待补证</v>
      </c>
    </row>
    <row r="189" spans="1:14" ht="58" customHeight="1">
      <c r="A189" s="8" t="s">
        <v>137</v>
      </c>
      <c r="B189" s="8" t="s">
        <v>138</v>
      </c>
      <c r="C189" s="8" t="s">
        <v>515</v>
      </c>
      <c r="D189" s="8" t="s">
        <v>516</v>
      </c>
      <c r="E189" s="8"/>
      <c r="F189" s="8"/>
      <c r="G189" s="8"/>
      <c r="H189" s="8" t="s">
        <v>506</v>
      </c>
      <c r="I189" s="8"/>
      <c r="J189" s="8"/>
      <c r="L189" s="9">
        <f>IF(AND(N189="完整",ISNUMBER('03_逐品成本'!E15),'03_逐品成本'!E15&gt;0),ROUND(ROUND(F189*IF(E189="PHP",'03_逐品成本'!E15,1),10),2),"")</f>
        <v/>
      </c>
      <c r="M189" s="9">
        <f>IF(AND(N189="完整",ISNUMBER('03_逐品成本'!E15),'03_逐品成本'!E15&gt;0),ROUND(ROUND(IF(ISNUMBER(G189),G189,F189)*1*IF(E189="PHP",'03_逐品成本'!E15*0.95,1),10),2),"")</f>
        <v/>
      </c>
      <c r="N189" s="6" t="str">
        <f>IF(AND(ISNUMBER(F189),F189&gt;=0,OR(E189="PHP",E189="CNY"),OR(H189="已核实",H189="不适用"),I189&lt;&gt;"",J189&lt;&gt;"",ISNUMBER(K189),K189&gt;='00_审核入口'!$F$2,OR(H189&lt;&gt;"不适用",F189=0),OR(G189="",AND(ISNUMBER(G189),G189&gt;=0))),"完整","待补证")</f>
        <v>待补证</v>
      </c>
    </row>
    <row r="190" spans="1:14" ht="58" customHeight="1">
      <c r="A190" s="8" t="s">
        <v>137</v>
      </c>
      <c r="B190" s="8" t="s">
        <v>138</v>
      </c>
      <c r="C190" s="8" t="s">
        <v>517</v>
      </c>
      <c r="D190" s="8" t="s">
        <v>518</v>
      </c>
      <c r="E190" s="8"/>
      <c r="F190" s="8"/>
      <c r="G190" s="8"/>
      <c r="H190" s="8" t="s">
        <v>506</v>
      </c>
      <c r="I190" s="8"/>
      <c r="J190" s="8"/>
      <c r="L190" s="9">
        <f>IF(AND(N190="完整",ISNUMBER('03_逐品成本'!E15),'03_逐品成本'!E15&gt;0),ROUND(ROUND(F190*IF(E190="PHP",'03_逐品成本'!E15,1),10),2),"")</f>
        <v/>
      </c>
      <c r="M190" s="9">
        <f>IF(AND(N190="完整",ISNUMBER('03_逐品成本'!E15),'03_逐品成本'!E15&gt;0),ROUND(ROUND(IF(ISNUMBER(G190),G190,F190)*1*IF(E190="PHP",'03_逐品成本'!E15*0.95,1),10),2),"")</f>
        <v/>
      </c>
      <c r="N190" s="6" t="str">
        <f>IF(AND(ISNUMBER(F190),F190&gt;=0,OR(E190="PHP",E190="CNY"),OR(H190="已核实",H190="不适用"),I190&lt;&gt;"",J190&lt;&gt;"",ISNUMBER(K190),K190&gt;='00_审核入口'!$F$2,OR(H190&lt;&gt;"不适用",F190=0),OR(G190="",AND(ISNUMBER(G190),G190&gt;=0))),"完整","待补证")</f>
        <v>待补证</v>
      </c>
    </row>
    <row r="191" spans="1:14" ht="58" customHeight="1">
      <c r="A191" s="8" t="s">
        <v>137</v>
      </c>
      <c r="B191" s="8" t="s">
        <v>138</v>
      </c>
      <c r="C191" s="8" t="s">
        <v>519</v>
      </c>
      <c r="D191" s="8" t="s">
        <v>520</v>
      </c>
      <c r="E191" s="8"/>
      <c r="F191" s="8"/>
      <c r="G191" s="8"/>
      <c r="H191" s="8" t="s">
        <v>506</v>
      </c>
      <c r="I191" s="8"/>
      <c r="J191" s="8"/>
      <c r="L191" s="9">
        <f>IF(AND(N191="完整",ISNUMBER('03_逐品成本'!E15),'03_逐品成本'!E15&gt;0),ROUND(ROUND(F191*IF(E191="PHP",'03_逐品成本'!E15,1),10),2),"")</f>
        <v/>
      </c>
      <c r="M191" s="9">
        <f>IF(AND(N191="完整",ISNUMBER('03_逐品成本'!E15),'03_逐品成本'!E15&gt;0),ROUND(ROUND(IF(ISNUMBER(G191),G191,F191)*1*IF(E191="PHP",'03_逐品成本'!E15*0.95,1),10),2),"")</f>
        <v/>
      </c>
      <c r="N191" s="6" t="str">
        <f>IF(AND(ISNUMBER(F191),F191&gt;=0,OR(E191="PHP",E191="CNY"),OR(H191="已核实",H191="不适用"),I191&lt;&gt;"",J191&lt;&gt;"",ISNUMBER(K191),K191&gt;='00_审核入口'!$F$2,OR(H191&lt;&gt;"不适用",F191=0),OR(G191="",AND(ISNUMBER(G191),G191&gt;=0))),"完整","待补证")</f>
        <v>待补证</v>
      </c>
    </row>
    <row r="192" spans="1:14" ht="58" customHeight="1">
      <c r="A192" s="8" t="s">
        <v>137</v>
      </c>
      <c r="B192" s="8" t="s">
        <v>138</v>
      </c>
      <c r="C192" s="8" t="s">
        <v>521</v>
      </c>
      <c r="D192" s="8" t="s">
        <v>522</v>
      </c>
      <c r="E192" s="8"/>
      <c r="F192" s="8"/>
      <c r="G192" s="8"/>
      <c r="H192" s="8" t="s">
        <v>506</v>
      </c>
      <c r="I192" s="8"/>
      <c r="J192" s="8"/>
      <c r="L192" s="9">
        <f>IF(AND(N192="完整",ISNUMBER('03_逐品成本'!E15),'03_逐品成本'!E15&gt;0),ROUND(ROUND(F192*IF(E192="PHP",'03_逐品成本'!E15,1),10),2),"")</f>
        <v/>
      </c>
      <c r="M192" s="9">
        <f>IF(AND(N192="完整",ISNUMBER('03_逐品成本'!E15),'03_逐品成本'!E15&gt;0),ROUND(ROUND(IF(ISNUMBER(G192),G192,F192)*1*IF(E192="PHP",'03_逐品成本'!E15*0.95,1),10),2),"")</f>
        <v/>
      </c>
      <c r="N192" s="6" t="str">
        <f>IF(AND(ISNUMBER(F192),F192&gt;=0,OR(E192="PHP",E192="CNY"),OR(H192="已核实",H192="不适用"),I192&lt;&gt;"",J192&lt;&gt;"",ISNUMBER(K192),K192&gt;='00_审核入口'!$F$2,OR(H192&lt;&gt;"不适用",F192=0),OR(G192="",AND(ISNUMBER(G192),G192&gt;=0))),"完整","待补证")</f>
        <v>待补证</v>
      </c>
    </row>
    <row r="193" spans="1:14" ht="58" customHeight="1">
      <c r="A193" s="8" t="s">
        <v>137</v>
      </c>
      <c r="B193" s="8" t="s">
        <v>138</v>
      </c>
      <c r="C193" s="8" t="s">
        <v>523</v>
      </c>
      <c r="D193" s="8" t="s">
        <v>524</v>
      </c>
      <c r="E193" s="8"/>
      <c r="F193" s="8"/>
      <c r="G193" s="8"/>
      <c r="H193" s="8" t="s">
        <v>506</v>
      </c>
      <c r="I193" s="8"/>
      <c r="J193" s="8"/>
      <c r="L193" s="9">
        <f>IF(AND(N193="完整",ISNUMBER('03_逐品成本'!E15),'03_逐品成本'!E15&gt;0),ROUND(ROUND(F193*IF(E193="PHP",'03_逐品成本'!E15,1),10),2),"")</f>
        <v/>
      </c>
      <c r="M193" s="9">
        <f>IF(AND(N193="完整",ISNUMBER('03_逐品成本'!E15),'03_逐品成本'!E15&gt;0),ROUND(ROUND(IF(ISNUMBER(G193),G193,F193)*1.15*IF(E193="PHP",'03_逐品成本'!E15*0.95,1),10),2),"")</f>
        <v/>
      </c>
      <c r="N193" s="6" t="str">
        <f>IF(AND(ISNUMBER(F193),F193&gt;=0,OR(E193="PHP",E193="CNY"),OR(H193="已核实",H193="不适用"),I193&lt;&gt;"",J193&lt;&gt;"",ISNUMBER(K193),K193&gt;='00_审核入口'!$F$2,OR(H193&lt;&gt;"不适用",F193=0),OR(G193="",AND(ISNUMBER(G193),G193&gt;=0))),"完整","待补证")</f>
        <v>待补证</v>
      </c>
    </row>
    <row r="194" spans="1:14" ht="58" customHeight="1">
      <c r="A194" s="8" t="s">
        <v>137</v>
      </c>
      <c r="B194" s="8" t="s">
        <v>138</v>
      </c>
      <c r="C194" s="8" t="s">
        <v>525</v>
      </c>
      <c r="D194" s="8" t="s">
        <v>526</v>
      </c>
      <c r="E194" s="8"/>
      <c r="F194" s="8"/>
      <c r="G194" s="8"/>
      <c r="H194" s="8" t="s">
        <v>506</v>
      </c>
      <c r="I194" s="8"/>
      <c r="J194" s="8"/>
      <c r="L194" s="9">
        <f>IF(AND(N194="完整",ISNUMBER('03_逐品成本'!E15),'03_逐品成本'!E15&gt;0),ROUND(ROUND(F194*IF(E194="PHP",'03_逐品成本'!E15,1),10),2),"")</f>
        <v/>
      </c>
      <c r="M194" s="9">
        <f>IF(AND(N194="完整",ISNUMBER('03_逐品成本'!E15),'03_逐品成本'!E15&gt;0),ROUND(ROUND(IF(ISNUMBER(G194),G194,F194)*1.15*IF(E194="PHP",'03_逐品成本'!E15*0.95,1),10),2),"")</f>
        <v/>
      </c>
      <c r="N194" s="6" t="str">
        <f>IF(AND(ISNUMBER(F194),F194&gt;=0,OR(E194="PHP",E194="CNY"),OR(H194="已核实",H194="不适用"),I194&lt;&gt;"",J194&lt;&gt;"",ISNUMBER(K194),K194&gt;='00_审核入口'!$F$2,OR(H194&lt;&gt;"不适用",F194=0),OR(G194="",AND(ISNUMBER(G194),G194&gt;=0))),"完整","待补证")</f>
        <v>待补证</v>
      </c>
    </row>
    <row r="195" spans="1:14" ht="58" customHeight="1">
      <c r="A195" s="8" t="s">
        <v>137</v>
      </c>
      <c r="B195" s="8" t="s">
        <v>138</v>
      </c>
      <c r="C195" s="8" t="s">
        <v>527</v>
      </c>
      <c r="D195" s="8" t="s">
        <v>528</v>
      </c>
      <c r="E195" s="8"/>
      <c r="F195" s="8"/>
      <c r="G195" s="8"/>
      <c r="H195" s="8" t="s">
        <v>506</v>
      </c>
      <c r="I195" s="8"/>
      <c r="J195" s="8"/>
      <c r="L195" s="9">
        <f>IF(AND(N195="完整",ISNUMBER('03_逐品成本'!E15),'03_逐品成本'!E15&gt;0),ROUND(ROUND(F195*IF(E195="PHP",'03_逐品成本'!E15,1),10),2),"")</f>
        <v/>
      </c>
      <c r="M195" s="9">
        <f>IF(AND(N195="完整",ISNUMBER('03_逐品成本'!E15),'03_逐品成本'!E15&gt;0),ROUND(ROUND(IF(ISNUMBER(G195),G195,F195)*1.15*IF(E195="PHP",'03_逐品成本'!E15*0.95,1),10),2),"")</f>
        <v/>
      </c>
      <c r="N195" s="6" t="str">
        <f>IF(AND(ISNUMBER(F195),F195&gt;=0,OR(E195="PHP",E195="CNY"),OR(H195="已核实",H195="不适用"),I195&lt;&gt;"",J195&lt;&gt;"",ISNUMBER(K195),K195&gt;='00_审核入口'!$F$2,OR(H195&lt;&gt;"不适用",F195=0),OR(G195="",AND(ISNUMBER(G195),G195&gt;=0))),"完整","待补证")</f>
        <v>待补证</v>
      </c>
    </row>
    <row r="196" spans="1:14" ht="58" customHeight="1">
      <c r="A196" s="8" t="s">
        <v>137</v>
      </c>
      <c r="B196" s="8" t="s">
        <v>138</v>
      </c>
      <c r="C196" s="8" t="s">
        <v>529</v>
      </c>
      <c r="D196" s="8" t="s">
        <v>530</v>
      </c>
      <c r="E196" s="8"/>
      <c r="F196" s="8"/>
      <c r="G196" s="8"/>
      <c r="H196" s="8" t="s">
        <v>506</v>
      </c>
      <c r="I196" s="8"/>
      <c r="J196" s="8"/>
      <c r="L196" s="9">
        <f>IF(AND(N196="完整",ISNUMBER('03_逐品成本'!E15),'03_逐品成本'!E15&gt;0),ROUND(ROUND(F196*IF(E196="PHP",'03_逐品成本'!E15,1),10),2),"")</f>
        <v/>
      </c>
      <c r="M196" s="9">
        <f>IF(AND(N196="完整",ISNUMBER('03_逐品成本'!E15),'03_逐品成本'!E15&gt;0),ROUND(ROUND(IF(ISNUMBER(G196),G196,F196)*1*IF(E196="PHP",'03_逐品成本'!E15*0.95,1),10),2),"")</f>
        <v/>
      </c>
      <c r="N196" s="6" t="str">
        <f>IF(AND(ISNUMBER(F196),F196&gt;=0,OR(E196="PHP",E196="CNY"),OR(H196="已核实",H196="不适用",H196="预算"),I196&lt;&gt;"",J196&lt;&gt;"",ISNUMBER(K196),K196&gt;='00_审核入口'!$F$2,OR(H196&lt;&gt;"不适用",F196=0),OR(G196="",AND(ISNUMBER(G196),G196&gt;=0))),"完整","待补证")</f>
        <v>待补证</v>
      </c>
    </row>
    <row r="197" spans="1:14" ht="58" customHeight="1">
      <c r="A197" s="8" t="s">
        <v>137</v>
      </c>
      <c r="B197" s="8" t="s">
        <v>138</v>
      </c>
      <c r="C197" s="8" t="s">
        <v>531</v>
      </c>
      <c r="D197" s="8" t="s">
        <v>532</v>
      </c>
      <c r="E197" s="8"/>
      <c r="F197" s="8"/>
      <c r="G197" s="8"/>
      <c r="H197" s="8" t="s">
        <v>506</v>
      </c>
      <c r="I197" s="8"/>
      <c r="J197" s="8"/>
      <c r="L197" s="9">
        <f>IF(AND(N197="完整",ISNUMBER('03_逐品成本'!E15),'03_逐品成本'!E15&gt;0),ROUND(ROUND(F197*IF(E197="PHP",'03_逐品成本'!E15,1),10),2),"")</f>
        <v/>
      </c>
      <c r="M197" s="9">
        <f>IF(AND(N197="完整",ISNUMBER('03_逐品成本'!E15),'03_逐品成本'!E15&gt;0),ROUND(ROUND(IF(ISNUMBER(G197),G197,F197)*1*IF(E197="PHP",'03_逐品成本'!E15*0.95,1),10),2),"")</f>
        <v/>
      </c>
      <c r="N197" s="6" t="str">
        <f>IF(AND(ISNUMBER(F197),F197&gt;=0,OR(E197="PHP",E197="CNY"),OR(H197="已核实",H197="不适用",H197="预算"),I197&lt;&gt;"",J197&lt;&gt;"",ISNUMBER(K197),K197&gt;='00_审核入口'!$F$2,OR(H197&lt;&gt;"不适用",F197=0),OR(G197="",AND(ISNUMBER(G197),G197&gt;=0))),"完整","待补证")</f>
        <v>待补证</v>
      </c>
    </row>
    <row r="198" spans="1:14" ht="58" customHeight="1">
      <c r="A198" s="8" t="s">
        <v>137</v>
      </c>
      <c r="B198" s="8" t="s">
        <v>138</v>
      </c>
      <c r="C198" s="8" t="s">
        <v>533</v>
      </c>
      <c r="D198" s="8" t="s">
        <v>534</v>
      </c>
      <c r="E198" s="8"/>
      <c r="F198" s="8"/>
      <c r="G198" s="8"/>
      <c r="H198" s="8" t="s">
        <v>506</v>
      </c>
      <c r="I198" s="8"/>
      <c r="J198" s="8"/>
      <c r="L198" s="9">
        <f>IF(AND(N198="完整",ISNUMBER('03_逐品成本'!E15),'03_逐品成本'!E15&gt;0),ROUND(ROUND(F198*IF(E198="PHP",'03_逐品成本'!E15,1),10),2),"")</f>
        <v/>
      </c>
      <c r="M198" s="9">
        <f>IF(AND(N198="完整",ISNUMBER('03_逐品成本'!E15),'03_逐品成本'!E15&gt;0),ROUND(ROUND(IF(ISNUMBER(G198),G198,F198)*1*IF(E198="PHP",'03_逐品成本'!E15*0.95,1),10),2),"")</f>
        <v/>
      </c>
      <c r="N198" s="6" t="str">
        <f>IF(AND(ISNUMBER(F198),F198&gt;=0,OR(E198="PHP",E198="CNY"),OR(H198="已核实",H198="不适用",H198="预算"),I198&lt;&gt;"",J198&lt;&gt;"",ISNUMBER(K198),K198&gt;='00_审核入口'!$F$2,OR(H198&lt;&gt;"不适用",F198=0),OR(G198="",AND(ISNUMBER(G198),G198&gt;=0))),"完整","待补证")</f>
        <v>待补证</v>
      </c>
    </row>
    <row r="199" spans="1:14" ht="58" customHeight="1">
      <c r="A199" s="8" t="s">
        <v>137</v>
      </c>
      <c r="B199" s="8" t="s">
        <v>138</v>
      </c>
      <c r="C199" s="8" t="s">
        <v>535</v>
      </c>
      <c r="D199" s="8" t="s">
        <v>536</v>
      </c>
      <c r="E199" s="8"/>
      <c r="F199" s="8"/>
      <c r="G199" s="8"/>
      <c r="H199" s="8" t="s">
        <v>506</v>
      </c>
      <c r="I199" s="8"/>
      <c r="J199" s="8"/>
      <c r="L199" s="9">
        <f>IF(AND(N199="完整",ISNUMBER('03_逐品成本'!E15),'03_逐品成本'!E15&gt;0),ROUND(ROUND(F199*IF(E199="PHP",'03_逐品成本'!E15,1),10),2),"")</f>
        <v/>
      </c>
      <c r="M199" s="9">
        <f>IF(AND(N199="完整",ISNUMBER('03_逐品成本'!E15),'03_逐品成本'!E15&gt;0),ROUND(ROUND(IF(ISNUMBER(G199),G199,F199)*1*IF(E199="PHP",'03_逐品成本'!E15*0.95,1),10),2),"")</f>
        <v/>
      </c>
      <c r="N199" s="6" t="str">
        <f>IF(AND(ISNUMBER(F199),F199&gt;=0,OR(E199="PHP",E199="CNY"),OR(H199="已核实",H199="不适用"),I199&lt;&gt;"",J199&lt;&gt;"",ISNUMBER(K199),K199&gt;='00_审核入口'!$F$2,OR(H199&lt;&gt;"不适用",F199=0),OR(G199="",AND(ISNUMBER(G199),G199&gt;=0))),"完整","待补证")</f>
        <v>待补证</v>
      </c>
    </row>
    <row r="200" spans="1:14" ht="58" customHeight="1">
      <c r="A200" s="8" t="s">
        <v>137</v>
      </c>
      <c r="B200" s="8" t="s">
        <v>138</v>
      </c>
      <c r="C200" s="8" t="s">
        <v>537</v>
      </c>
      <c r="D200" s="8" t="s">
        <v>538</v>
      </c>
      <c r="E200" s="8"/>
      <c r="F200" s="8"/>
      <c r="G200" s="8"/>
      <c r="H200" s="8" t="s">
        <v>506</v>
      </c>
      <c r="I200" s="8"/>
      <c r="J200" s="8"/>
      <c r="L200" s="9">
        <f>IF(AND(N200="完整",ISNUMBER('03_逐品成本'!E15),'03_逐品成本'!E15&gt;0),ROUND(ROUND(F200*IF(E200="PHP",'03_逐品成本'!E15,1),10),2),"")</f>
        <v/>
      </c>
      <c r="M200" s="9">
        <f>IF(AND(N200="完整",ISNUMBER('03_逐品成本'!E15),'03_逐品成本'!E15&gt;0),ROUND(ROUND(IF(ISNUMBER(G200),G200,F200)*1*IF(E200="PHP",'03_逐品成本'!E15*0.95,1),10),2),"")</f>
        <v/>
      </c>
      <c r="N200" s="6" t="str">
        <f>IF(AND(ISNUMBER(F200),F200&gt;=0,OR(E200="PHP",E200="CNY"),OR(H200="已核实",H200="不适用"),I200&lt;&gt;"",J200&lt;&gt;"",ISNUMBER(K200),K200&gt;='00_审核入口'!$F$2,OR(H200&lt;&gt;"不适用",F200=0),OR(G200="",AND(ISNUMBER(G200),G200&gt;=0))),"完整","待补证")</f>
        <v>待补证</v>
      </c>
    </row>
    <row r="201" spans="1:14" ht="58" customHeight="1">
      <c r="A201" s="8" t="s">
        <v>137</v>
      </c>
      <c r="B201" s="8" t="s">
        <v>138</v>
      </c>
      <c r="C201" s="8" t="s">
        <v>539</v>
      </c>
      <c r="D201" s="8" t="s">
        <v>540</v>
      </c>
      <c r="E201" s="8"/>
      <c r="F201" s="8"/>
      <c r="G201" s="8"/>
      <c r="H201" s="8" t="s">
        <v>506</v>
      </c>
      <c r="I201" s="8"/>
      <c r="J201" s="8"/>
      <c r="L201" s="9">
        <f>IF(AND(N201="完整",ISNUMBER('03_逐品成本'!E15),'03_逐品成本'!E15&gt;0),ROUND(ROUND(F201*IF(E201="PHP",'03_逐品成本'!E15,1),10),2),"")</f>
        <v/>
      </c>
      <c r="M201" s="9">
        <f>IF(AND(N201="完整",ISNUMBER('03_逐品成本'!E15),'03_逐品成本'!E15&gt;0),ROUND(ROUND(IF(ISNUMBER(G201),G201,F201)*1*IF(E201="PHP",'03_逐品成本'!E15*0.95,1),10),2),"")</f>
        <v/>
      </c>
      <c r="N201" s="6" t="str">
        <f>IF(AND(ISNUMBER(F201),F201&gt;=0,OR(E201="PHP",E201="CNY"),OR(H201="已核实",H201="不适用",H201="预算"),I201&lt;&gt;"",J201&lt;&gt;"",ISNUMBER(K201),K201&gt;='00_审核入口'!$F$2,OR(H201&lt;&gt;"不适用",F201=0),OR(G201="",AND(ISNUMBER(G201),G201&gt;=0))),"完整","待补证")</f>
        <v>待补证</v>
      </c>
    </row>
    <row r="202" spans="1:14" ht="58" customHeight="1">
      <c r="A202" s="8" t="s">
        <v>137</v>
      </c>
      <c r="B202" s="8" t="s">
        <v>138</v>
      </c>
      <c r="C202" s="8" t="s">
        <v>541</v>
      </c>
      <c r="D202" s="8" t="s">
        <v>542</v>
      </c>
      <c r="E202" s="8"/>
      <c r="F202" s="8"/>
      <c r="G202" s="8"/>
      <c r="H202" s="8" t="s">
        <v>506</v>
      </c>
      <c r="I202" s="8"/>
      <c r="J202" s="8"/>
      <c r="L202" s="9">
        <f>IF(AND(N202="完整",ISNUMBER('03_逐品成本'!E15),'03_逐品成本'!E15&gt;0),ROUND(ROUND(F202*IF(E202="PHP",'03_逐品成本'!E15,1),10),2),"")</f>
        <v/>
      </c>
      <c r="M202" s="9">
        <f>IF(AND(N202="完整",ISNUMBER('03_逐品成本'!E15),'03_逐品成本'!E15&gt;0),ROUND(ROUND(IF(ISNUMBER(G202),G202,F202)*1*IF(E202="PHP",'03_逐品成本'!E15*0.95,1),10),2),"")</f>
        <v/>
      </c>
      <c r="N202" s="6" t="str">
        <f>IF(AND(ISNUMBER(F202),F202&gt;=0,OR(E202="PHP",E202="CNY"),OR(H202="已核实",H202="不适用",H202="预算"),I202&lt;&gt;"",J202&lt;&gt;"",ISNUMBER(K202),K202&gt;='00_审核入口'!$F$2,OR(H202&lt;&gt;"不适用",F202=0),OR(G202="",AND(ISNUMBER(G202),G202&gt;=0))),"完整","待补证")</f>
        <v>待补证</v>
      </c>
    </row>
    <row r="203" spans="1:14" ht="58" customHeight="1">
      <c r="A203" s="8" t="s">
        <v>145</v>
      </c>
      <c r="B203" s="8" t="s">
        <v>146</v>
      </c>
      <c r="C203" s="8" t="s">
        <v>507</v>
      </c>
      <c r="D203" s="8" t="s">
        <v>508</v>
      </c>
      <c r="E203" s="8"/>
      <c r="F203" s="8"/>
      <c r="G203" s="8"/>
      <c r="H203" s="8" t="s">
        <v>506</v>
      </c>
      <c r="I203" s="8"/>
      <c r="J203" s="8"/>
      <c r="L203" s="9">
        <f>IF(AND(N203="完整",ISNUMBER('03_逐品成本'!E16),'03_逐品成本'!E16&gt;0),ROUND(ROUND(F203*IF(E203="PHP",'03_逐品成本'!E16,1),10),2),"")</f>
        <v/>
      </c>
      <c r="M203" s="9">
        <f>IF(AND(N203="完整",ISNUMBER('03_逐品成本'!E16),'03_逐品成本'!E16&gt;0),ROUND(ROUND(IF(ISNUMBER(G203),G203,F203)*1*IF(E203="PHP",'03_逐品成本'!E16*0.95,1),10),2),"")</f>
        <v/>
      </c>
      <c r="N203" s="6" t="str">
        <f>IF(AND(ISNUMBER(F203),F203&gt;=0,OR(E203="PHP",E203="CNY"),OR(H203="已核实",H203="不适用"),I203&lt;&gt;"",J203&lt;&gt;"",ISNUMBER(K203),K203&gt;='00_审核入口'!$F$2,OR(H203&lt;&gt;"不适用",F203=0),OR(G203="",AND(ISNUMBER(G203),G203&gt;=0))),"完整","待补证")</f>
        <v>待补证</v>
      </c>
    </row>
    <row r="204" spans="1:14" ht="58" customHeight="1">
      <c r="A204" s="8" t="s">
        <v>145</v>
      </c>
      <c r="B204" s="8" t="s">
        <v>146</v>
      </c>
      <c r="C204" s="8" t="s">
        <v>509</v>
      </c>
      <c r="D204" s="8" t="s">
        <v>510</v>
      </c>
      <c r="E204" s="8"/>
      <c r="F204" s="8"/>
      <c r="G204" s="8"/>
      <c r="H204" s="8" t="s">
        <v>506</v>
      </c>
      <c r="I204" s="8"/>
      <c r="J204" s="8"/>
      <c r="L204" s="9">
        <f>IF(AND(N204="完整",ISNUMBER('03_逐品成本'!E16),'03_逐品成本'!E16&gt;0),ROUND(ROUND(F204*IF(E204="PHP",'03_逐品成本'!E16,1),10),2),"")</f>
        <v/>
      </c>
      <c r="M204" s="9">
        <f>IF(AND(N204="完整",ISNUMBER('03_逐品成本'!E16),'03_逐品成本'!E16&gt;0),ROUND(ROUND(IF(ISNUMBER(G204),G204,F204)*1*IF(E204="PHP",'03_逐品成本'!E16*0.95,1),10),2),"")</f>
        <v/>
      </c>
      <c r="N204" s="6" t="str">
        <f>IF(AND(ISNUMBER(F204),F204&gt;=0,OR(E204="PHP",E204="CNY"),OR(H204="已核实",H204="不适用"),I204&lt;&gt;"",J204&lt;&gt;"",ISNUMBER(K204),K204&gt;='00_审核入口'!$F$2,OR(H204&lt;&gt;"不适用",F204=0),OR(G204="",AND(ISNUMBER(G204),G204&gt;=0)),ISNUMBER(G204),G204&gt;=0),"完整","待补证")</f>
        <v>待补证</v>
      </c>
    </row>
    <row r="205" spans="1:14" ht="58" customHeight="1">
      <c r="A205" s="8" t="s">
        <v>145</v>
      </c>
      <c r="B205" s="8" t="s">
        <v>146</v>
      </c>
      <c r="C205" s="8" t="s">
        <v>511</v>
      </c>
      <c r="D205" s="8" t="s">
        <v>512</v>
      </c>
      <c r="E205" s="8"/>
      <c r="F205" s="8"/>
      <c r="G205" s="8"/>
      <c r="H205" s="8" t="s">
        <v>506</v>
      </c>
      <c r="I205" s="8"/>
      <c r="J205" s="8"/>
      <c r="L205" s="9">
        <f>IF(AND(N205="完整",ISNUMBER('03_逐品成本'!E16),'03_逐品成本'!E16&gt;0),ROUND(ROUND(F205*IF(E205="PHP",'03_逐品成本'!E16,1),10),2),"")</f>
        <v/>
      </c>
      <c r="M205" s="9">
        <f>IF(AND(N205="完整",ISNUMBER('03_逐品成本'!E16),'03_逐品成本'!E16&gt;0),ROUND(ROUND(IF(ISNUMBER(G205),G205,F205)*1*IF(E205="PHP",'03_逐品成本'!E16*0.95,1),10),2),"")</f>
        <v/>
      </c>
      <c r="N205" s="6" t="str">
        <f>IF(AND(ISNUMBER(F205),F205&gt;=0,OR(E205="PHP",E205="CNY"),OR(H205="已核实",H205="不适用"),I205&lt;&gt;"",J205&lt;&gt;"",ISNUMBER(K205),K205&gt;='00_审核入口'!$F$2,OR(H205&lt;&gt;"不适用",F205=0),OR(G205="",AND(ISNUMBER(G205),G205&gt;=0))),"完整","待补证")</f>
        <v>待补证</v>
      </c>
    </row>
    <row r="206" spans="1:14" ht="58" customHeight="1">
      <c r="A206" s="8" t="s">
        <v>145</v>
      </c>
      <c r="B206" s="8" t="s">
        <v>146</v>
      </c>
      <c r="C206" s="8" t="s">
        <v>513</v>
      </c>
      <c r="D206" s="8" t="s">
        <v>514</v>
      </c>
      <c r="E206" s="8"/>
      <c r="F206" s="8"/>
      <c r="G206" s="8"/>
      <c r="H206" s="8" t="s">
        <v>506</v>
      </c>
      <c r="I206" s="8"/>
      <c r="J206" s="8"/>
      <c r="L206" s="9">
        <f>IF(AND(N206="完整",ISNUMBER('03_逐品成本'!E16),'03_逐品成本'!E16&gt;0),ROUND(ROUND(F206*IF(E206="PHP",'03_逐品成本'!E16,1),10),2),"")</f>
        <v/>
      </c>
      <c r="M206" s="9">
        <f>IF(AND(N206="完整",ISNUMBER('03_逐品成本'!E16),'03_逐品成本'!E16&gt;0),ROUND(ROUND(IF(ISNUMBER(G206),G206,F206)*1*IF(E206="PHP",'03_逐品成本'!E16*0.95,1),10),2),"")</f>
        <v/>
      </c>
      <c r="N206" s="6" t="str">
        <f>IF(AND(ISNUMBER(F206),F206&gt;=0,OR(E206="PHP",E206="CNY"),OR(H206="已核实",H206="不适用"),I206&lt;&gt;"",J206&lt;&gt;"",ISNUMBER(K206),K206&gt;='00_审核入口'!$F$2,OR(H206&lt;&gt;"不适用",F206=0),OR(G206="",AND(ISNUMBER(G206),G206&gt;=0))),"完整","待补证")</f>
        <v>待补证</v>
      </c>
    </row>
    <row r="207" spans="1:14" ht="58" customHeight="1">
      <c r="A207" s="8" t="s">
        <v>145</v>
      </c>
      <c r="B207" s="8" t="s">
        <v>146</v>
      </c>
      <c r="C207" s="8" t="s">
        <v>515</v>
      </c>
      <c r="D207" s="8" t="s">
        <v>516</v>
      </c>
      <c r="E207" s="8"/>
      <c r="F207" s="8"/>
      <c r="G207" s="8"/>
      <c r="H207" s="8" t="s">
        <v>506</v>
      </c>
      <c r="I207" s="8"/>
      <c r="J207" s="8"/>
      <c r="L207" s="9">
        <f>IF(AND(N207="完整",ISNUMBER('03_逐品成本'!E16),'03_逐品成本'!E16&gt;0),ROUND(ROUND(F207*IF(E207="PHP",'03_逐品成本'!E16,1),10),2),"")</f>
        <v/>
      </c>
      <c r="M207" s="9">
        <f>IF(AND(N207="完整",ISNUMBER('03_逐品成本'!E16),'03_逐品成本'!E16&gt;0),ROUND(ROUND(IF(ISNUMBER(G207),G207,F207)*1*IF(E207="PHP",'03_逐品成本'!E16*0.95,1),10),2),"")</f>
        <v/>
      </c>
      <c r="N207" s="6" t="str">
        <f>IF(AND(ISNUMBER(F207),F207&gt;=0,OR(E207="PHP",E207="CNY"),OR(H207="已核实",H207="不适用"),I207&lt;&gt;"",J207&lt;&gt;"",ISNUMBER(K207),K207&gt;='00_审核入口'!$F$2,OR(H207&lt;&gt;"不适用",F207=0),OR(G207="",AND(ISNUMBER(G207),G207&gt;=0))),"完整","待补证")</f>
        <v>待补证</v>
      </c>
    </row>
    <row r="208" spans="1:14" ht="58" customHeight="1">
      <c r="A208" s="8" t="s">
        <v>145</v>
      </c>
      <c r="B208" s="8" t="s">
        <v>146</v>
      </c>
      <c r="C208" s="8" t="s">
        <v>517</v>
      </c>
      <c r="D208" s="8" t="s">
        <v>518</v>
      </c>
      <c r="E208" s="8"/>
      <c r="F208" s="8"/>
      <c r="G208" s="8"/>
      <c r="H208" s="8" t="s">
        <v>506</v>
      </c>
      <c r="I208" s="8"/>
      <c r="J208" s="8"/>
      <c r="L208" s="9">
        <f>IF(AND(N208="完整",ISNUMBER('03_逐品成本'!E16),'03_逐品成本'!E16&gt;0),ROUND(ROUND(F208*IF(E208="PHP",'03_逐品成本'!E16,1),10),2),"")</f>
        <v/>
      </c>
      <c r="M208" s="9">
        <f>IF(AND(N208="完整",ISNUMBER('03_逐品成本'!E16),'03_逐品成本'!E16&gt;0),ROUND(ROUND(IF(ISNUMBER(G208),G208,F208)*1*IF(E208="PHP",'03_逐品成本'!E16*0.95,1),10),2),"")</f>
        <v/>
      </c>
      <c r="N208" s="6" t="str">
        <f>IF(AND(ISNUMBER(F208),F208&gt;=0,OR(E208="PHP",E208="CNY"),OR(H208="已核实",H208="不适用"),I208&lt;&gt;"",J208&lt;&gt;"",ISNUMBER(K208),K208&gt;='00_审核入口'!$F$2,OR(H208&lt;&gt;"不适用",F208=0),OR(G208="",AND(ISNUMBER(G208),G208&gt;=0))),"完整","待补证")</f>
        <v>待补证</v>
      </c>
    </row>
    <row r="209" spans="1:14" ht="58" customHeight="1">
      <c r="A209" s="8" t="s">
        <v>145</v>
      </c>
      <c r="B209" s="8" t="s">
        <v>146</v>
      </c>
      <c r="C209" s="8" t="s">
        <v>519</v>
      </c>
      <c r="D209" s="8" t="s">
        <v>520</v>
      </c>
      <c r="E209" s="8"/>
      <c r="F209" s="8"/>
      <c r="G209" s="8"/>
      <c r="H209" s="8" t="s">
        <v>506</v>
      </c>
      <c r="I209" s="8"/>
      <c r="J209" s="8"/>
      <c r="L209" s="9">
        <f>IF(AND(N209="完整",ISNUMBER('03_逐品成本'!E16),'03_逐品成本'!E16&gt;0),ROUND(ROUND(F209*IF(E209="PHP",'03_逐品成本'!E16,1),10),2),"")</f>
        <v/>
      </c>
      <c r="M209" s="9">
        <f>IF(AND(N209="完整",ISNUMBER('03_逐品成本'!E16),'03_逐品成本'!E16&gt;0),ROUND(ROUND(IF(ISNUMBER(G209),G209,F209)*1*IF(E209="PHP",'03_逐品成本'!E16*0.95,1),10),2),"")</f>
        <v/>
      </c>
      <c r="N209" s="6" t="str">
        <f>IF(AND(ISNUMBER(F209),F209&gt;=0,OR(E209="PHP",E209="CNY"),OR(H209="已核实",H209="不适用"),I209&lt;&gt;"",J209&lt;&gt;"",ISNUMBER(K209),K209&gt;='00_审核入口'!$F$2,OR(H209&lt;&gt;"不适用",F209=0),OR(G209="",AND(ISNUMBER(G209),G209&gt;=0))),"完整","待补证")</f>
        <v>待补证</v>
      </c>
    </row>
    <row r="210" spans="1:14" ht="58" customHeight="1">
      <c r="A210" s="8" t="s">
        <v>145</v>
      </c>
      <c r="B210" s="8" t="s">
        <v>146</v>
      </c>
      <c r="C210" s="8" t="s">
        <v>521</v>
      </c>
      <c r="D210" s="8" t="s">
        <v>522</v>
      </c>
      <c r="E210" s="8"/>
      <c r="F210" s="8"/>
      <c r="G210" s="8"/>
      <c r="H210" s="8" t="s">
        <v>506</v>
      </c>
      <c r="I210" s="8"/>
      <c r="J210" s="8"/>
      <c r="L210" s="9">
        <f>IF(AND(N210="完整",ISNUMBER('03_逐品成本'!E16),'03_逐品成本'!E16&gt;0),ROUND(ROUND(F210*IF(E210="PHP",'03_逐品成本'!E16,1),10),2),"")</f>
        <v/>
      </c>
      <c r="M210" s="9">
        <f>IF(AND(N210="完整",ISNUMBER('03_逐品成本'!E16),'03_逐品成本'!E16&gt;0),ROUND(ROUND(IF(ISNUMBER(G210),G210,F210)*1*IF(E210="PHP",'03_逐品成本'!E16*0.95,1),10),2),"")</f>
        <v/>
      </c>
      <c r="N210" s="6" t="str">
        <f>IF(AND(ISNUMBER(F210),F210&gt;=0,OR(E210="PHP",E210="CNY"),OR(H210="已核实",H210="不适用"),I210&lt;&gt;"",J210&lt;&gt;"",ISNUMBER(K210),K210&gt;='00_审核入口'!$F$2,OR(H210&lt;&gt;"不适用",F210=0),OR(G210="",AND(ISNUMBER(G210),G210&gt;=0))),"完整","待补证")</f>
        <v>待补证</v>
      </c>
    </row>
    <row r="211" spans="1:14" ht="58" customHeight="1">
      <c r="A211" s="8" t="s">
        <v>145</v>
      </c>
      <c r="B211" s="8" t="s">
        <v>146</v>
      </c>
      <c r="C211" s="8" t="s">
        <v>523</v>
      </c>
      <c r="D211" s="8" t="s">
        <v>524</v>
      </c>
      <c r="E211" s="8"/>
      <c r="F211" s="8"/>
      <c r="G211" s="8"/>
      <c r="H211" s="8" t="s">
        <v>506</v>
      </c>
      <c r="I211" s="8"/>
      <c r="J211" s="8"/>
      <c r="L211" s="9">
        <f>IF(AND(N211="完整",ISNUMBER('03_逐品成本'!E16),'03_逐品成本'!E16&gt;0),ROUND(ROUND(F211*IF(E211="PHP",'03_逐品成本'!E16,1),10),2),"")</f>
        <v/>
      </c>
      <c r="M211" s="9">
        <f>IF(AND(N211="完整",ISNUMBER('03_逐品成本'!E16),'03_逐品成本'!E16&gt;0),ROUND(ROUND(IF(ISNUMBER(G211),G211,F211)*1.15*IF(E211="PHP",'03_逐品成本'!E16*0.95,1),10),2),"")</f>
        <v/>
      </c>
      <c r="N211" s="6" t="str">
        <f>IF(AND(ISNUMBER(F211),F211&gt;=0,OR(E211="PHP",E211="CNY"),OR(H211="已核实",H211="不适用"),I211&lt;&gt;"",J211&lt;&gt;"",ISNUMBER(K211),K211&gt;='00_审核入口'!$F$2,OR(H211&lt;&gt;"不适用",F211=0),OR(G211="",AND(ISNUMBER(G211),G211&gt;=0))),"完整","待补证")</f>
        <v>待补证</v>
      </c>
    </row>
    <row r="212" spans="1:14" ht="58" customHeight="1">
      <c r="A212" s="8" t="s">
        <v>145</v>
      </c>
      <c r="B212" s="8" t="s">
        <v>146</v>
      </c>
      <c r="C212" s="8" t="s">
        <v>525</v>
      </c>
      <c r="D212" s="8" t="s">
        <v>526</v>
      </c>
      <c r="E212" s="8"/>
      <c r="F212" s="8"/>
      <c r="G212" s="8"/>
      <c r="H212" s="8" t="s">
        <v>506</v>
      </c>
      <c r="I212" s="8"/>
      <c r="J212" s="8"/>
      <c r="L212" s="9">
        <f>IF(AND(N212="完整",ISNUMBER('03_逐品成本'!E16),'03_逐品成本'!E16&gt;0),ROUND(ROUND(F212*IF(E212="PHP",'03_逐品成本'!E16,1),10),2),"")</f>
        <v/>
      </c>
      <c r="M212" s="9">
        <f>IF(AND(N212="完整",ISNUMBER('03_逐品成本'!E16),'03_逐品成本'!E16&gt;0),ROUND(ROUND(IF(ISNUMBER(G212),G212,F212)*1.15*IF(E212="PHP",'03_逐品成本'!E16*0.95,1),10),2),"")</f>
        <v/>
      </c>
      <c r="N212" s="6" t="str">
        <f>IF(AND(ISNUMBER(F212),F212&gt;=0,OR(E212="PHP",E212="CNY"),OR(H212="已核实",H212="不适用"),I212&lt;&gt;"",J212&lt;&gt;"",ISNUMBER(K212),K212&gt;='00_审核入口'!$F$2,OR(H212&lt;&gt;"不适用",F212=0),OR(G212="",AND(ISNUMBER(G212),G212&gt;=0))),"完整","待补证")</f>
        <v>待补证</v>
      </c>
    </row>
    <row r="213" spans="1:14" ht="58" customHeight="1">
      <c r="A213" s="8" t="s">
        <v>145</v>
      </c>
      <c r="B213" s="8" t="s">
        <v>146</v>
      </c>
      <c r="C213" s="8" t="s">
        <v>527</v>
      </c>
      <c r="D213" s="8" t="s">
        <v>528</v>
      </c>
      <c r="E213" s="8"/>
      <c r="F213" s="8"/>
      <c r="G213" s="8"/>
      <c r="H213" s="8" t="s">
        <v>506</v>
      </c>
      <c r="I213" s="8"/>
      <c r="J213" s="8"/>
      <c r="L213" s="9">
        <f>IF(AND(N213="完整",ISNUMBER('03_逐品成本'!E16),'03_逐品成本'!E16&gt;0),ROUND(ROUND(F213*IF(E213="PHP",'03_逐品成本'!E16,1),10),2),"")</f>
        <v/>
      </c>
      <c r="M213" s="9">
        <f>IF(AND(N213="完整",ISNUMBER('03_逐品成本'!E16),'03_逐品成本'!E16&gt;0),ROUND(ROUND(IF(ISNUMBER(G213),G213,F213)*1.15*IF(E213="PHP",'03_逐品成本'!E16*0.95,1),10),2),"")</f>
        <v/>
      </c>
      <c r="N213" s="6" t="str">
        <f>IF(AND(ISNUMBER(F213),F213&gt;=0,OR(E213="PHP",E213="CNY"),OR(H213="已核实",H213="不适用"),I213&lt;&gt;"",J213&lt;&gt;"",ISNUMBER(K213),K213&gt;='00_审核入口'!$F$2,OR(H213&lt;&gt;"不适用",F213=0),OR(G213="",AND(ISNUMBER(G213),G213&gt;=0))),"完整","待补证")</f>
        <v>待补证</v>
      </c>
    </row>
    <row r="214" spans="1:14" ht="58" customHeight="1">
      <c r="A214" s="8" t="s">
        <v>145</v>
      </c>
      <c r="B214" s="8" t="s">
        <v>146</v>
      </c>
      <c r="C214" s="8" t="s">
        <v>529</v>
      </c>
      <c r="D214" s="8" t="s">
        <v>530</v>
      </c>
      <c r="E214" s="8"/>
      <c r="F214" s="8"/>
      <c r="G214" s="8"/>
      <c r="H214" s="8" t="s">
        <v>506</v>
      </c>
      <c r="I214" s="8"/>
      <c r="J214" s="8"/>
      <c r="L214" s="9">
        <f>IF(AND(N214="完整",ISNUMBER('03_逐品成本'!E16),'03_逐品成本'!E16&gt;0),ROUND(ROUND(F214*IF(E214="PHP",'03_逐品成本'!E16,1),10),2),"")</f>
        <v/>
      </c>
      <c r="M214" s="9">
        <f>IF(AND(N214="完整",ISNUMBER('03_逐品成本'!E16),'03_逐品成本'!E16&gt;0),ROUND(ROUND(IF(ISNUMBER(G214),G214,F214)*1*IF(E214="PHP",'03_逐品成本'!E16*0.95,1),10),2),"")</f>
        <v/>
      </c>
      <c r="N214" s="6" t="str">
        <f>IF(AND(ISNUMBER(F214),F214&gt;=0,OR(E214="PHP",E214="CNY"),OR(H214="已核实",H214="不适用",H214="预算"),I214&lt;&gt;"",J214&lt;&gt;"",ISNUMBER(K214),K214&gt;='00_审核入口'!$F$2,OR(H214&lt;&gt;"不适用",F214=0),OR(G214="",AND(ISNUMBER(G214),G214&gt;=0))),"完整","待补证")</f>
        <v>待补证</v>
      </c>
    </row>
    <row r="215" spans="1:14" ht="58" customHeight="1">
      <c r="A215" s="8" t="s">
        <v>145</v>
      </c>
      <c r="B215" s="8" t="s">
        <v>146</v>
      </c>
      <c r="C215" s="8" t="s">
        <v>531</v>
      </c>
      <c r="D215" s="8" t="s">
        <v>532</v>
      </c>
      <c r="E215" s="8"/>
      <c r="F215" s="8"/>
      <c r="G215" s="8"/>
      <c r="H215" s="8" t="s">
        <v>506</v>
      </c>
      <c r="I215" s="8"/>
      <c r="J215" s="8"/>
      <c r="L215" s="9">
        <f>IF(AND(N215="完整",ISNUMBER('03_逐品成本'!E16),'03_逐品成本'!E16&gt;0),ROUND(ROUND(F215*IF(E215="PHP",'03_逐品成本'!E16,1),10),2),"")</f>
        <v/>
      </c>
      <c r="M215" s="9">
        <f>IF(AND(N215="完整",ISNUMBER('03_逐品成本'!E16),'03_逐品成本'!E16&gt;0),ROUND(ROUND(IF(ISNUMBER(G215),G215,F215)*1*IF(E215="PHP",'03_逐品成本'!E16*0.95,1),10),2),"")</f>
        <v/>
      </c>
      <c r="N215" s="6" t="str">
        <f>IF(AND(ISNUMBER(F215),F215&gt;=0,OR(E215="PHP",E215="CNY"),OR(H215="已核实",H215="不适用",H215="预算"),I215&lt;&gt;"",J215&lt;&gt;"",ISNUMBER(K215),K215&gt;='00_审核入口'!$F$2,OR(H215&lt;&gt;"不适用",F215=0),OR(G215="",AND(ISNUMBER(G215),G215&gt;=0))),"完整","待补证")</f>
        <v>待补证</v>
      </c>
    </row>
    <row r="216" spans="1:14" ht="58" customHeight="1">
      <c r="A216" s="8" t="s">
        <v>145</v>
      </c>
      <c r="B216" s="8" t="s">
        <v>146</v>
      </c>
      <c r="C216" s="8" t="s">
        <v>533</v>
      </c>
      <c r="D216" s="8" t="s">
        <v>534</v>
      </c>
      <c r="E216" s="8"/>
      <c r="F216" s="8"/>
      <c r="G216" s="8"/>
      <c r="H216" s="8" t="s">
        <v>506</v>
      </c>
      <c r="I216" s="8"/>
      <c r="J216" s="8"/>
      <c r="L216" s="9">
        <f>IF(AND(N216="完整",ISNUMBER('03_逐品成本'!E16),'03_逐品成本'!E16&gt;0),ROUND(ROUND(F216*IF(E216="PHP",'03_逐品成本'!E16,1),10),2),"")</f>
        <v/>
      </c>
      <c r="M216" s="9">
        <f>IF(AND(N216="完整",ISNUMBER('03_逐品成本'!E16),'03_逐品成本'!E16&gt;0),ROUND(ROUND(IF(ISNUMBER(G216),G216,F216)*1*IF(E216="PHP",'03_逐品成本'!E16*0.95,1),10),2),"")</f>
        <v/>
      </c>
      <c r="N216" s="6" t="str">
        <f>IF(AND(ISNUMBER(F216),F216&gt;=0,OR(E216="PHP",E216="CNY"),OR(H216="已核实",H216="不适用",H216="预算"),I216&lt;&gt;"",J216&lt;&gt;"",ISNUMBER(K216),K216&gt;='00_审核入口'!$F$2,OR(H216&lt;&gt;"不适用",F216=0),OR(G216="",AND(ISNUMBER(G216),G216&gt;=0))),"完整","待补证")</f>
        <v>待补证</v>
      </c>
    </row>
    <row r="217" spans="1:14" ht="58" customHeight="1">
      <c r="A217" s="8" t="s">
        <v>145</v>
      </c>
      <c r="B217" s="8" t="s">
        <v>146</v>
      </c>
      <c r="C217" s="8" t="s">
        <v>535</v>
      </c>
      <c r="D217" s="8" t="s">
        <v>536</v>
      </c>
      <c r="E217" s="8"/>
      <c r="F217" s="8"/>
      <c r="G217" s="8"/>
      <c r="H217" s="8" t="s">
        <v>506</v>
      </c>
      <c r="I217" s="8"/>
      <c r="J217" s="8"/>
      <c r="L217" s="9">
        <f>IF(AND(N217="完整",ISNUMBER('03_逐品成本'!E16),'03_逐品成本'!E16&gt;0),ROUND(ROUND(F217*IF(E217="PHP",'03_逐品成本'!E16,1),10),2),"")</f>
        <v/>
      </c>
      <c r="M217" s="9">
        <f>IF(AND(N217="完整",ISNUMBER('03_逐品成本'!E16),'03_逐品成本'!E16&gt;0),ROUND(ROUND(IF(ISNUMBER(G217),G217,F217)*1*IF(E217="PHP",'03_逐品成本'!E16*0.95,1),10),2),"")</f>
        <v/>
      </c>
      <c r="N217" s="6" t="str">
        <f>IF(AND(ISNUMBER(F217),F217&gt;=0,OR(E217="PHP",E217="CNY"),OR(H217="已核实",H217="不适用"),I217&lt;&gt;"",J217&lt;&gt;"",ISNUMBER(K217),K217&gt;='00_审核入口'!$F$2,OR(H217&lt;&gt;"不适用",F217=0),OR(G217="",AND(ISNUMBER(G217),G217&gt;=0))),"完整","待补证")</f>
        <v>待补证</v>
      </c>
    </row>
    <row r="218" spans="1:14" ht="58" customHeight="1">
      <c r="A218" s="8" t="s">
        <v>145</v>
      </c>
      <c r="B218" s="8" t="s">
        <v>146</v>
      </c>
      <c r="C218" s="8" t="s">
        <v>537</v>
      </c>
      <c r="D218" s="8" t="s">
        <v>538</v>
      </c>
      <c r="E218" s="8"/>
      <c r="F218" s="8"/>
      <c r="G218" s="8"/>
      <c r="H218" s="8" t="s">
        <v>506</v>
      </c>
      <c r="I218" s="8"/>
      <c r="J218" s="8"/>
      <c r="L218" s="9">
        <f>IF(AND(N218="完整",ISNUMBER('03_逐品成本'!E16),'03_逐品成本'!E16&gt;0),ROUND(ROUND(F218*IF(E218="PHP",'03_逐品成本'!E16,1),10),2),"")</f>
        <v/>
      </c>
      <c r="M218" s="9">
        <f>IF(AND(N218="完整",ISNUMBER('03_逐品成本'!E16),'03_逐品成本'!E16&gt;0),ROUND(ROUND(IF(ISNUMBER(G218),G218,F218)*1*IF(E218="PHP",'03_逐品成本'!E16*0.95,1),10),2),"")</f>
        <v/>
      </c>
      <c r="N218" s="6" t="str">
        <f>IF(AND(ISNUMBER(F218),F218&gt;=0,OR(E218="PHP",E218="CNY"),OR(H218="已核实",H218="不适用"),I218&lt;&gt;"",J218&lt;&gt;"",ISNUMBER(K218),K218&gt;='00_审核入口'!$F$2,OR(H218&lt;&gt;"不适用",F218=0),OR(G218="",AND(ISNUMBER(G218),G218&gt;=0))),"完整","待补证")</f>
        <v>待补证</v>
      </c>
    </row>
    <row r="219" spans="1:14" ht="58" customHeight="1">
      <c r="A219" s="8" t="s">
        <v>145</v>
      </c>
      <c r="B219" s="8" t="s">
        <v>146</v>
      </c>
      <c r="C219" s="8" t="s">
        <v>539</v>
      </c>
      <c r="D219" s="8" t="s">
        <v>540</v>
      </c>
      <c r="E219" s="8"/>
      <c r="F219" s="8"/>
      <c r="G219" s="8"/>
      <c r="H219" s="8" t="s">
        <v>506</v>
      </c>
      <c r="I219" s="8"/>
      <c r="J219" s="8"/>
      <c r="L219" s="9">
        <f>IF(AND(N219="完整",ISNUMBER('03_逐品成本'!E16),'03_逐品成本'!E16&gt;0),ROUND(ROUND(F219*IF(E219="PHP",'03_逐品成本'!E16,1),10),2),"")</f>
        <v/>
      </c>
      <c r="M219" s="9">
        <f>IF(AND(N219="完整",ISNUMBER('03_逐品成本'!E16),'03_逐品成本'!E16&gt;0),ROUND(ROUND(IF(ISNUMBER(G219),G219,F219)*1*IF(E219="PHP",'03_逐品成本'!E16*0.95,1),10),2),"")</f>
        <v/>
      </c>
      <c r="N219" s="6" t="str">
        <f>IF(AND(ISNUMBER(F219),F219&gt;=0,OR(E219="PHP",E219="CNY"),OR(H219="已核实",H219="不适用",H219="预算"),I219&lt;&gt;"",J219&lt;&gt;"",ISNUMBER(K219),K219&gt;='00_审核入口'!$F$2,OR(H219&lt;&gt;"不适用",F219=0),OR(G219="",AND(ISNUMBER(G219),G219&gt;=0))),"完整","待补证")</f>
        <v>待补证</v>
      </c>
    </row>
    <row r="220" spans="1:14" ht="58" customHeight="1">
      <c r="A220" s="8" t="s">
        <v>145</v>
      </c>
      <c r="B220" s="8" t="s">
        <v>146</v>
      </c>
      <c r="C220" s="8" t="s">
        <v>541</v>
      </c>
      <c r="D220" s="8" t="s">
        <v>542</v>
      </c>
      <c r="E220" s="8"/>
      <c r="F220" s="8"/>
      <c r="G220" s="8"/>
      <c r="H220" s="8" t="s">
        <v>506</v>
      </c>
      <c r="I220" s="8"/>
      <c r="J220" s="8"/>
      <c r="L220" s="9">
        <f>IF(AND(N220="完整",ISNUMBER('03_逐品成本'!E16),'03_逐品成本'!E16&gt;0),ROUND(ROUND(F220*IF(E220="PHP",'03_逐品成本'!E16,1),10),2),"")</f>
        <v/>
      </c>
      <c r="M220" s="9">
        <f>IF(AND(N220="完整",ISNUMBER('03_逐品成本'!E16),'03_逐品成本'!E16&gt;0),ROUND(ROUND(IF(ISNUMBER(G220),G220,F220)*1*IF(E220="PHP",'03_逐品成本'!E16*0.95,1),10),2),"")</f>
        <v/>
      </c>
      <c r="N220" s="6" t="str">
        <f>IF(AND(ISNUMBER(F220),F220&gt;=0,OR(E220="PHP",E220="CNY"),OR(H220="已核实",H220="不适用",H220="预算"),I220&lt;&gt;"",J220&lt;&gt;"",ISNUMBER(K220),K220&gt;='00_审核入口'!$F$2,OR(H220&lt;&gt;"不适用",F220=0),OR(G220="",AND(ISNUMBER(G220),G220&gt;=0))),"完整","待补证")</f>
        <v>待补证</v>
      </c>
    </row>
    <row r="221" spans="1:14" ht="58" customHeight="1">
      <c r="A221" s="8" t="s">
        <v>153</v>
      </c>
      <c r="B221" s="8" t="s">
        <v>154</v>
      </c>
      <c r="C221" s="8" t="s">
        <v>507</v>
      </c>
      <c r="D221" s="8" t="s">
        <v>508</v>
      </c>
      <c r="E221" s="8"/>
      <c r="F221" s="8"/>
      <c r="G221" s="8"/>
      <c r="H221" s="8" t="s">
        <v>506</v>
      </c>
      <c r="I221" s="8"/>
      <c r="J221" s="8"/>
      <c r="L221" s="9">
        <f>IF(AND(N221="完整",ISNUMBER('03_逐品成本'!E17),'03_逐品成本'!E17&gt;0),ROUND(ROUND(F221*IF(E221="PHP",'03_逐品成本'!E17,1),10),2),"")</f>
        <v/>
      </c>
      <c r="M221" s="9">
        <f>IF(AND(N221="完整",ISNUMBER('03_逐品成本'!E17),'03_逐品成本'!E17&gt;0),ROUND(ROUND(IF(ISNUMBER(G221),G221,F221)*1*IF(E221="PHP",'03_逐品成本'!E17*0.95,1),10),2),"")</f>
        <v/>
      </c>
      <c r="N221" s="6" t="str">
        <f>IF(AND(ISNUMBER(F221),F221&gt;=0,OR(E221="PHP",E221="CNY"),OR(H221="已核实",H221="不适用"),I221&lt;&gt;"",J221&lt;&gt;"",ISNUMBER(K221),K221&gt;='00_审核入口'!$F$2,OR(H221&lt;&gt;"不适用",F221=0),OR(G221="",AND(ISNUMBER(G221),G221&gt;=0))),"完整","待补证")</f>
        <v>待补证</v>
      </c>
    </row>
    <row r="222" spans="1:14" ht="58" customHeight="1">
      <c r="A222" s="8" t="s">
        <v>153</v>
      </c>
      <c r="B222" s="8" t="s">
        <v>154</v>
      </c>
      <c r="C222" s="8" t="s">
        <v>509</v>
      </c>
      <c r="D222" s="8" t="s">
        <v>510</v>
      </c>
      <c r="E222" s="8"/>
      <c r="F222" s="8"/>
      <c r="G222" s="8"/>
      <c r="H222" s="8" t="s">
        <v>506</v>
      </c>
      <c r="I222" s="8"/>
      <c r="J222" s="8"/>
      <c r="L222" s="9">
        <f>IF(AND(N222="完整",ISNUMBER('03_逐品成本'!E17),'03_逐品成本'!E17&gt;0),ROUND(ROUND(F222*IF(E222="PHP",'03_逐品成本'!E17,1),10),2),"")</f>
        <v/>
      </c>
      <c r="M222" s="9">
        <f>IF(AND(N222="完整",ISNUMBER('03_逐品成本'!E17),'03_逐品成本'!E17&gt;0),ROUND(ROUND(IF(ISNUMBER(G222),G222,F222)*1*IF(E222="PHP",'03_逐品成本'!E17*0.95,1),10),2),"")</f>
        <v/>
      </c>
      <c r="N222" s="6" t="str">
        <f>IF(AND(ISNUMBER(F222),F222&gt;=0,OR(E222="PHP",E222="CNY"),OR(H222="已核实",H222="不适用"),I222&lt;&gt;"",J222&lt;&gt;"",ISNUMBER(K222),K222&gt;='00_审核入口'!$F$2,OR(H222&lt;&gt;"不适用",F222=0),OR(G222="",AND(ISNUMBER(G222),G222&gt;=0)),ISNUMBER(G222),G222&gt;=0),"完整","待补证")</f>
        <v>待补证</v>
      </c>
    </row>
    <row r="223" spans="1:14" ht="58" customHeight="1">
      <c r="A223" s="8" t="s">
        <v>153</v>
      </c>
      <c r="B223" s="8" t="s">
        <v>154</v>
      </c>
      <c r="C223" s="8" t="s">
        <v>511</v>
      </c>
      <c r="D223" s="8" t="s">
        <v>512</v>
      </c>
      <c r="E223" s="8"/>
      <c r="F223" s="8"/>
      <c r="G223" s="8"/>
      <c r="H223" s="8" t="s">
        <v>506</v>
      </c>
      <c r="I223" s="8"/>
      <c r="J223" s="8"/>
      <c r="L223" s="9">
        <f>IF(AND(N223="完整",ISNUMBER('03_逐品成本'!E17),'03_逐品成本'!E17&gt;0),ROUND(ROUND(F223*IF(E223="PHP",'03_逐品成本'!E17,1),10),2),"")</f>
        <v/>
      </c>
      <c r="M223" s="9">
        <f>IF(AND(N223="完整",ISNUMBER('03_逐品成本'!E17),'03_逐品成本'!E17&gt;0),ROUND(ROUND(IF(ISNUMBER(G223),G223,F223)*1*IF(E223="PHP",'03_逐品成本'!E17*0.95,1),10),2),"")</f>
        <v/>
      </c>
      <c r="N223" s="6" t="str">
        <f>IF(AND(ISNUMBER(F223),F223&gt;=0,OR(E223="PHP",E223="CNY"),OR(H223="已核实",H223="不适用"),I223&lt;&gt;"",J223&lt;&gt;"",ISNUMBER(K223),K223&gt;='00_审核入口'!$F$2,OR(H223&lt;&gt;"不适用",F223=0),OR(G223="",AND(ISNUMBER(G223),G223&gt;=0))),"完整","待补证")</f>
        <v>待补证</v>
      </c>
    </row>
    <row r="224" spans="1:14" ht="58" customHeight="1">
      <c r="A224" s="8" t="s">
        <v>153</v>
      </c>
      <c r="B224" s="8" t="s">
        <v>154</v>
      </c>
      <c r="C224" s="8" t="s">
        <v>513</v>
      </c>
      <c r="D224" s="8" t="s">
        <v>514</v>
      </c>
      <c r="E224" s="8"/>
      <c r="F224" s="8"/>
      <c r="G224" s="8"/>
      <c r="H224" s="8" t="s">
        <v>506</v>
      </c>
      <c r="I224" s="8"/>
      <c r="J224" s="8"/>
      <c r="L224" s="9">
        <f>IF(AND(N224="完整",ISNUMBER('03_逐品成本'!E17),'03_逐品成本'!E17&gt;0),ROUND(ROUND(F224*IF(E224="PHP",'03_逐品成本'!E17,1),10),2),"")</f>
        <v/>
      </c>
      <c r="M224" s="9">
        <f>IF(AND(N224="完整",ISNUMBER('03_逐品成本'!E17),'03_逐品成本'!E17&gt;0),ROUND(ROUND(IF(ISNUMBER(G224),G224,F224)*1*IF(E224="PHP",'03_逐品成本'!E17*0.95,1),10),2),"")</f>
        <v/>
      </c>
      <c r="N224" s="6" t="str">
        <f>IF(AND(ISNUMBER(F224),F224&gt;=0,OR(E224="PHP",E224="CNY"),OR(H224="已核实",H224="不适用"),I224&lt;&gt;"",J224&lt;&gt;"",ISNUMBER(K224),K224&gt;='00_审核入口'!$F$2,OR(H224&lt;&gt;"不适用",F224=0),OR(G224="",AND(ISNUMBER(G224),G224&gt;=0))),"完整","待补证")</f>
        <v>待补证</v>
      </c>
    </row>
    <row r="225" spans="1:14" ht="58" customHeight="1">
      <c r="A225" s="8" t="s">
        <v>153</v>
      </c>
      <c r="B225" s="8" t="s">
        <v>154</v>
      </c>
      <c r="C225" s="8" t="s">
        <v>515</v>
      </c>
      <c r="D225" s="8" t="s">
        <v>516</v>
      </c>
      <c r="E225" s="8"/>
      <c r="F225" s="8"/>
      <c r="G225" s="8"/>
      <c r="H225" s="8" t="s">
        <v>506</v>
      </c>
      <c r="I225" s="8"/>
      <c r="J225" s="8"/>
      <c r="L225" s="9">
        <f>IF(AND(N225="完整",ISNUMBER('03_逐品成本'!E17),'03_逐品成本'!E17&gt;0),ROUND(ROUND(F225*IF(E225="PHP",'03_逐品成本'!E17,1),10),2),"")</f>
        <v/>
      </c>
      <c r="M225" s="9">
        <f>IF(AND(N225="完整",ISNUMBER('03_逐品成本'!E17),'03_逐品成本'!E17&gt;0),ROUND(ROUND(IF(ISNUMBER(G225),G225,F225)*1*IF(E225="PHP",'03_逐品成本'!E17*0.95,1),10),2),"")</f>
        <v/>
      </c>
      <c r="N225" s="6" t="str">
        <f>IF(AND(ISNUMBER(F225),F225&gt;=0,OR(E225="PHP",E225="CNY"),OR(H225="已核实",H225="不适用"),I225&lt;&gt;"",J225&lt;&gt;"",ISNUMBER(K225),K225&gt;='00_审核入口'!$F$2,OR(H225&lt;&gt;"不适用",F225=0),OR(G225="",AND(ISNUMBER(G225),G225&gt;=0))),"完整","待补证")</f>
        <v>待补证</v>
      </c>
    </row>
    <row r="226" spans="1:14" ht="58" customHeight="1">
      <c r="A226" s="8" t="s">
        <v>153</v>
      </c>
      <c r="B226" s="8" t="s">
        <v>154</v>
      </c>
      <c r="C226" s="8" t="s">
        <v>517</v>
      </c>
      <c r="D226" s="8" t="s">
        <v>518</v>
      </c>
      <c r="E226" s="8"/>
      <c r="F226" s="8"/>
      <c r="G226" s="8"/>
      <c r="H226" s="8" t="s">
        <v>506</v>
      </c>
      <c r="I226" s="8"/>
      <c r="J226" s="8"/>
      <c r="L226" s="9">
        <f>IF(AND(N226="完整",ISNUMBER('03_逐品成本'!E17),'03_逐品成本'!E17&gt;0),ROUND(ROUND(F226*IF(E226="PHP",'03_逐品成本'!E17,1),10),2),"")</f>
        <v/>
      </c>
      <c r="M226" s="9">
        <f>IF(AND(N226="完整",ISNUMBER('03_逐品成本'!E17),'03_逐品成本'!E17&gt;0),ROUND(ROUND(IF(ISNUMBER(G226),G226,F226)*1*IF(E226="PHP",'03_逐品成本'!E17*0.95,1),10),2),"")</f>
        <v/>
      </c>
      <c r="N226" s="6" t="str">
        <f>IF(AND(ISNUMBER(F226),F226&gt;=0,OR(E226="PHP",E226="CNY"),OR(H226="已核实",H226="不适用"),I226&lt;&gt;"",J226&lt;&gt;"",ISNUMBER(K226),K226&gt;='00_审核入口'!$F$2,OR(H226&lt;&gt;"不适用",F226=0),OR(G226="",AND(ISNUMBER(G226),G226&gt;=0))),"完整","待补证")</f>
        <v>待补证</v>
      </c>
    </row>
    <row r="227" spans="1:14" ht="58" customHeight="1">
      <c r="A227" s="8" t="s">
        <v>153</v>
      </c>
      <c r="B227" s="8" t="s">
        <v>154</v>
      </c>
      <c r="C227" s="8" t="s">
        <v>519</v>
      </c>
      <c r="D227" s="8" t="s">
        <v>520</v>
      </c>
      <c r="E227" s="8"/>
      <c r="F227" s="8"/>
      <c r="G227" s="8"/>
      <c r="H227" s="8" t="s">
        <v>506</v>
      </c>
      <c r="I227" s="8"/>
      <c r="J227" s="8"/>
      <c r="L227" s="9">
        <f>IF(AND(N227="完整",ISNUMBER('03_逐品成本'!E17),'03_逐品成本'!E17&gt;0),ROUND(ROUND(F227*IF(E227="PHP",'03_逐品成本'!E17,1),10),2),"")</f>
        <v/>
      </c>
      <c r="M227" s="9">
        <f>IF(AND(N227="完整",ISNUMBER('03_逐品成本'!E17),'03_逐品成本'!E17&gt;0),ROUND(ROUND(IF(ISNUMBER(G227),G227,F227)*1*IF(E227="PHP",'03_逐品成本'!E17*0.95,1),10),2),"")</f>
        <v/>
      </c>
      <c r="N227" s="6" t="str">
        <f>IF(AND(ISNUMBER(F227),F227&gt;=0,OR(E227="PHP",E227="CNY"),OR(H227="已核实",H227="不适用"),I227&lt;&gt;"",J227&lt;&gt;"",ISNUMBER(K227),K227&gt;='00_审核入口'!$F$2,OR(H227&lt;&gt;"不适用",F227=0),OR(G227="",AND(ISNUMBER(G227),G227&gt;=0))),"完整","待补证")</f>
        <v>待补证</v>
      </c>
    </row>
    <row r="228" spans="1:14" ht="58" customHeight="1">
      <c r="A228" s="8" t="s">
        <v>153</v>
      </c>
      <c r="B228" s="8" t="s">
        <v>154</v>
      </c>
      <c r="C228" s="8" t="s">
        <v>521</v>
      </c>
      <c r="D228" s="8" t="s">
        <v>522</v>
      </c>
      <c r="E228" s="8"/>
      <c r="F228" s="8"/>
      <c r="G228" s="8"/>
      <c r="H228" s="8" t="s">
        <v>506</v>
      </c>
      <c r="I228" s="8"/>
      <c r="J228" s="8"/>
      <c r="L228" s="9">
        <f>IF(AND(N228="完整",ISNUMBER('03_逐品成本'!E17),'03_逐品成本'!E17&gt;0),ROUND(ROUND(F228*IF(E228="PHP",'03_逐品成本'!E17,1),10),2),"")</f>
        <v/>
      </c>
      <c r="M228" s="9">
        <f>IF(AND(N228="完整",ISNUMBER('03_逐品成本'!E17),'03_逐品成本'!E17&gt;0),ROUND(ROUND(IF(ISNUMBER(G228),G228,F228)*1*IF(E228="PHP",'03_逐品成本'!E17*0.95,1),10),2),"")</f>
        <v/>
      </c>
      <c r="N228" s="6" t="str">
        <f>IF(AND(ISNUMBER(F228),F228&gt;=0,OR(E228="PHP",E228="CNY"),OR(H228="已核实",H228="不适用"),I228&lt;&gt;"",J228&lt;&gt;"",ISNUMBER(K228),K228&gt;='00_审核入口'!$F$2,OR(H228&lt;&gt;"不适用",F228=0),OR(G228="",AND(ISNUMBER(G228),G228&gt;=0))),"完整","待补证")</f>
        <v>待补证</v>
      </c>
    </row>
    <row r="229" spans="1:14" ht="58" customHeight="1">
      <c r="A229" s="8" t="s">
        <v>153</v>
      </c>
      <c r="B229" s="8" t="s">
        <v>154</v>
      </c>
      <c r="C229" s="8" t="s">
        <v>523</v>
      </c>
      <c r="D229" s="8" t="s">
        <v>524</v>
      </c>
      <c r="E229" s="8"/>
      <c r="F229" s="8"/>
      <c r="G229" s="8"/>
      <c r="H229" s="8" t="s">
        <v>506</v>
      </c>
      <c r="I229" s="8"/>
      <c r="J229" s="8"/>
      <c r="L229" s="9">
        <f>IF(AND(N229="完整",ISNUMBER('03_逐品成本'!E17),'03_逐品成本'!E17&gt;0),ROUND(ROUND(F229*IF(E229="PHP",'03_逐品成本'!E17,1),10),2),"")</f>
        <v/>
      </c>
      <c r="M229" s="9">
        <f>IF(AND(N229="完整",ISNUMBER('03_逐品成本'!E17),'03_逐品成本'!E17&gt;0),ROUND(ROUND(IF(ISNUMBER(G229),G229,F229)*1.15*IF(E229="PHP",'03_逐品成本'!E17*0.95,1),10),2),"")</f>
        <v/>
      </c>
      <c r="N229" s="6" t="str">
        <f>IF(AND(ISNUMBER(F229),F229&gt;=0,OR(E229="PHP",E229="CNY"),OR(H229="已核实",H229="不适用"),I229&lt;&gt;"",J229&lt;&gt;"",ISNUMBER(K229),K229&gt;='00_审核入口'!$F$2,OR(H229&lt;&gt;"不适用",F229=0),OR(G229="",AND(ISNUMBER(G229),G229&gt;=0))),"完整","待补证")</f>
        <v>待补证</v>
      </c>
    </row>
    <row r="230" spans="1:14" ht="58" customHeight="1">
      <c r="A230" s="8" t="s">
        <v>153</v>
      </c>
      <c r="B230" s="8" t="s">
        <v>154</v>
      </c>
      <c r="C230" s="8" t="s">
        <v>525</v>
      </c>
      <c r="D230" s="8" t="s">
        <v>526</v>
      </c>
      <c r="E230" s="8"/>
      <c r="F230" s="8"/>
      <c r="G230" s="8"/>
      <c r="H230" s="8" t="s">
        <v>506</v>
      </c>
      <c r="I230" s="8"/>
      <c r="J230" s="8"/>
      <c r="L230" s="9">
        <f>IF(AND(N230="完整",ISNUMBER('03_逐品成本'!E17),'03_逐品成本'!E17&gt;0),ROUND(ROUND(F230*IF(E230="PHP",'03_逐品成本'!E17,1),10),2),"")</f>
        <v/>
      </c>
      <c r="M230" s="9">
        <f>IF(AND(N230="完整",ISNUMBER('03_逐品成本'!E17),'03_逐品成本'!E17&gt;0),ROUND(ROUND(IF(ISNUMBER(G230),G230,F230)*1.15*IF(E230="PHP",'03_逐品成本'!E17*0.95,1),10),2),"")</f>
        <v/>
      </c>
      <c r="N230" s="6" t="str">
        <f>IF(AND(ISNUMBER(F230),F230&gt;=0,OR(E230="PHP",E230="CNY"),OR(H230="已核实",H230="不适用"),I230&lt;&gt;"",J230&lt;&gt;"",ISNUMBER(K230),K230&gt;='00_审核入口'!$F$2,OR(H230&lt;&gt;"不适用",F230=0),OR(G230="",AND(ISNUMBER(G230),G230&gt;=0))),"完整","待补证")</f>
        <v>待补证</v>
      </c>
    </row>
    <row r="231" spans="1:14" ht="58" customHeight="1">
      <c r="A231" s="8" t="s">
        <v>153</v>
      </c>
      <c r="B231" s="8" t="s">
        <v>154</v>
      </c>
      <c r="C231" s="8" t="s">
        <v>527</v>
      </c>
      <c r="D231" s="8" t="s">
        <v>528</v>
      </c>
      <c r="E231" s="8"/>
      <c r="F231" s="8"/>
      <c r="G231" s="8"/>
      <c r="H231" s="8" t="s">
        <v>506</v>
      </c>
      <c r="I231" s="8"/>
      <c r="J231" s="8"/>
      <c r="L231" s="9">
        <f>IF(AND(N231="完整",ISNUMBER('03_逐品成本'!E17),'03_逐品成本'!E17&gt;0),ROUND(ROUND(F231*IF(E231="PHP",'03_逐品成本'!E17,1),10),2),"")</f>
        <v/>
      </c>
      <c r="M231" s="9">
        <f>IF(AND(N231="完整",ISNUMBER('03_逐品成本'!E17),'03_逐品成本'!E17&gt;0),ROUND(ROUND(IF(ISNUMBER(G231),G231,F231)*1.15*IF(E231="PHP",'03_逐品成本'!E17*0.95,1),10),2),"")</f>
        <v/>
      </c>
      <c r="N231" s="6" t="str">
        <f>IF(AND(ISNUMBER(F231),F231&gt;=0,OR(E231="PHP",E231="CNY"),OR(H231="已核实",H231="不适用"),I231&lt;&gt;"",J231&lt;&gt;"",ISNUMBER(K231),K231&gt;='00_审核入口'!$F$2,OR(H231&lt;&gt;"不适用",F231=0),OR(G231="",AND(ISNUMBER(G231),G231&gt;=0))),"完整","待补证")</f>
        <v>待补证</v>
      </c>
    </row>
    <row r="232" spans="1:14" ht="58" customHeight="1">
      <c r="A232" s="8" t="s">
        <v>153</v>
      </c>
      <c r="B232" s="8" t="s">
        <v>154</v>
      </c>
      <c r="C232" s="8" t="s">
        <v>529</v>
      </c>
      <c r="D232" s="8" t="s">
        <v>530</v>
      </c>
      <c r="E232" s="8"/>
      <c r="F232" s="8"/>
      <c r="G232" s="8"/>
      <c r="H232" s="8" t="s">
        <v>506</v>
      </c>
      <c r="I232" s="8"/>
      <c r="J232" s="8"/>
      <c r="L232" s="9">
        <f>IF(AND(N232="完整",ISNUMBER('03_逐品成本'!E17),'03_逐品成本'!E17&gt;0),ROUND(ROUND(F232*IF(E232="PHP",'03_逐品成本'!E17,1),10),2),"")</f>
        <v/>
      </c>
      <c r="M232" s="9">
        <f>IF(AND(N232="完整",ISNUMBER('03_逐品成本'!E17),'03_逐品成本'!E17&gt;0),ROUND(ROUND(IF(ISNUMBER(G232),G232,F232)*1*IF(E232="PHP",'03_逐品成本'!E17*0.95,1),10),2),"")</f>
        <v/>
      </c>
      <c r="N232" s="6" t="str">
        <f>IF(AND(ISNUMBER(F232),F232&gt;=0,OR(E232="PHP",E232="CNY"),OR(H232="已核实",H232="不适用",H232="预算"),I232&lt;&gt;"",J232&lt;&gt;"",ISNUMBER(K232),K232&gt;='00_审核入口'!$F$2,OR(H232&lt;&gt;"不适用",F232=0),OR(G232="",AND(ISNUMBER(G232),G232&gt;=0))),"完整","待补证")</f>
        <v>待补证</v>
      </c>
    </row>
    <row r="233" spans="1:14" ht="58" customHeight="1">
      <c r="A233" s="8" t="s">
        <v>153</v>
      </c>
      <c r="B233" s="8" t="s">
        <v>154</v>
      </c>
      <c r="C233" s="8" t="s">
        <v>531</v>
      </c>
      <c r="D233" s="8" t="s">
        <v>532</v>
      </c>
      <c r="E233" s="8"/>
      <c r="F233" s="8"/>
      <c r="G233" s="8"/>
      <c r="H233" s="8" t="s">
        <v>506</v>
      </c>
      <c r="I233" s="8"/>
      <c r="J233" s="8"/>
      <c r="L233" s="9">
        <f>IF(AND(N233="完整",ISNUMBER('03_逐品成本'!E17),'03_逐品成本'!E17&gt;0),ROUND(ROUND(F233*IF(E233="PHP",'03_逐品成本'!E17,1),10),2),"")</f>
        <v/>
      </c>
      <c r="M233" s="9">
        <f>IF(AND(N233="完整",ISNUMBER('03_逐品成本'!E17),'03_逐品成本'!E17&gt;0),ROUND(ROUND(IF(ISNUMBER(G233),G233,F233)*1*IF(E233="PHP",'03_逐品成本'!E17*0.95,1),10),2),"")</f>
        <v/>
      </c>
      <c r="N233" s="6" t="str">
        <f>IF(AND(ISNUMBER(F233),F233&gt;=0,OR(E233="PHP",E233="CNY"),OR(H233="已核实",H233="不适用",H233="预算"),I233&lt;&gt;"",J233&lt;&gt;"",ISNUMBER(K233),K233&gt;='00_审核入口'!$F$2,OR(H233&lt;&gt;"不适用",F233=0),OR(G233="",AND(ISNUMBER(G233),G233&gt;=0))),"完整","待补证")</f>
        <v>待补证</v>
      </c>
    </row>
    <row r="234" spans="1:14" ht="58" customHeight="1">
      <c r="A234" s="8" t="s">
        <v>153</v>
      </c>
      <c r="B234" s="8" t="s">
        <v>154</v>
      </c>
      <c r="C234" s="8" t="s">
        <v>533</v>
      </c>
      <c r="D234" s="8" t="s">
        <v>534</v>
      </c>
      <c r="E234" s="8"/>
      <c r="F234" s="8"/>
      <c r="G234" s="8"/>
      <c r="H234" s="8" t="s">
        <v>506</v>
      </c>
      <c r="I234" s="8"/>
      <c r="J234" s="8"/>
      <c r="L234" s="9">
        <f>IF(AND(N234="完整",ISNUMBER('03_逐品成本'!E17),'03_逐品成本'!E17&gt;0),ROUND(ROUND(F234*IF(E234="PHP",'03_逐品成本'!E17,1),10),2),"")</f>
        <v/>
      </c>
      <c r="M234" s="9">
        <f>IF(AND(N234="完整",ISNUMBER('03_逐品成本'!E17),'03_逐品成本'!E17&gt;0),ROUND(ROUND(IF(ISNUMBER(G234),G234,F234)*1*IF(E234="PHP",'03_逐品成本'!E17*0.95,1),10),2),"")</f>
        <v/>
      </c>
      <c r="N234" s="6" t="str">
        <f>IF(AND(ISNUMBER(F234),F234&gt;=0,OR(E234="PHP",E234="CNY"),OR(H234="已核实",H234="不适用",H234="预算"),I234&lt;&gt;"",J234&lt;&gt;"",ISNUMBER(K234),K234&gt;='00_审核入口'!$F$2,OR(H234&lt;&gt;"不适用",F234=0),OR(G234="",AND(ISNUMBER(G234),G234&gt;=0))),"完整","待补证")</f>
        <v>待补证</v>
      </c>
    </row>
    <row r="235" spans="1:14" ht="58" customHeight="1">
      <c r="A235" s="8" t="s">
        <v>153</v>
      </c>
      <c r="B235" s="8" t="s">
        <v>154</v>
      </c>
      <c r="C235" s="8" t="s">
        <v>535</v>
      </c>
      <c r="D235" s="8" t="s">
        <v>536</v>
      </c>
      <c r="E235" s="8"/>
      <c r="F235" s="8"/>
      <c r="G235" s="8"/>
      <c r="H235" s="8" t="s">
        <v>506</v>
      </c>
      <c r="I235" s="8"/>
      <c r="J235" s="8"/>
      <c r="L235" s="9">
        <f>IF(AND(N235="完整",ISNUMBER('03_逐品成本'!E17),'03_逐品成本'!E17&gt;0),ROUND(ROUND(F235*IF(E235="PHP",'03_逐品成本'!E17,1),10),2),"")</f>
        <v/>
      </c>
      <c r="M235" s="9">
        <f>IF(AND(N235="完整",ISNUMBER('03_逐品成本'!E17),'03_逐品成本'!E17&gt;0),ROUND(ROUND(IF(ISNUMBER(G235),G235,F235)*1*IF(E235="PHP",'03_逐品成本'!E17*0.95,1),10),2),"")</f>
        <v/>
      </c>
      <c r="N235" s="6" t="str">
        <f>IF(AND(ISNUMBER(F235),F235&gt;=0,OR(E235="PHP",E235="CNY"),OR(H235="已核实",H235="不适用"),I235&lt;&gt;"",J235&lt;&gt;"",ISNUMBER(K235),K235&gt;='00_审核入口'!$F$2,OR(H235&lt;&gt;"不适用",F235=0),OR(G235="",AND(ISNUMBER(G235),G235&gt;=0))),"完整","待补证")</f>
        <v>待补证</v>
      </c>
    </row>
    <row r="236" spans="1:14" ht="58" customHeight="1">
      <c r="A236" s="8" t="s">
        <v>153</v>
      </c>
      <c r="B236" s="8" t="s">
        <v>154</v>
      </c>
      <c r="C236" s="8" t="s">
        <v>537</v>
      </c>
      <c r="D236" s="8" t="s">
        <v>538</v>
      </c>
      <c r="E236" s="8"/>
      <c r="F236" s="8"/>
      <c r="G236" s="8"/>
      <c r="H236" s="8" t="s">
        <v>506</v>
      </c>
      <c r="I236" s="8"/>
      <c r="J236" s="8"/>
      <c r="L236" s="9">
        <f>IF(AND(N236="完整",ISNUMBER('03_逐品成本'!E17),'03_逐品成本'!E17&gt;0),ROUND(ROUND(F236*IF(E236="PHP",'03_逐品成本'!E17,1),10),2),"")</f>
        <v/>
      </c>
      <c r="M236" s="9">
        <f>IF(AND(N236="完整",ISNUMBER('03_逐品成本'!E17),'03_逐品成本'!E17&gt;0),ROUND(ROUND(IF(ISNUMBER(G236),G236,F236)*1*IF(E236="PHP",'03_逐品成本'!E17*0.95,1),10),2),"")</f>
        <v/>
      </c>
      <c r="N236" s="6" t="str">
        <f>IF(AND(ISNUMBER(F236),F236&gt;=0,OR(E236="PHP",E236="CNY"),OR(H236="已核实",H236="不适用"),I236&lt;&gt;"",J236&lt;&gt;"",ISNUMBER(K236),K236&gt;='00_审核入口'!$F$2,OR(H236&lt;&gt;"不适用",F236=0),OR(G236="",AND(ISNUMBER(G236),G236&gt;=0))),"完整","待补证")</f>
        <v>待补证</v>
      </c>
    </row>
    <row r="237" spans="1:14" ht="58" customHeight="1">
      <c r="A237" s="8" t="s">
        <v>153</v>
      </c>
      <c r="B237" s="8" t="s">
        <v>154</v>
      </c>
      <c r="C237" s="8" t="s">
        <v>539</v>
      </c>
      <c r="D237" s="8" t="s">
        <v>540</v>
      </c>
      <c r="E237" s="8"/>
      <c r="F237" s="8"/>
      <c r="G237" s="8"/>
      <c r="H237" s="8" t="s">
        <v>506</v>
      </c>
      <c r="I237" s="8"/>
      <c r="J237" s="8"/>
      <c r="L237" s="9">
        <f>IF(AND(N237="完整",ISNUMBER('03_逐品成本'!E17),'03_逐品成本'!E17&gt;0),ROUND(ROUND(F237*IF(E237="PHP",'03_逐品成本'!E17,1),10),2),"")</f>
        <v/>
      </c>
      <c r="M237" s="9">
        <f>IF(AND(N237="完整",ISNUMBER('03_逐品成本'!E17),'03_逐品成本'!E17&gt;0),ROUND(ROUND(IF(ISNUMBER(G237),G237,F237)*1*IF(E237="PHP",'03_逐品成本'!E17*0.95,1),10),2),"")</f>
        <v/>
      </c>
      <c r="N237" s="6" t="str">
        <f>IF(AND(ISNUMBER(F237),F237&gt;=0,OR(E237="PHP",E237="CNY"),OR(H237="已核实",H237="不适用",H237="预算"),I237&lt;&gt;"",J237&lt;&gt;"",ISNUMBER(K237),K237&gt;='00_审核入口'!$F$2,OR(H237&lt;&gt;"不适用",F237=0),OR(G237="",AND(ISNUMBER(G237),G237&gt;=0))),"完整","待补证")</f>
        <v>待补证</v>
      </c>
    </row>
    <row r="238" spans="1:14" ht="58" customHeight="1">
      <c r="A238" s="8" t="s">
        <v>153</v>
      </c>
      <c r="B238" s="8" t="s">
        <v>154</v>
      </c>
      <c r="C238" s="8" t="s">
        <v>541</v>
      </c>
      <c r="D238" s="8" t="s">
        <v>542</v>
      </c>
      <c r="E238" s="8"/>
      <c r="F238" s="8"/>
      <c r="G238" s="8"/>
      <c r="H238" s="8" t="s">
        <v>506</v>
      </c>
      <c r="I238" s="8"/>
      <c r="J238" s="8"/>
      <c r="L238" s="9">
        <f>IF(AND(N238="完整",ISNUMBER('03_逐品成本'!E17),'03_逐品成本'!E17&gt;0),ROUND(ROUND(F238*IF(E238="PHP",'03_逐品成本'!E17,1),10),2),"")</f>
        <v/>
      </c>
      <c r="M238" s="9">
        <f>IF(AND(N238="完整",ISNUMBER('03_逐品成本'!E17),'03_逐品成本'!E17&gt;0),ROUND(ROUND(IF(ISNUMBER(G238),G238,F238)*1*IF(E238="PHP",'03_逐品成本'!E17*0.95,1),10),2),"")</f>
        <v/>
      </c>
      <c r="N238" s="6" t="str">
        <f>IF(AND(ISNUMBER(F238),F238&gt;=0,OR(E238="PHP",E238="CNY"),OR(H238="已核实",H238="不适用",H238="预算"),I238&lt;&gt;"",J238&lt;&gt;"",ISNUMBER(K238),K238&gt;='00_审核入口'!$F$2,OR(H238&lt;&gt;"不适用",F238=0),OR(G238="",AND(ISNUMBER(G238),G238&gt;=0))),"完整","待补证")</f>
        <v>待补证</v>
      </c>
    </row>
    <row r="239" spans="1:14" ht="58" customHeight="1">
      <c r="A239" s="8" t="s">
        <v>162</v>
      </c>
      <c r="B239" s="8" t="s">
        <v>163</v>
      </c>
      <c r="C239" s="8" t="s">
        <v>507</v>
      </c>
      <c r="D239" s="8" t="s">
        <v>508</v>
      </c>
      <c r="E239" s="8"/>
      <c r="F239" s="8"/>
      <c r="G239" s="8"/>
      <c r="H239" s="8" t="s">
        <v>506</v>
      </c>
      <c r="I239" s="8"/>
      <c r="J239" s="8"/>
      <c r="L239" s="9">
        <f>IF(AND(N239="完整",ISNUMBER('03_逐品成本'!E18),'03_逐品成本'!E18&gt;0),ROUND(ROUND(F239*IF(E239="PHP",'03_逐品成本'!E18,1),10),2),"")</f>
        <v/>
      </c>
      <c r="M239" s="9">
        <f>IF(AND(N239="完整",ISNUMBER('03_逐品成本'!E18),'03_逐品成本'!E18&gt;0),ROUND(ROUND(IF(ISNUMBER(G239),G239,F239)*1*IF(E239="PHP",'03_逐品成本'!E18*0.95,1),10),2),"")</f>
        <v/>
      </c>
      <c r="N239" s="6" t="str">
        <f>IF(AND(ISNUMBER(F239),F239&gt;=0,OR(E239="PHP",E239="CNY"),OR(H239="已核实",H239="不适用"),I239&lt;&gt;"",J239&lt;&gt;"",ISNUMBER(K239),K239&gt;='00_审核入口'!$F$2,OR(H239&lt;&gt;"不适用",F239=0),OR(G239="",AND(ISNUMBER(G239),G239&gt;=0))),"完整","待补证")</f>
        <v>待补证</v>
      </c>
    </row>
    <row r="240" spans="1:14" ht="58" customHeight="1">
      <c r="A240" s="8" t="s">
        <v>162</v>
      </c>
      <c r="B240" s="8" t="s">
        <v>163</v>
      </c>
      <c r="C240" s="8" t="s">
        <v>509</v>
      </c>
      <c r="D240" s="8" t="s">
        <v>510</v>
      </c>
      <c r="E240" s="8"/>
      <c r="F240" s="8"/>
      <c r="G240" s="8"/>
      <c r="H240" s="8" t="s">
        <v>506</v>
      </c>
      <c r="I240" s="8"/>
      <c r="J240" s="8"/>
      <c r="L240" s="9">
        <f>IF(AND(N240="完整",ISNUMBER('03_逐品成本'!E18),'03_逐品成本'!E18&gt;0),ROUND(ROUND(F240*IF(E240="PHP",'03_逐品成本'!E18,1),10),2),"")</f>
        <v/>
      </c>
      <c r="M240" s="9">
        <f>IF(AND(N240="完整",ISNUMBER('03_逐品成本'!E18),'03_逐品成本'!E18&gt;0),ROUND(ROUND(IF(ISNUMBER(G240),G240,F240)*1*IF(E240="PHP",'03_逐品成本'!E18*0.95,1),10),2),"")</f>
        <v/>
      </c>
      <c r="N240" s="6" t="str">
        <f>IF(AND(ISNUMBER(F240),F240&gt;=0,OR(E240="PHP",E240="CNY"),OR(H240="已核实",H240="不适用"),I240&lt;&gt;"",J240&lt;&gt;"",ISNUMBER(K240),K240&gt;='00_审核入口'!$F$2,OR(H240&lt;&gt;"不适用",F240=0),OR(G240="",AND(ISNUMBER(G240),G240&gt;=0)),ISNUMBER(G240),G240&gt;=0),"完整","待补证")</f>
        <v>待补证</v>
      </c>
    </row>
    <row r="241" spans="1:14" ht="58" customHeight="1">
      <c r="A241" s="8" t="s">
        <v>162</v>
      </c>
      <c r="B241" s="8" t="s">
        <v>163</v>
      </c>
      <c r="C241" s="8" t="s">
        <v>511</v>
      </c>
      <c r="D241" s="8" t="s">
        <v>512</v>
      </c>
      <c r="E241" s="8"/>
      <c r="F241" s="8"/>
      <c r="G241" s="8"/>
      <c r="H241" s="8" t="s">
        <v>506</v>
      </c>
      <c r="I241" s="8"/>
      <c r="J241" s="8"/>
      <c r="L241" s="9">
        <f>IF(AND(N241="完整",ISNUMBER('03_逐品成本'!E18),'03_逐品成本'!E18&gt;0),ROUND(ROUND(F241*IF(E241="PHP",'03_逐品成本'!E18,1),10),2),"")</f>
        <v/>
      </c>
      <c r="M241" s="9">
        <f>IF(AND(N241="完整",ISNUMBER('03_逐品成本'!E18),'03_逐品成本'!E18&gt;0),ROUND(ROUND(IF(ISNUMBER(G241),G241,F241)*1*IF(E241="PHP",'03_逐品成本'!E18*0.95,1),10),2),"")</f>
        <v/>
      </c>
      <c r="N241" s="6" t="str">
        <f>IF(AND(ISNUMBER(F241),F241&gt;=0,OR(E241="PHP",E241="CNY"),OR(H241="已核实",H241="不适用"),I241&lt;&gt;"",J241&lt;&gt;"",ISNUMBER(K241),K241&gt;='00_审核入口'!$F$2,OR(H241&lt;&gt;"不适用",F241=0),OR(G241="",AND(ISNUMBER(G241),G241&gt;=0))),"完整","待补证")</f>
        <v>待补证</v>
      </c>
    </row>
    <row r="242" spans="1:14" ht="58" customHeight="1">
      <c r="A242" s="8" t="s">
        <v>162</v>
      </c>
      <c r="B242" s="8" t="s">
        <v>163</v>
      </c>
      <c r="C242" s="8" t="s">
        <v>513</v>
      </c>
      <c r="D242" s="8" t="s">
        <v>514</v>
      </c>
      <c r="E242" s="8"/>
      <c r="F242" s="8"/>
      <c r="G242" s="8"/>
      <c r="H242" s="8" t="s">
        <v>506</v>
      </c>
      <c r="I242" s="8"/>
      <c r="J242" s="8"/>
      <c r="L242" s="9">
        <f>IF(AND(N242="完整",ISNUMBER('03_逐品成本'!E18),'03_逐品成本'!E18&gt;0),ROUND(ROUND(F242*IF(E242="PHP",'03_逐品成本'!E18,1),10),2),"")</f>
        <v/>
      </c>
      <c r="M242" s="9">
        <f>IF(AND(N242="完整",ISNUMBER('03_逐品成本'!E18),'03_逐品成本'!E18&gt;0),ROUND(ROUND(IF(ISNUMBER(G242),G242,F242)*1*IF(E242="PHP",'03_逐品成本'!E18*0.95,1),10),2),"")</f>
        <v/>
      </c>
      <c r="N242" s="6" t="str">
        <f>IF(AND(ISNUMBER(F242),F242&gt;=0,OR(E242="PHP",E242="CNY"),OR(H242="已核实",H242="不适用"),I242&lt;&gt;"",J242&lt;&gt;"",ISNUMBER(K242),K242&gt;='00_审核入口'!$F$2,OR(H242&lt;&gt;"不适用",F242=0),OR(G242="",AND(ISNUMBER(G242),G242&gt;=0))),"完整","待补证")</f>
        <v>待补证</v>
      </c>
    </row>
    <row r="243" spans="1:14" ht="58" customHeight="1">
      <c r="A243" s="8" t="s">
        <v>162</v>
      </c>
      <c r="B243" s="8" t="s">
        <v>163</v>
      </c>
      <c r="C243" s="8" t="s">
        <v>515</v>
      </c>
      <c r="D243" s="8" t="s">
        <v>516</v>
      </c>
      <c r="E243" s="8"/>
      <c r="F243" s="8"/>
      <c r="G243" s="8"/>
      <c r="H243" s="8" t="s">
        <v>506</v>
      </c>
      <c r="I243" s="8"/>
      <c r="J243" s="8"/>
      <c r="L243" s="9">
        <f>IF(AND(N243="完整",ISNUMBER('03_逐品成本'!E18),'03_逐品成本'!E18&gt;0),ROUND(ROUND(F243*IF(E243="PHP",'03_逐品成本'!E18,1),10),2),"")</f>
        <v/>
      </c>
      <c r="M243" s="9">
        <f>IF(AND(N243="完整",ISNUMBER('03_逐品成本'!E18),'03_逐品成本'!E18&gt;0),ROUND(ROUND(IF(ISNUMBER(G243),G243,F243)*1*IF(E243="PHP",'03_逐品成本'!E18*0.95,1),10),2),"")</f>
        <v/>
      </c>
      <c r="N243" s="6" t="str">
        <f>IF(AND(ISNUMBER(F243),F243&gt;=0,OR(E243="PHP",E243="CNY"),OR(H243="已核实",H243="不适用"),I243&lt;&gt;"",J243&lt;&gt;"",ISNUMBER(K243),K243&gt;='00_审核入口'!$F$2,OR(H243&lt;&gt;"不适用",F243=0),OR(G243="",AND(ISNUMBER(G243),G243&gt;=0))),"完整","待补证")</f>
        <v>待补证</v>
      </c>
    </row>
    <row r="244" spans="1:14" ht="58" customHeight="1">
      <c r="A244" s="8" t="s">
        <v>162</v>
      </c>
      <c r="B244" s="8" t="s">
        <v>163</v>
      </c>
      <c r="C244" s="8" t="s">
        <v>517</v>
      </c>
      <c r="D244" s="8" t="s">
        <v>518</v>
      </c>
      <c r="E244" s="8"/>
      <c r="F244" s="8"/>
      <c r="G244" s="8"/>
      <c r="H244" s="8" t="s">
        <v>506</v>
      </c>
      <c r="I244" s="8"/>
      <c r="J244" s="8"/>
      <c r="L244" s="9">
        <f>IF(AND(N244="完整",ISNUMBER('03_逐品成本'!E18),'03_逐品成本'!E18&gt;0),ROUND(ROUND(F244*IF(E244="PHP",'03_逐品成本'!E18,1),10),2),"")</f>
        <v/>
      </c>
      <c r="M244" s="9">
        <f>IF(AND(N244="完整",ISNUMBER('03_逐品成本'!E18),'03_逐品成本'!E18&gt;0),ROUND(ROUND(IF(ISNUMBER(G244),G244,F244)*1*IF(E244="PHP",'03_逐品成本'!E18*0.95,1),10),2),"")</f>
        <v/>
      </c>
      <c r="N244" s="6" t="str">
        <f>IF(AND(ISNUMBER(F244),F244&gt;=0,OR(E244="PHP",E244="CNY"),OR(H244="已核实",H244="不适用"),I244&lt;&gt;"",J244&lt;&gt;"",ISNUMBER(K244),K244&gt;='00_审核入口'!$F$2,OR(H244&lt;&gt;"不适用",F244=0),OR(G244="",AND(ISNUMBER(G244),G244&gt;=0))),"完整","待补证")</f>
        <v>待补证</v>
      </c>
    </row>
    <row r="245" spans="1:14" ht="58" customHeight="1">
      <c r="A245" s="8" t="s">
        <v>162</v>
      </c>
      <c r="B245" s="8" t="s">
        <v>163</v>
      </c>
      <c r="C245" s="8" t="s">
        <v>519</v>
      </c>
      <c r="D245" s="8" t="s">
        <v>520</v>
      </c>
      <c r="E245" s="8"/>
      <c r="F245" s="8"/>
      <c r="G245" s="8"/>
      <c r="H245" s="8" t="s">
        <v>506</v>
      </c>
      <c r="I245" s="8"/>
      <c r="J245" s="8"/>
      <c r="L245" s="9">
        <f>IF(AND(N245="完整",ISNUMBER('03_逐品成本'!E18),'03_逐品成本'!E18&gt;0),ROUND(ROUND(F245*IF(E245="PHP",'03_逐品成本'!E18,1),10),2),"")</f>
        <v/>
      </c>
      <c r="M245" s="9">
        <f>IF(AND(N245="完整",ISNUMBER('03_逐品成本'!E18),'03_逐品成本'!E18&gt;0),ROUND(ROUND(IF(ISNUMBER(G245),G245,F245)*1*IF(E245="PHP",'03_逐品成本'!E18*0.95,1),10),2),"")</f>
        <v/>
      </c>
      <c r="N245" s="6" t="str">
        <f>IF(AND(ISNUMBER(F245),F245&gt;=0,OR(E245="PHP",E245="CNY"),OR(H245="已核实",H245="不适用"),I245&lt;&gt;"",J245&lt;&gt;"",ISNUMBER(K245),K245&gt;='00_审核入口'!$F$2,OR(H245&lt;&gt;"不适用",F245=0),OR(G245="",AND(ISNUMBER(G245),G245&gt;=0))),"完整","待补证")</f>
        <v>待补证</v>
      </c>
    </row>
    <row r="246" spans="1:14" ht="58" customHeight="1">
      <c r="A246" s="8" t="s">
        <v>162</v>
      </c>
      <c r="B246" s="8" t="s">
        <v>163</v>
      </c>
      <c r="C246" s="8" t="s">
        <v>521</v>
      </c>
      <c r="D246" s="8" t="s">
        <v>522</v>
      </c>
      <c r="E246" s="8"/>
      <c r="F246" s="8"/>
      <c r="G246" s="8"/>
      <c r="H246" s="8" t="s">
        <v>506</v>
      </c>
      <c r="I246" s="8"/>
      <c r="J246" s="8"/>
      <c r="L246" s="9">
        <f>IF(AND(N246="完整",ISNUMBER('03_逐品成本'!E18),'03_逐品成本'!E18&gt;0),ROUND(ROUND(F246*IF(E246="PHP",'03_逐品成本'!E18,1),10),2),"")</f>
        <v/>
      </c>
      <c r="M246" s="9">
        <f>IF(AND(N246="完整",ISNUMBER('03_逐品成本'!E18),'03_逐品成本'!E18&gt;0),ROUND(ROUND(IF(ISNUMBER(G246),G246,F246)*1*IF(E246="PHP",'03_逐品成本'!E18*0.95,1),10),2),"")</f>
        <v/>
      </c>
      <c r="N246" s="6" t="str">
        <f>IF(AND(ISNUMBER(F246),F246&gt;=0,OR(E246="PHP",E246="CNY"),OR(H246="已核实",H246="不适用"),I246&lt;&gt;"",J246&lt;&gt;"",ISNUMBER(K246),K246&gt;='00_审核入口'!$F$2,OR(H246&lt;&gt;"不适用",F246=0),OR(G246="",AND(ISNUMBER(G246),G246&gt;=0))),"完整","待补证")</f>
        <v>待补证</v>
      </c>
    </row>
    <row r="247" spans="1:14" ht="58" customHeight="1">
      <c r="A247" s="8" t="s">
        <v>162</v>
      </c>
      <c r="B247" s="8" t="s">
        <v>163</v>
      </c>
      <c r="C247" s="8" t="s">
        <v>523</v>
      </c>
      <c r="D247" s="8" t="s">
        <v>524</v>
      </c>
      <c r="E247" s="8"/>
      <c r="F247" s="8"/>
      <c r="G247" s="8"/>
      <c r="H247" s="8" t="s">
        <v>506</v>
      </c>
      <c r="I247" s="8"/>
      <c r="J247" s="8"/>
      <c r="L247" s="9">
        <f>IF(AND(N247="完整",ISNUMBER('03_逐品成本'!E18),'03_逐品成本'!E18&gt;0),ROUND(ROUND(F247*IF(E247="PHP",'03_逐品成本'!E18,1),10),2),"")</f>
        <v/>
      </c>
      <c r="M247" s="9">
        <f>IF(AND(N247="完整",ISNUMBER('03_逐品成本'!E18),'03_逐品成本'!E18&gt;0),ROUND(ROUND(IF(ISNUMBER(G247),G247,F247)*1.15*IF(E247="PHP",'03_逐品成本'!E18*0.95,1),10),2),"")</f>
        <v/>
      </c>
      <c r="N247" s="6" t="str">
        <f>IF(AND(ISNUMBER(F247),F247&gt;=0,OR(E247="PHP",E247="CNY"),OR(H247="已核实",H247="不适用"),I247&lt;&gt;"",J247&lt;&gt;"",ISNUMBER(K247),K247&gt;='00_审核入口'!$F$2,OR(H247&lt;&gt;"不适用",F247=0),OR(G247="",AND(ISNUMBER(G247),G247&gt;=0))),"完整","待补证")</f>
        <v>待补证</v>
      </c>
    </row>
    <row r="248" spans="1:14" ht="58" customHeight="1">
      <c r="A248" s="8" t="s">
        <v>162</v>
      </c>
      <c r="B248" s="8" t="s">
        <v>163</v>
      </c>
      <c r="C248" s="8" t="s">
        <v>525</v>
      </c>
      <c r="D248" s="8" t="s">
        <v>526</v>
      </c>
      <c r="E248" s="8"/>
      <c r="F248" s="8"/>
      <c r="G248" s="8"/>
      <c r="H248" s="8" t="s">
        <v>506</v>
      </c>
      <c r="I248" s="8"/>
      <c r="J248" s="8"/>
      <c r="L248" s="9">
        <f>IF(AND(N248="完整",ISNUMBER('03_逐品成本'!E18),'03_逐品成本'!E18&gt;0),ROUND(ROUND(F248*IF(E248="PHP",'03_逐品成本'!E18,1),10),2),"")</f>
        <v/>
      </c>
      <c r="M248" s="9">
        <f>IF(AND(N248="完整",ISNUMBER('03_逐品成本'!E18),'03_逐品成本'!E18&gt;0),ROUND(ROUND(IF(ISNUMBER(G248),G248,F248)*1.15*IF(E248="PHP",'03_逐品成本'!E18*0.95,1),10),2),"")</f>
        <v/>
      </c>
      <c r="N248" s="6" t="str">
        <f>IF(AND(ISNUMBER(F248),F248&gt;=0,OR(E248="PHP",E248="CNY"),OR(H248="已核实",H248="不适用"),I248&lt;&gt;"",J248&lt;&gt;"",ISNUMBER(K248),K248&gt;='00_审核入口'!$F$2,OR(H248&lt;&gt;"不适用",F248=0),OR(G248="",AND(ISNUMBER(G248),G248&gt;=0))),"完整","待补证")</f>
        <v>待补证</v>
      </c>
    </row>
    <row r="249" spans="1:14" ht="58" customHeight="1">
      <c r="A249" s="8" t="s">
        <v>162</v>
      </c>
      <c r="B249" s="8" t="s">
        <v>163</v>
      </c>
      <c r="C249" s="8" t="s">
        <v>527</v>
      </c>
      <c r="D249" s="8" t="s">
        <v>528</v>
      </c>
      <c r="E249" s="8"/>
      <c r="F249" s="8"/>
      <c r="G249" s="8"/>
      <c r="H249" s="8" t="s">
        <v>506</v>
      </c>
      <c r="I249" s="8"/>
      <c r="J249" s="8"/>
      <c r="L249" s="9">
        <f>IF(AND(N249="完整",ISNUMBER('03_逐品成本'!E18),'03_逐品成本'!E18&gt;0),ROUND(ROUND(F249*IF(E249="PHP",'03_逐品成本'!E18,1),10),2),"")</f>
        <v/>
      </c>
      <c r="M249" s="9">
        <f>IF(AND(N249="完整",ISNUMBER('03_逐品成本'!E18),'03_逐品成本'!E18&gt;0),ROUND(ROUND(IF(ISNUMBER(G249),G249,F249)*1.15*IF(E249="PHP",'03_逐品成本'!E18*0.95,1),10),2),"")</f>
        <v/>
      </c>
      <c r="N249" s="6" t="str">
        <f>IF(AND(ISNUMBER(F249),F249&gt;=0,OR(E249="PHP",E249="CNY"),OR(H249="已核实",H249="不适用"),I249&lt;&gt;"",J249&lt;&gt;"",ISNUMBER(K249),K249&gt;='00_审核入口'!$F$2,OR(H249&lt;&gt;"不适用",F249=0),OR(G249="",AND(ISNUMBER(G249),G249&gt;=0))),"完整","待补证")</f>
        <v>待补证</v>
      </c>
    </row>
    <row r="250" spans="1:14" ht="58" customHeight="1">
      <c r="A250" s="8" t="s">
        <v>162</v>
      </c>
      <c r="B250" s="8" t="s">
        <v>163</v>
      </c>
      <c r="C250" s="8" t="s">
        <v>529</v>
      </c>
      <c r="D250" s="8" t="s">
        <v>530</v>
      </c>
      <c r="E250" s="8"/>
      <c r="F250" s="8"/>
      <c r="G250" s="8"/>
      <c r="H250" s="8" t="s">
        <v>506</v>
      </c>
      <c r="I250" s="8"/>
      <c r="J250" s="8"/>
      <c r="L250" s="9">
        <f>IF(AND(N250="完整",ISNUMBER('03_逐品成本'!E18),'03_逐品成本'!E18&gt;0),ROUND(ROUND(F250*IF(E250="PHP",'03_逐品成本'!E18,1),10),2),"")</f>
        <v/>
      </c>
      <c r="M250" s="9">
        <f>IF(AND(N250="完整",ISNUMBER('03_逐品成本'!E18),'03_逐品成本'!E18&gt;0),ROUND(ROUND(IF(ISNUMBER(G250),G250,F250)*1*IF(E250="PHP",'03_逐品成本'!E18*0.95,1),10),2),"")</f>
        <v/>
      </c>
      <c r="N250" s="6" t="str">
        <f>IF(AND(ISNUMBER(F250),F250&gt;=0,OR(E250="PHP",E250="CNY"),OR(H250="已核实",H250="不适用",H250="预算"),I250&lt;&gt;"",J250&lt;&gt;"",ISNUMBER(K250),K250&gt;='00_审核入口'!$F$2,OR(H250&lt;&gt;"不适用",F250=0),OR(G250="",AND(ISNUMBER(G250),G250&gt;=0))),"完整","待补证")</f>
        <v>待补证</v>
      </c>
    </row>
    <row r="251" spans="1:14" ht="58" customHeight="1">
      <c r="A251" s="8" t="s">
        <v>162</v>
      </c>
      <c r="B251" s="8" t="s">
        <v>163</v>
      </c>
      <c r="C251" s="8" t="s">
        <v>531</v>
      </c>
      <c r="D251" s="8" t="s">
        <v>532</v>
      </c>
      <c r="E251" s="8"/>
      <c r="F251" s="8"/>
      <c r="G251" s="8"/>
      <c r="H251" s="8" t="s">
        <v>506</v>
      </c>
      <c r="I251" s="8"/>
      <c r="J251" s="8"/>
      <c r="L251" s="9">
        <f>IF(AND(N251="完整",ISNUMBER('03_逐品成本'!E18),'03_逐品成本'!E18&gt;0),ROUND(ROUND(F251*IF(E251="PHP",'03_逐品成本'!E18,1),10),2),"")</f>
        <v/>
      </c>
      <c r="M251" s="9">
        <f>IF(AND(N251="完整",ISNUMBER('03_逐品成本'!E18),'03_逐品成本'!E18&gt;0),ROUND(ROUND(IF(ISNUMBER(G251),G251,F251)*1*IF(E251="PHP",'03_逐品成本'!E18*0.95,1),10),2),"")</f>
        <v/>
      </c>
      <c r="N251" s="6" t="str">
        <f>IF(AND(ISNUMBER(F251),F251&gt;=0,OR(E251="PHP",E251="CNY"),OR(H251="已核实",H251="不适用",H251="预算"),I251&lt;&gt;"",J251&lt;&gt;"",ISNUMBER(K251),K251&gt;='00_审核入口'!$F$2,OR(H251&lt;&gt;"不适用",F251=0),OR(G251="",AND(ISNUMBER(G251),G251&gt;=0))),"完整","待补证")</f>
        <v>待补证</v>
      </c>
    </row>
    <row r="252" spans="1:14" ht="58" customHeight="1">
      <c r="A252" s="8" t="s">
        <v>162</v>
      </c>
      <c r="B252" s="8" t="s">
        <v>163</v>
      </c>
      <c r="C252" s="8" t="s">
        <v>533</v>
      </c>
      <c r="D252" s="8" t="s">
        <v>534</v>
      </c>
      <c r="E252" s="8"/>
      <c r="F252" s="8"/>
      <c r="G252" s="8"/>
      <c r="H252" s="8" t="s">
        <v>506</v>
      </c>
      <c r="I252" s="8"/>
      <c r="J252" s="8"/>
      <c r="L252" s="9">
        <f>IF(AND(N252="完整",ISNUMBER('03_逐品成本'!E18),'03_逐品成本'!E18&gt;0),ROUND(ROUND(F252*IF(E252="PHP",'03_逐品成本'!E18,1),10),2),"")</f>
        <v/>
      </c>
      <c r="M252" s="9">
        <f>IF(AND(N252="完整",ISNUMBER('03_逐品成本'!E18),'03_逐品成本'!E18&gt;0),ROUND(ROUND(IF(ISNUMBER(G252),G252,F252)*1*IF(E252="PHP",'03_逐品成本'!E18*0.95,1),10),2),"")</f>
        <v/>
      </c>
      <c r="N252" s="6" t="str">
        <f>IF(AND(ISNUMBER(F252),F252&gt;=0,OR(E252="PHP",E252="CNY"),OR(H252="已核实",H252="不适用",H252="预算"),I252&lt;&gt;"",J252&lt;&gt;"",ISNUMBER(K252),K252&gt;='00_审核入口'!$F$2,OR(H252&lt;&gt;"不适用",F252=0),OR(G252="",AND(ISNUMBER(G252),G252&gt;=0))),"完整","待补证")</f>
        <v>待补证</v>
      </c>
    </row>
    <row r="253" spans="1:14" ht="58" customHeight="1">
      <c r="A253" s="8" t="s">
        <v>162</v>
      </c>
      <c r="B253" s="8" t="s">
        <v>163</v>
      </c>
      <c r="C253" s="8" t="s">
        <v>535</v>
      </c>
      <c r="D253" s="8" t="s">
        <v>536</v>
      </c>
      <c r="E253" s="8"/>
      <c r="F253" s="8"/>
      <c r="G253" s="8"/>
      <c r="H253" s="8" t="s">
        <v>506</v>
      </c>
      <c r="I253" s="8"/>
      <c r="J253" s="8"/>
      <c r="L253" s="9">
        <f>IF(AND(N253="完整",ISNUMBER('03_逐品成本'!E18),'03_逐品成本'!E18&gt;0),ROUND(ROUND(F253*IF(E253="PHP",'03_逐品成本'!E18,1),10),2),"")</f>
        <v/>
      </c>
      <c r="M253" s="9">
        <f>IF(AND(N253="完整",ISNUMBER('03_逐品成本'!E18),'03_逐品成本'!E18&gt;0),ROUND(ROUND(IF(ISNUMBER(G253),G253,F253)*1*IF(E253="PHP",'03_逐品成本'!E18*0.95,1),10),2),"")</f>
        <v/>
      </c>
      <c r="N253" s="6" t="str">
        <f>IF(AND(ISNUMBER(F253),F253&gt;=0,OR(E253="PHP",E253="CNY"),OR(H253="已核实",H253="不适用"),I253&lt;&gt;"",J253&lt;&gt;"",ISNUMBER(K253),K253&gt;='00_审核入口'!$F$2,OR(H253&lt;&gt;"不适用",F253=0),OR(G253="",AND(ISNUMBER(G253),G253&gt;=0))),"完整","待补证")</f>
        <v>待补证</v>
      </c>
    </row>
    <row r="254" spans="1:14" ht="58" customHeight="1">
      <c r="A254" s="8" t="s">
        <v>162</v>
      </c>
      <c r="B254" s="8" t="s">
        <v>163</v>
      </c>
      <c r="C254" s="8" t="s">
        <v>537</v>
      </c>
      <c r="D254" s="8" t="s">
        <v>538</v>
      </c>
      <c r="E254" s="8"/>
      <c r="F254" s="8"/>
      <c r="G254" s="8"/>
      <c r="H254" s="8" t="s">
        <v>506</v>
      </c>
      <c r="I254" s="8"/>
      <c r="J254" s="8"/>
      <c r="L254" s="9">
        <f>IF(AND(N254="完整",ISNUMBER('03_逐品成本'!E18),'03_逐品成本'!E18&gt;0),ROUND(ROUND(F254*IF(E254="PHP",'03_逐品成本'!E18,1),10),2),"")</f>
        <v/>
      </c>
      <c r="M254" s="9">
        <f>IF(AND(N254="完整",ISNUMBER('03_逐品成本'!E18),'03_逐品成本'!E18&gt;0),ROUND(ROUND(IF(ISNUMBER(G254),G254,F254)*1*IF(E254="PHP",'03_逐品成本'!E18*0.95,1),10),2),"")</f>
        <v/>
      </c>
      <c r="N254" s="6" t="str">
        <f>IF(AND(ISNUMBER(F254),F254&gt;=0,OR(E254="PHP",E254="CNY"),OR(H254="已核实",H254="不适用"),I254&lt;&gt;"",J254&lt;&gt;"",ISNUMBER(K254),K254&gt;='00_审核入口'!$F$2,OR(H254&lt;&gt;"不适用",F254=0),OR(G254="",AND(ISNUMBER(G254),G254&gt;=0))),"完整","待补证")</f>
        <v>待补证</v>
      </c>
    </row>
    <row r="255" spans="1:14" ht="58" customHeight="1">
      <c r="A255" s="8" t="s">
        <v>162</v>
      </c>
      <c r="B255" s="8" t="s">
        <v>163</v>
      </c>
      <c r="C255" s="8" t="s">
        <v>539</v>
      </c>
      <c r="D255" s="8" t="s">
        <v>540</v>
      </c>
      <c r="E255" s="8"/>
      <c r="F255" s="8"/>
      <c r="G255" s="8"/>
      <c r="H255" s="8" t="s">
        <v>506</v>
      </c>
      <c r="I255" s="8"/>
      <c r="J255" s="8"/>
      <c r="L255" s="9">
        <f>IF(AND(N255="完整",ISNUMBER('03_逐品成本'!E18),'03_逐品成本'!E18&gt;0),ROUND(ROUND(F255*IF(E255="PHP",'03_逐品成本'!E18,1),10),2),"")</f>
        <v/>
      </c>
      <c r="M255" s="9">
        <f>IF(AND(N255="完整",ISNUMBER('03_逐品成本'!E18),'03_逐品成本'!E18&gt;0),ROUND(ROUND(IF(ISNUMBER(G255),G255,F255)*1*IF(E255="PHP",'03_逐品成本'!E18*0.95,1),10),2),"")</f>
        <v/>
      </c>
      <c r="N255" s="6" t="str">
        <f>IF(AND(ISNUMBER(F255),F255&gt;=0,OR(E255="PHP",E255="CNY"),OR(H255="已核实",H255="不适用",H255="预算"),I255&lt;&gt;"",J255&lt;&gt;"",ISNUMBER(K255),K255&gt;='00_审核入口'!$F$2,OR(H255&lt;&gt;"不适用",F255=0),OR(G255="",AND(ISNUMBER(G255),G255&gt;=0))),"完整","待补证")</f>
        <v>待补证</v>
      </c>
    </row>
    <row r="256" spans="1:14" ht="58" customHeight="1">
      <c r="A256" s="8" t="s">
        <v>162</v>
      </c>
      <c r="B256" s="8" t="s">
        <v>163</v>
      </c>
      <c r="C256" s="8" t="s">
        <v>541</v>
      </c>
      <c r="D256" s="8" t="s">
        <v>542</v>
      </c>
      <c r="E256" s="8"/>
      <c r="F256" s="8"/>
      <c r="G256" s="8"/>
      <c r="H256" s="8" t="s">
        <v>506</v>
      </c>
      <c r="I256" s="8"/>
      <c r="J256" s="8"/>
      <c r="L256" s="9">
        <f>IF(AND(N256="完整",ISNUMBER('03_逐品成本'!E18),'03_逐品成本'!E18&gt;0),ROUND(ROUND(F256*IF(E256="PHP",'03_逐品成本'!E18,1),10),2),"")</f>
        <v/>
      </c>
      <c r="M256" s="9">
        <f>IF(AND(N256="完整",ISNUMBER('03_逐品成本'!E18),'03_逐品成本'!E18&gt;0),ROUND(ROUND(IF(ISNUMBER(G256),G256,F256)*1*IF(E256="PHP",'03_逐品成本'!E18*0.95,1),10),2),"")</f>
        <v/>
      </c>
      <c r="N256" s="6" t="str">
        <f>IF(AND(ISNUMBER(F256),F256&gt;=0,OR(E256="PHP",E256="CNY"),OR(H256="已核实",H256="不适用",H256="预算"),I256&lt;&gt;"",J256&lt;&gt;"",ISNUMBER(K256),K256&gt;='00_审核入口'!$F$2,OR(H256&lt;&gt;"不适用",F256=0),OR(G256="",AND(ISNUMBER(G256),G256&gt;=0))),"完整","待补证")</f>
        <v>待补证</v>
      </c>
    </row>
    <row r="257" spans="1:14" ht="58" customHeight="1">
      <c r="A257" s="8" t="s">
        <v>171</v>
      </c>
      <c r="B257" s="8" t="s">
        <v>172</v>
      </c>
      <c r="C257" s="8" t="s">
        <v>507</v>
      </c>
      <c r="D257" s="8" t="s">
        <v>508</v>
      </c>
      <c r="E257" s="8"/>
      <c r="F257" s="8"/>
      <c r="G257" s="8"/>
      <c r="H257" s="8" t="s">
        <v>506</v>
      </c>
      <c r="I257" s="8"/>
      <c r="J257" s="8"/>
      <c r="L257" s="9">
        <f>IF(AND(N257="完整",ISNUMBER('03_逐品成本'!E19),'03_逐品成本'!E19&gt;0),ROUND(ROUND(F257*IF(E257="PHP",'03_逐品成本'!E19,1),10),2),"")</f>
        <v/>
      </c>
      <c r="M257" s="9">
        <f>IF(AND(N257="完整",ISNUMBER('03_逐品成本'!E19),'03_逐品成本'!E19&gt;0),ROUND(ROUND(IF(ISNUMBER(G257),G257,F257)*1*IF(E257="PHP",'03_逐品成本'!E19*0.95,1),10),2),"")</f>
        <v/>
      </c>
      <c r="N257" s="6" t="str">
        <f>IF(AND(ISNUMBER(F257),F257&gt;=0,OR(E257="PHP",E257="CNY"),OR(H257="已核实",H257="不适用"),I257&lt;&gt;"",J257&lt;&gt;"",ISNUMBER(K257),K257&gt;='00_审核入口'!$F$2,OR(H257&lt;&gt;"不适用",F257=0),OR(G257="",AND(ISNUMBER(G257),G257&gt;=0))),"完整","待补证")</f>
        <v>待补证</v>
      </c>
    </row>
    <row r="258" spans="1:14" ht="58" customHeight="1">
      <c r="A258" s="8" t="s">
        <v>171</v>
      </c>
      <c r="B258" s="8" t="s">
        <v>172</v>
      </c>
      <c r="C258" s="8" t="s">
        <v>509</v>
      </c>
      <c r="D258" s="8" t="s">
        <v>510</v>
      </c>
      <c r="E258" s="8"/>
      <c r="F258" s="8"/>
      <c r="G258" s="8"/>
      <c r="H258" s="8" t="s">
        <v>506</v>
      </c>
      <c r="I258" s="8"/>
      <c r="J258" s="8"/>
      <c r="L258" s="9">
        <f>IF(AND(N258="完整",ISNUMBER('03_逐品成本'!E19),'03_逐品成本'!E19&gt;0),ROUND(ROUND(F258*IF(E258="PHP",'03_逐品成本'!E19,1),10),2),"")</f>
        <v/>
      </c>
      <c r="M258" s="9">
        <f>IF(AND(N258="完整",ISNUMBER('03_逐品成本'!E19),'03_逐品成本'!E19&gt;0),ROUND(ROUND(IF(ISNUMBER(G258),G258,F258)*1*IF(E258="PHP",'03_逐品成本'!E19*0.95,1),10),2),"")</f>
        <v/>
      </c>
      <c r="N258" s="6" t="str">
        <f>IF(AND(ISNUMBER(F258),F258&gt;=0,OR(E258="PHP",E258="CNY"),OR(H258="已核实",H258="不适用"),I258&lt;&gt;"",J258&lt;&gt;"",ISNUMBER(K258),K258&gt;='00_审核入口'!$F$2,OR(H258&lt;&gt;"不适用",F258=0),OR(G258="",AND(ISNUMBER(G258),G258&gt;=0)),ISNUMBER(G258),G258&gt;=0),"完整","待补证")</f>
        <v>待补证</v>
      </c>
    </row>
    <row r="259" spans="1:14" ht="58" customHeight="1">
      <c r="A259" s="8" t="s">
        <v>171</v>
      </c>
      <c r="B259" s="8" t="s">
        <v>172</v>
      </c>
      <c r="C259" s="8" t="s">
        <v>511</v>
      </c>
      <c r="D259" s="8" t="s">
        <v>512</v>
      </c>
      <c r="E259" s="8"/>
      <c r="F259" s="8"/>
      <c r="G259" s="8"/>
      <c r="H259" s="8" t="s">
        <v>506</v>
      </c>
      <c r="I259" s="8"/>
      <c r="J259" s="8"/>
      <c r="L259" s="9">
        <f>IF(AND(N259="完整",ISNUMBER('03_逐品成本'!E19),'03_逐品成本'!E19&gt;0),ROUND(ROUND(F259*IF(E259="PHP",'03_逐品成本'!E19,1),10),2),"")</f>
        <v/>
      </c>
      <c r="M259" s="9">
        <f>IF(AND(N259="完整",ISNUMBER('03_逐品成本'!E19),'03_逐品成本'!E19&gt;0),ROUND(ROUND(IF(ISNUMBER(G259),G259,F259)*1*IF(E259="PHP",'03_逐品成本'!E19*0.95,1),10),2),"")</f>
        <v/>
      </c>
      <c r="N259" s="6" t="str">
        <f>IF(AND(ISNUMBER(F259),F259&gt;=0,OR(E259="PHP",E259="CNY"),OR(H259="已核实",H259="不适用"),I259&lt;&gt;"",J259&lt;&gt;"",ISNUMBER(K259),K259&gt;='00_审核入口'!$F$2,OR(H259&lt;&gt;"不适用",F259=0),OR(G259="",AND(ISNUMBER(G259),G259&gt;=0))),"完整","待补证")</f>
        <v>待补证</v>
      </c>
    </row>
    <row r="260" spans="1:14" ht="58" customHeight="1">
      <c r="A260" s="8" t="s">
        <v>171</v>
      </c>
      <c r="B260" s="8" t="s">
        <v>172</v>
      </c>
      <c r="C260" s="8" t="s">
        <v>513</v>
      </c>
      <c r="D260" s="8" t="s">
        <v>514</v>
      </c>
      <c r="E260" s="8"/>
      <c r="F260" s="8"/>
      <c r="G260" s="8"/>
      <c r="H260" s="8" t="s">
        <v>506</v>
      </c>
      <c r="I260" s="8"/>
      <c r="J260" s="8"/>
      <c r="L260" s="9">
        <f>IF(AND(N260="完整",ISNUMBER('03_逐品成本'!E19),'03_逐品成本'!E19&gt;0),ROUND(ROUND(F260*IF(E260="PHP",'03_逐品成本'!E19,1),10),2),"")</f>
        <v/>
      </c>
      <c r="M260" s="9">
        <f>IF(AND(N260="完整",ISNUMBER('03_逐品成本'!E19),'03_逐品成本'!E19&gt;0),ROUND(ROUND(IF(ISNUMBER(G260),G260,F260)*1*IF(E260="PHP",'03_逐品成本'!E19*0.95,1),10),2),"")</f>
        <v/>
      </c>
      <c r="N260" s="6" t="str">
        <f>IF(AND(ISNUMBER(F260),F260&gt;=0,OR(E260="PHP",E260="CNY"),OR(H260="已核实",H260="不适用"),I260&lt;&gt;"",J260&lt;&gt;"",ISNUMBER(K260),K260&gt;='00_审核入口'!$F$2,OR(H260&lt;&gt;"不适用",F260=0),OR(G260="",AND(ISNUMBER(G260),G260&gt;=0))),"完整","待补证")</f>
        <v>待补证</v>
      </c>
    </row>
    <row r="261" spans="1:14" ht="58" customHeight="1">
      <c r="A261" s="8" t="s">
        <v>171</v>
      </c>
      <c r="B261" s="8" t="s">
        <v>172</v>
      </c>
      <c r="C261" s="8" t="s">
        <v>515</v>
      </c>
      <c r="D261" s="8" t="s">
        <v>516</v>
      </c>
      <c r="E261" s="8"/>
      <c r="F261" s="8"/>
      <c r="G261" s="8"/>
      <c r="H261" s="8" t="s">
        <v>506</v>
      </c>
      <c r="I261" s="8"/>
      <c r="J261" s="8"/>
      <c r="L261" s="9">
        <f>IF(AND(N261="完整",ISNUMBER('03_逐品成本'!E19),'03_逐品成本'!E19&gt;0),ROUND(ROUND(F261*IF(E261="PHP",'03_逐品成本'!E19,1),10),2),"")</f>
        <v/>
      </c>
      <c r="M261" s="9">
        <f>IF(AND(N261="完整",ISNUMBER('03_逐品成本'!E19),'03_逐品成本'!E19&gt;0),ROUND(ROUND(IF(ISNUMBER(G261),G261,F261)*1*IF(E261="PHP",'03_逐品成本'!E19*0.95,1),10),2),"")</f>
        <v/>
      </c>
      <c r="N261" s="6" t="str">
        <f>IF(AND(ISNUMBER(F261),F261&gt;=0,OR(E261="PHP",E261="CNY"),OR(H261="已核实",H261="不适用"),I261&lt;&gt;"",J261&lt;&gt;"",ISNUMBER(K261),K261&gt;='00_审核入口'!$F$2,OR(H261&lt;&gt;"不适用",F261=0),OR(G261="",AND(ISNUMBER(G261),G261&gt;=0))),"完整","待补证")</f>
        <v>待补证</v>
      </c>
    </row>
    <row r="262" spans="1:14" ht="58" customHeight="1">
      <c r="A262" s="8" t="s">
        <v>171</v>
      </c>
      <c r="B262" s="8" t="s">
        <v>172</v>
      </c>
      <c r="C262" s="8" t="s">
        <v>517</v>
      </c>
      <c r="D262" s="8" t="s">
        <v>518</v>
      </c>
      <c r="E262" s="8"/>
      <c r="F262" s="8"/>
      <c r="G262" s="8"/>
      <c r="H262" s="8" t="s">
        <v>506</v>
      </c>
      <c r="I262" s="8"/>
      <c r="J262" s="8"/>
      <c r="L262" s="9">
        <f>IF(AND(N262="完整",ISNUMBER('03_逐品成本'!E19),'03_逐品成本'!E19&gt;0),ROUND(ROUND(F262*IF(E262="PHP",'03_逐品成本'!E19,1),10),2),"")</f>
        <v/>
      </c>
      <c r="M262" s="9">
        <f>IF(AND(N262="完整",ISNUMBER('03_逐品成本'!E19),'03_逐品成本'!E19&gt;0),ROUND(ROUND(IF(ISNUMBER(G262),G262,F262)*1*IF(E262="PHP",'03_逐品成本'!E19*0.95,1),10),2),"")</f>
        <v/>
      </c>
      <c r="N262" s="6" t="str">
        <f>IF(AND(ISNUMBER(F262),F262&gt;=0,OR(E262="PHP",E262="CNY"),OR(H262="已核实",H262="不适用"),I262&lt;&gt;"",J262&lt;&gt;"",ISNUMBER(K262),K262&gt;='00_审核入口'!$F$2,OR(H262&lt;&gt;"不适用",F262=0),OR(G262="",AND(ISNUMBER(G262),G262&gt;=0))),"完整","待补证")</f>
        <v>待补证</v>
      </c>
    </row>
    <row r="263" spans="1:14" ht="58" customHeight="1">
      <c r="A263" s="8" t="s">
        <v>171</v>
      </c>
      <c r="B263" s="8" t="s">
        <v>172</v>
      </c>
      <c r="C263" s="8" t="s">
        <v>519</v>
      </c>
      <c r="D263" s="8" t="s">
        <v>520</v>
      </c>
      <c r="E263" s="8"/>
      <c r="F263" s="8"/>
      <c r="G263" s="8"/>
      <c r="H263" s="8" t="s">
        <v>506</v>
      </c>
      <c r="I263" s="8"/>
      <c r="J263" s="8"/>
      <c r="L263" s="9">
        <f>IF(AND(N263="完整",ISNUMBER('03_逐品成本'!E19),'03_逐品成本'!E19&gt;0),ROUND(ROUND(F263*IF(E263="PHP",'03_逐品成本'!E19,1),10),2),"")</f>
        <v/>
      </c>
      <c r="M263" s="9">
        <f>IF(AND(N263="完整",ISNUMBER('03_逐品成本'!E19),'03_逐品成本'!E19&gt;0),ROUND(ROUND(IF(ISNUMBER(G263),G263,F263)*1*IF(E263="PHP",'03_逐品成本'!E19*0.95,1),10),2),"")</f>
        <v/>
      </c>
      <c r="N263" s="6" t="str">
        <f>IF(AND(ISNUMBER(F263),F263&gt;=0,OR(E263="PHP",E263="CNY"),OR(H263="已核实",H263="不适用"),I263&lt;&gt;"",J263&lt;&gt;"",ISNUMBER(K263),K263&gt;='00_审核入口'!$F$2,OR(H263&lt;&gt;"不适用",F263=0),OR(G263="",AND(ISNUMBER(G263),G263&gt;=0))),"完整","待补证")</f>
        <v>待补证</v>
      </c>
    </row>
    <row r="264" spans="1:14" ht="58" customHeight="1">
      <c r="A264" s="8" t="s">
        <v>171</v>
      </c>
      <c r="B264" s="8" t="s">
        <v>172</v>
      </c>
      <c r="C264" s="8" t="s">
        <v>521</v>
      </c>
      <c r="D264" s="8" t="s">
        <v>522</v>
      </c>
      <c r="E264" s="8"/>
      <c r="F264" s="8"/>
      <c r="G264" s="8"/>
      <c r="H264" s="8" t="s">
        <v>506</v>
      </c>
      <c r="I264" s="8"/>
      <c r="J264" s="8"/>
      <c r="L264" s="9">
        <f>IF(AND(N264="完整",ISNUMBER('03_逐品成本'!E19),'03_逐品成本'!E19&gt;0),ROUND(ROUND(F264*IF(E264="PHP",'03_逐品成本'!E19,1),10),2),"")</f>
        <v/>
      </c>
      <c r="M264" s="9">
        <f>IF(AND(N264="完整",ISNUMBER('03_逐品成本'!E19),'03_逐品成本'!E19&gt;0),ROUND(ROUND(IF(ISNUMBER(G264),G264,F264)*1*IF(E264="PHP",'03_逐品成本'!E19*0.95,1),10),2),"")</f>
        <v/>
      </c>
      <c r="N264" s="6" t="str">
        <f>IF(AND(ISNUMBER(F264),F264&gt;=0,OR(E264="PHP",E264="CNY"),OR(H264="已核实",H264="不适用"),I264&lt;&gt;"",J264&lt;&gt;"",ISNUMBER(K264),K264&gt;='00_审核入口'!$F$2,OR(H264&lt;&gt;"不适用",F264=0),OR(G264="",AND(ISNUMBER(G264),G264&gt;=0))),"完整","待补证")</f>
        <v>待补证</v>
      </c>
    </row>
    <row r="265" spans="1:14" ht="58" customHeight="1">
      <c r="A265" s="8" t="s">
        <v>171</v>
      </c>
      <c r="B265" s="8" t="s">
        <v>172</v>
      </c>
      <c r="C265" s="8" t="s">
        <v>523</v>
      </c>
      <c r="D265" s="8" t="s">
        <v>524</v>
      </c>
      <c r="E265" s="8"/>
      <c r="F265" s="8"/>
      <c r="G265" s="8"/>
      <c r="H265" s="8" t="s">
        <v>506</v>
      </c>
      <c r="I265" s="8"/>
      <c r="J265" s="8"/>
      <c r="L265" s="9">
        <f>IF(AND(N265="完整",ISNUMBER('03_逐品成本'!E19),'03_逐品成本'!E19&gt;0),ROUND(ROUND(F265*IF(E265="PHP",'03_逐品成本'!E19,1),10),2),"")</f>
        <v/>
      </c>
      <c r="M265" s="9">
        <f>IF(AND(N265="完整",ISNUMBER('03_逐品成本'!E19),'03_逐品成本'!E19&gt;0),ROUND(ROUND(IF(ISNUMBER(G265),G265,F265)*1.15*IF(E265="PHP",'03_逐品成本'!E19*0.95,1),10),2),"")</f>
        <v/>
      </c>
      <c r="N265" s="6" t="str">
        <f>IF(AND(ISNUMBER(F265),F265&gt;=0,OR(E265="PHP",E265="CNY"),OR(H265="已核实",H265="不适用"),I265&lt;&gt;"",J265&lt;&gt;"",ISNUMBER(K265),K265&gt;='00_审核入口'!$F$2,OR(H265&lt;&gt;"不适用",F265=0),OR(G265="",AND(ISNUMBER(G265),G265&gt;=0))),"完整","待补证")</f>
        <v>待补证</v>
      </c>
    </row>
    <row r="266" spans="1:14" ht="58" customHeight="1">
      <c r="A266" s="8" t="s">
        <v>171</v>
      </c>
      <c r="B266" s="8" t="s">
        <v>172</v>
      </c>
      <c r="C266" s="8" t="s">
        <v>525</v>
      </c>
      <c r="D266" s="8" t="s">
        <v>526</v>
      </c>
      <c r="E266" s="8"/>
      <c r="F266" s="8"/>
      <c r="G266" s="8"/>
      <c r="H266" s="8" t="s">
        <v>506</v>
      </c>
      <c r="I266" s="8"/>
      <c r="J266" s="8"/>
      <c r="L266" s="9">
        <f>IF(AND(N266="完整",ISNUMBER('03_逐品成本'!E19),'03_逐品成本'!E19&gt;0),ROUND(ROUND(F266*IF(E266="PHP",'03_逐品成本'!E19,1),10),2),"")</f>
        <v/>
      </c>
      <c r="M266" s="9">
        <f>IF(AND(N266="完整",ISNUMBER('03_逐品成本'!E19),'03_逐品成本'!E19&gt;0),ROUND(ROUND(IF(ISNUMBER(G266),G266,F266)*1.15*IF(E266="PHP",'03_逐品成本'!E19*0.95,1),10),2),"")</f>
        <v/>
      </c>
      <c r="N266" s="6" t="str">
        <f>IF(AND(ISNUMBER(F266),F266&gt;=0,OR(E266="PHP",E266="CNY"),OR(H266="已核实",H266="不适用"),I266&lt;&gt;"",J266&lt;&gt;"",ISNUMBER(K266),K266&gt;='00_审核入口'!$F$2,OR(H266&lt;&gt;"不适用",F266=0),OR(G266="",AND(ISNUMBER(G266),G266&gt;=0))),"完整","待补证")</f>
        <v>待补证</v>
      </c>
    </row>
    <row r="267" spans="1:14" ht="58" customHeight="1">
      <c r="A267" s="8" t="s">
        <v>171</v>
      </c>
      <c r="B267" s="8" t="s">
        <v>172</v>
      </c>
      <c r="C267" s="8" t="s">
        <v>527</v>
      </c>
      <c r="D267" s="8" t="s">
        <v>528</v>
      </c>
      <c r="E267" s="8"/>
      <c r="F267" s="8"/>
      <c r="G267" s="8"/>
      <c r="H267" s="8" t="s">
        <v>506</v>
      </c>
      <c r="I267" s="8"/>
      <c r="J267" s="8"/>
      <c r="L267" s="9">
        <f>IF(AND(N267="完整",ISNUMBER('03_逐品成本'!E19),'03_逐品成本'!E19&gt;0),ROUND(ROUND(F267*IF(E267="PHP",'03_逐品成本'!E19,1),10),2),"")</f>
        <v/>
      </c>
      <c r="M267" s="9">
        <f>IF(AND(N267="完整",ISNUMBER('03_逐品成本'!E19),'03_逐品成本'!E19&gt;0),ROUND(ROUND(IF(ISNUMBER(G267),G267,F267)*1.15*IF(E267="PHP",'03_逐品成本'!E19*0.95,1),10),2),"")</f>
        <v/>
      </c>
      <c r="N267" s="6" t="str">
        <f>IF(AND(ISNUMBER(F267),F267&gt;=0,OR(E267="PHP",E267="CNY"),OR(H267="已核实",H267="不适用"),I267&lt;&gt;"",J267&lt;&gt;"",ISNUMBER(K267),K267&gt;='00_审核入口'!$F$2,OR(H267&lt;&gt;"不适用",F267=0),OR(G267="",AND(ISNUMBER(G267),G267&gt;=0))),"完整","待补证")</f>
        <v>待补证</v>
      </c>
    </row>
    <row r="268" spans="1:14" ht="58" customHeight="1">
      <c r="A268" s="8" t="s">
        <v>171</v>
      </c>
      <c r="B268" s="8" t="s">
        <v>172</v>
      </c>
      <c r="C268" s="8" t="s">
        <v>529</v>
      </c>
      <c r="D268" s="8" t="s">
        <v>530</v>
      </c>
      <c r="E268" s="8"/>
      <c r="F268" s="8"/>
      <c r="G268" s="8"/>
      <c r="H268" s="8" t="s">
        <v>506</v>
      </c>
      <c r="I268" s="8"/>
      <c r="J268" s="8"/>
      <c r="L268" s="9">
        <f>IF(AND(N268="完整",ISNUMBER('03_逐品成本'!E19),'03_逐品成本'!E19&gt;0),ROUND(ROUND(F268*IF(E268="PHP",'03_逐品成本'!E19,1),10),2),"")</f>
        <v/>
      </c>
      <c r="M268" s="9">
        <f>IF(AND(N268="完整",ISNUMBER('03_逐品成本'!E19),'03_逐品成本'!E19&gt;0),ROUND(ROUND(IF(ISNUMBER(G268),G268,F268)*1*IF(E268="PHP",'03_逐品成本'!E19*0.95,1),10),2),"")</f>
        <v/>
      </c>
      <c r="N268" s="6" t="str">
        <f>IF(AND(ISNUMBER(F268),F268&gt;=0,OR(E268="PHP",E268="CNY"),OR(H268="已核实",H268="不适用",H268="预算"),I268&lt;&gt;"",J268&lt;&gt;"",ISNUMBER(K268),K268&gt;='00_审核入口'!$F$2,OR(H268&lt;&gt;"不适用",F268=0),OR(G268="",AND(ISNUMBER(G268),G268&gt;=0))),"完整","待补证")</f>
        <v>待补证</v>
      </c>
    </row>
    <row r="269" spans="1:14" ht="58" customHeight="1">
      <c r="A269" s="8" t="s">
        <v>171</v>
      </c>
      <c r="B269" s="8" t="s">
        <v>172</v>
      </c>
      <c r="C269" s="8" t="s">
        <v>531</v>
      </c>
      <c r="D269" s="8" t="s">
        <v>532</v>
      </c>
      <c r="E269" s="8"/>
      <c r="F269" s="8"/>
      <c r="G269" s="8"/>
      <c r="H269" s="8" t="s">
        <v>506</v>
      </c>
      <c r="I269" s="8"/>
      <c r="J269" s="8"/>
      <c r="L269" s="9">
        <f>IF(AND(N269="完整",ISNUMBER('03_逐品成本'!E19),'03_逐品成本'!E19&gt;0),ROUND(ROUND(F269*IF(E269="PHP",'03_逐品成本'!E19,1),10),2),"")</f>
        <v/>
      </c>
      <c r="M269" s="9">
        <f>IF(AND(N269="完整",ISNUMBER('03_逐品成本'!E19),'03_逐品成本'!E19&gt;0),ROUND(ROUND(IF(ISNUMBER(G269),G269,F269)*1*IF(E269="PHP",'03_逐品成本'!E19*0.95,1),10),2),"")</f>
        <v/>
      </c>
      <c r="N269" s="6" t="str">
        <f>IF(AND(ISNUMBER(F269),F269&gt;=0,OR(E269="PHP",E269="CNY"),OR(H269="已核实",H269="不适用",H269="预算"),I269&lt;&gt;"",J269&lt;&gt;"",ISNUMBER(K269),K269&gt;='00_审核入口'!$F$2,OR(H269&lt;&gt;"不适用",F269=0),OR(G269="",AND(ISNUMBER(G269),G269&gt;=0))),"完整","待补证")</f>
        <v>待补证</v>
      </c>
    </row>
    <row r="270" spans="1:14" ht="58" customHeight="1">
      <c r="A270" s="8" t="s">
        <v>171</v>
      </c>
      <c r="B270" s="8" t="s">
        <v>172</v>
      </c>
      <c r="C270" s="8" t="s">
        <v>533</v>
      </c>
      <c r="D270" s="8" t="s">
        <v>534</v>
      </c>
      <c r="E270" s="8"/>
      <c r="F270" s="8"/>
      <c r="G270" s="8"/>
      <c r="H270" s="8" t="s">
        <v>506</v>
      </c>
      <c r="I270" s="8"/>
      <c r="J270" s="8"/>
      <c r="L270" s="9">
        <f>IF(AND(N270="完整",ISNUMBER('03_逐品成本'!E19),'03_逐品成本'!E19&gt;0),ROUND(ROUND(F270*IF(E270="PHP",'03_逐品成本'!E19,1),10),2),"")</f>
        <v/>
      </c>
      <c r="M270" s="9">
        <f>IF(AND(N270="完整",ISNUMBER('03_逐品成本'!E19),'03_逐品成本'!E19&gt;0),ROUND(ROUND(IF(ISNUMBER(G270),G270,F270)*1*IF(E270="PHP",'03_逐品成本'!E19*0.95,1),10),2),"")</f>
        <v/>
      </c>
      <c r="N270" s="6" t="str">
        <f>IF(AND(ISNUMBER(F270),F270&gt;=0,OR(E270="PHP",E270="CNY"),OR(H270="已核实",H270="不适用",H270="预算"),I270&lt;&gt;"",J270&lt;&gt;"",ISNUMBER(K270),K270&gt;='00_审核入口'!$F$2,OR(H270&lt;&gt;"不适用",F270=0),OR(G270="",AND(ISNUMBER(G270),G270&gt;=0))),"完整","待补证")</f>
        <v>待补证</v>
      </c>
    </row>
    <row r="271" spans="1:14" ht="58" customHeight="1">
      <c r="A271" s="8" t="s">
        <v>171</v>
      </c>
      <c r="B271" s="8" t="s">
        <v>172</v>
      </c>
      <c r="C271" s="8" t="s">
        <v>535</v>
      </c>
      <c r="D271" s="8" t="s">
        <v>536</v>
      </c>
      <c r="E271" s="8"/>
      <c r="F271" s="8"/>
      <c r="G271" s="8"/>
      <c r="H271" s="8" t="s">
        <v>506</v>
      </c>
      <c r="I271" s="8"/>
      <c r="J271" s="8"/>
      <c r="L271" s="9">
        <f>IF(AND(N271="完整",ISNUMBER('03_逐品成本'!E19),'03_逐品成本'!E19&gt;0),ROUND(ROUND(F271*IF(E271="PHP",'03_逐品成本'!E19,1),10),2),"")</f>
        <v/>
      </c>
      <c r="M271" s="9">
        <f>IF(AND(N271="完整",ISNUMBER('03_逐品成本'!E19),'03_逐品成本'!E19&gt;0),ROUND(ROUND(IF(ISNUMBER(G271),G271,F271)*1*IF(E271="PHP",'03_逐品成本'!E19*0.95,1),10),2),"")</f>
        <v/>
      </c>
      <c r="N271" s="6" t="str">
        <f>IF(AND(ISNUMBER(F271),F271&gt;=0,OR(E271="PHP",E271="CNY"),OR(H271="已核实",H271="不适用"),I271&lt;&gt;"",J271&lt;&gt;"",ISNUMBER(K271),K271&gt;='00_审核入口'!$F$2,OR(H271&lt;&gt;"不适用",F271=0),OR(G271="",AND(ISNUMBER(G271),G271&gt;=0))),"完整","待补证")</f>
        <v>待补证</v>
      </c>
    </row>
    <row r="272" spans="1:14" ht="58" customHeight="1">
      <c r="A272" s="8" t="s">
        <v>171</v>
      </c>
      <c r="B272" s="8" t="s">
        <v>172</v>
      </c>
      <c r="C272" s="8" t="s">
        <v>537</v>
      </c>
      <c r="D272" s="8" t="s">
        <v>538</v>
      </c>
      <c r="E272" s="8"/>
      <c r="F272" s="8"/>
      <c r="G272" s="8"/>
      <c r="H272" s="8" t="s">
        <v>506</v>
      </c>
      <c r="I272" s="8"/>
      <c r="J272" s="8"/>
      <c r="L272" s="9">
        <f>IF(AND(N272="完整",ISNUMBER('03_逐品成本'!E19),'03_逐品成本'!E19&gt;0),ROUND(ROUND(F272*IF(E272="PHP",'03_逐品成本'!E19,1),10),2),"")</f>
        <v/>
      </c>
      <c r="M272" s="9">
        <f>IF(AND(N272="完整",ISNUMBER('03_逐品成本'!E19),'03_逐品成本'!E19&gt;0),ROUND(ROUND(IF(ISNUMBER(G272),G272,F272)*1*IF(E272="PHP",'03_逐品成本'!E19*0.95,1),10),2),"")</f>
        <v/>
      </c>
      <c r="N272" s="6" t="str">
        <f>IF(AND(ISNUMBER(F272),F272&gt;=0,OR(E272="PHP",E272="CNY"),OR(H272="已核实",H272="不适用"),I272&lt;&gt;"",J272&lt;&gt;"",ISNUMBER(K272),K272&gt;='00_审核入口'!$F$2,OR(H272&lt;&gt;"不适用",F272=0),OR(G272="",AND(ISNUMBER(G272),G272&gt;=0))),"完整","待补证")</f>
        <v>待补证</v>
      </c>
    </row>
    <row r="273" spans="1:14" ht="58" customHeight="1">
      <c r="A273" s="8" t="s">
        <v>171</v>
      </c>
      <c r="B273" s="8" t="s">
        <v>172</v>
      </c>
      <c r="C273" s="8" t="s">
        <v>539</v>
      </c>
      <c r="D273" s="8" t="s">
        <v>540</v>
      </c>
      <c r="E273" s="8"/>
      <c r="F273" s="8"/>
      <c r="G273" s="8"/>
      <c r="H273" s="8" t="s">
        <v>506</v>
      </c>
      <c r="I273" s="8"/>
      <c r="J273" s="8"/>
      <c r="L273" s="9">
        <f>IF(AND(N273="完整",ISNUMBER('03_逐品成本'!E19),'03_逐品成本'!E19&gt;0),ROUND(ROUND(F273*IF(E273="PHP",'03_逐品成本'!E19,1),10),2),"")</f>
        <v/>
      </c>
      <c r="M273" s="9">
        <f>IF(AND(N273="完整",ISNUMBER('03_逐品成本'!E19),'03_逐品成本'!E19&gt;0),ROUND(ROUND(IF(ISNUMBER(G273),G273,F273)*1*IF(E273="PHP",'03_逐品成本'!E19*0.95,1),10),2),"")</f>
        <v/>
      </c>
      <c r="N273" s="6" t="str">
        <f>IF(AND(ISNUMBER(F273),F273&gt;=0,OR(E273="PHP",E273="CNY"),OR(H273="已核实",H273="不适用",H273="预算"),I273&lt;&gt;"",J273&lt;&gt;"",ISNUMBER(K273),K273&gt;='00_审核入口'!$F$2,OR(H273&lt;&gt;"不适用",F273=0),OR(G273="",AND(ISNUMBER(G273),G273&gt;=0))),"完整","待补证")</f>
        <v>待补证</v>
      </c>
    </row>
    <row r="274" spans="1:14" ht="58" customHeight="1">
      <c r="A274" s="8" t="s">
        <v>171</v>
      </c>
      <c r="B274" s="8" t="s">
        <v>172</v>
      </c>
      <c r="C274" s="8" t="s">
        <v>541</v>
      </c>
      <c r="D274" s="8" t="s">
        <v>542</v>
      </c>
      <c r="E274" s="8"/>
      <c r="F274" s="8"/>
      <c r="G274" s="8"/>
      <c r="H274" s="8" t="s">
        <v>506</v>
      </c>
      <c r="I274" s="8"/>
      <c r="J274" s="8"/>
      <c r="L274" s="9">
        <f>IF(AND(N274="完整",ISNUMBER('03_逐品成本'!E19),'03_逐品成本'!E19&gt;0),ROUND(ROUND(F274*IF(E274="PHP",'03_逐品成本'!E19,1),10),2),"")</f>
        <v/>
      </c>
      <c r="M274" s="9">
        <f>IF(AND(N274="完整",ISNUMBER('03_逐品成本'!E19),'03_逐品成本'!E19&gt;0),ROUND(ROUND(IF(ISNUMBER(G274),G274,F274)*1*IF(E274="PHP",'03_逐品成本'!E19*0.95,1),10),2),"")</f>
        <v/>
      </c>
      <c r="N274" s="6" t="str">
        <f>IF(AND(ISNUMBER(F274),F274&gt;=0,OR(E274="PHP",E274="CNY"),OR(H274="已核实",H274="不适用",H274="预算"),I274&lt;&gt;"",J274&lt;&gt;"",ISNUMBER(K274),K274&gt;='00_审核入口'!$F$2,OR(H274&lt;&gt;"不适用",F274=0),OR(G274="",AND(ISNUMBER(G274),G274&gt;=0))),"完整","待补证")</f>
        <v>待补证</v>
      </c>
    </row>
    <row r="275" spans="1:14" ht="58" customHeight="1">
      <c r="A275" s="8" t="s">
        <v>180</v>
      </c>
      <c r="B275" s="8" t="s">
        <v>181</v>
      </c>
      <c r="C275" s="8" t="s">
        <v>507</v>
      </c>
      <c r="D275" s="8" t="s">
        <v>508</v>
      </c>
      <c r="E275" s="8"/>
      <c r="F275" s="8"/>
      <c r="G275" s="8"/>
      <c r="H275" s="8" t="s">
        <v>506</v>
      </c>
      <c r="I275" s="8"/>
      <c r="J275" s="8"/>
      <c r="L275" s="9">
        <f>IF(AND(N275="完整",ISNUMBER('03_逐品成本'!E20),'03_逐品成本'!E20&gt;0),ROUND(ROUND(F275*IF(E275="PHP",'03_逐品成本'!E20,1),10),2),"")</f>
        <v/>
      </c>
      <c r="M275" s="9">
        <f>IF(AND(N275="完整",ISNUMBER('03_逐品成本'!E20),'03_逐品成本'!E20&gt;0),ROUND(ROUND(IF(ISNUMBER(G275),G275,F275)*1*IF(E275="PHP",'03_逐品成本'!E20*0.95,1),10),2),"")</f>
        <v/>
      </c>
      <c r="N275" s="6" t="str">
        <f>IF(AND(ISNUMBER(F275),F275&gt;=0,OR(E275="PHP",E275="CNY"),OR(H275="已核实",H275="不适用"),I275&lt;&gt;"",J275&lt;&gt;"",ISNUMBER(K275),K275&gt;='00_审核入口'!$F$2,OR(H275&lt;&gt;"不适用",F275=0),OR(G275="",AND(ISNUMBER(G275),G275&gt;=0))),"完整","待补证")</f>
        <v>待补证</v>
      </c>
    </row>
    <row r="276" spans="1:14" ht="58" customHeight="1">
      <c r="A276" s="8" t="s">
        <v>180</v>
      </c>
      <c r="B276" s="8" t="s">
        <v>181</v>
      </c>
      <c r="C276" s="8" t="s">
        <v>509</v>
      </c>
      <c r="D276" s="8" t="s">
        <v>510</v>
      </c>
      <c r="E276" s="8"/>
      <c r="F276" s="8"/>
      <c r="G276" s="8"/>
      <c r="H276" s="8" t="s">
        <v>506</v>
      </c>
      <c r="I276" s="8"/>
      <c r="J276" s="8"/>
      <c r="L276" s="9">
        <f>IF(AND(N276="完整",ISNUMBER('03_逐品成本'!E20),'03_逐品成本'!E20&gt;0),ROUND(ROUND(F276*IF(E276="PHP",'03_逐品成本'!E20,1),10),2),"")</f>
        <v/>
      </c>
      <c r="M276" s="9">
        <f>IF(AND(N276="完整",ISNUMBER('03_逐品成本'!E20),'03_逐品成本'!E20&gt;0),ROUND(ROUND(IF(ISNUMBER(G276),G276,F276)*1*IF(E276="PHP",'03_逐品成本'!E20*0.95,1),10),2),"")</f>
        <v/>
      </c>
      <c r="N276" s="6" t="str">
        <f>IF(AND(ISNUMBER(F276),F276&gt;=0,OR(E276="PHP",E276="CNY"),OR(H276="已核实",H276="不适用"),I276&lt;&gt;"",J276&lt;&gt;"",ISNUMBER(K276),K276&gt;='00_审核入口'!$F$2,OR(H276&lt;&gt;"不适用",F276=0),OR(G276="",AND(ISNUMBER(G276),G276&gt;=0)),ISNUMBER(G276),G276&gt;=0),"完整","待补证")</f>
        <v>待补证</v>
      </c>
    </row>
    <row r="277" spans="1:14" ht="58" customHeight="1">
      <c r="A277" s="8" t="s">
        <v>180</v>
      </c>
      <c r="B277" s="8" t="s">
        <v>181</v>
      </c>
      <c r="C277" s="8" t="s">
        <v>511</v>
      </c>
      <c r="D277" s="8" t="s">
        <v>512</v>
      </c>
      <c r="E277" s="8"/>
      <c r="F277" s="8"/>
      <c r="G277" s="8"/>
      <c r="H277" s="8" t="s">
        <v>506</v>
      </c>
      <c r="I277" s="8"/>
      <c r="J277" s="8"/>
      <c r="L277" s="9">
        <f>IF(AND(N277="完整",ISNUMBER('03_逐品成本'!E20),'03_逐品成本'!E20&gt;0),ROUND(ROUND(F277*IF(E277="PHP",'03_逐品成本'!E20,1),10),2),"")</f>
        <v/>
      </c>
      <c r="M277" s="9">
        <f>IF(AND(N277="完整",ISNUMBER('03_逐品成本'!E20),'03_逐品成本'!E20&gt;0),ROUND(ROUND(IF(ISNUMBER(G277),G277,F277)*1*IF(E277="PHP",'03_逐品成本'!E20*0.95,1),10),2),"")</f>
        <v/>
      </c>
      <c r="N277" s="6" t="str">
        <f>IF(AND(ISNUMBER(F277),F277&gt;=0,OR(E277="PHP",E277="CNY"),OR(H277="已核实",H277="不适用"),I277&lt;&gt;"",J277&lt;&gt;"",ISNUMBER(K277),K277&gt;='00_审核入口'!$F$2,OR(H277&lt;&gt;"不适用",F277=0),OR(G277="",AND(ISNUMBER(G277),G277&gt;=0))),"完整","待补证")</f>
        <v>待补证</v>
      </c>
    </row>
    <row r="278" spans="1:14" ht="58" customHeight="1">
      <c r="A278" s="8" t="s">
        <v>180</v>
      </c>
      <c r="B278" s="8" t="s">
        <v>181</v>
      </c>
      <c r="C278" s="8" t="s">
        <v>513</v>
      </c>
      <c r="D278" s="8" t="s">
        <v>514</v>
      </c>
      <c r="E278" s="8"/>
      <c r="F278" s="8"/>
      <c r="G278" s="8"/>
      <c r="H278" s="8" t="s">
        <v>506</v>
      </c>
      <c r="I278" s="8"/>
      <c r="J278" s="8"/>
      <c r="L278" s="9">
        <f>IF(AND(N278="完整",ISNUMBER('03_逐品成本'!E20),'03_逐品成本'!E20&gt;0),ROUND(ROUND(F278*IF(E278="PHP",'03_逐品成本'!E20,1),10),2),"")</f>
        <v/>
      </c>
      <c r="M278" s="9">
        <f>IF(AND(N278="完整",ISNUMBER('03_逐品成本'!E20),'03_逐品成本'!E20&gt;0),ROUND(ROUND(IF(ISNUMBER(G278),G278,F278)*1*IF(E278="PHP",'03_逐品成本'!E20*0.95,1),10),2),"")</f>
        <v/>
      </c>
      <c r="N278" s="6" t="str">
        <f>IF(AND(ISNUMBER(F278),F278&gt;=0,OR(E278="PHP",E278="CNY"),OR(H278="已核实",H278="不适用"),I278&lt;&gt;"",J278&lt;&gt;"",ISNUMBER(K278),K278&gt;='00_审核入口'!$F$2,OR(H278&lt;&gt;"不适用",F278=0),OR(G278="",AND(ISNUMBER(G278),G278&gt;=0))),"完整","待补证")</f>
        <v>待补证</v>
      </c>
    </row>
    <row r="279" spans="1:14" ht="58" customHeight="1">
      <c r="A279" s="8" t="s">
        <v>180</v>
      </c>
      <c r="B279" s="8" t="s">
        <v>181</v>
      </c>
      <c r="C279" s="8" t="s">
        <v>515</v>
      </c>
      <c r="D279" s="8" t="s">
        <v>516</v>
      </c>
      <c r="E279" s="8"/>
      <c r="F279" s="8"/>
      <c r="G279" s="8"/>
      <c r="H279" s="8" t="s">
        <v>506</v>
      </c>
      <c r="I279" s="8"/>
      <c r="J279" s="8"/>
      <c r="L279" s="9">
        <f>IF(AND(N279="完整",ISNUMBER('03_逐品成本'!E20),'03_逐品成本'!E20&gt;0),ROUND(ROUND(F279*IF(E279="PHP",'03_逐品成本'!E20,1),10),2),"")</f>
        <v/>
      </c>
      <c r="M279" s="9">
        <f>IF(AND(N279="完整",ISNUMBER('03_逐品成本'!E20),'03_逐品成本'!E20&gt;0),ROUND(ROUND(IF(ISNUMBER(G279),G279,F279)*1*IF(E279="PHP",'03_逐品成本'!E20*0.95,1),10),2),"")</f>
        <v/>
      </c>
      <c r="N279" s="6" t="str">
        <f>IF(AND(ISNUMBER(F279),F279&gt;=0,OR(E279="PHP",E279="CNY"),OR(H279="已核实",H279="不适用"),I279&lt;&gt;"",J279&lt;&gt;"",ISNUMBER(K279),K279&gt;='00_审核入口'!$F$2,OR(H279&lt;&gt;"不适用",F279=0),OR(G279="",AND(ISNUMBER(G279),G279&gt;=0))),"完整","待补证")</f>
        <v>待补证</v>
      </c>
    </row>
    <row r="280" spans="1:14" ht="58" customHeight="1">
      <c r="A280" s="8" t="s">
        <v>180</v>
      </c>
      <c r="B280" s="8" t="s">
        <v>181</v>
      </c>
      <c r="C280" s="8" t="s">
        <v>517</v>
      </c>
      <c r="D280" s="8" t="s">
        <v>518</v>
      </c>
      <c r="E280" s="8"/>
      <c r="F280" s="8"/>
      <c r="G280" s="8"/>
      <c r="H280" s="8" t="s">
        <v>506</v>
      </c>
      <c r="I280" s="8"/>
      <c r="J280" s="8"/>
      <c r="L280" s="9">
        <f>IF(AND(N280="完整",ISNUMBER('03_逐品成本'!E20),'03_逐品成本'!E20&gt;0),ROUND(ROUND(F280*IF(E280="PHP",'03_逐品成本'!E20,1),10),2),"")</f>
        <v/>
      </c>
      <c r="M280" s="9">
        <f>IF(AND(N280="完整",ISNUMBER('03_逐品成本'!E20),'03_逐品成本'!E20&gt;0),ROUND(ROUND(IF(ISNUMBER(G280),G280,F280)*1*IF(E280="PHP",'03_逐品成本'!E20*0.95,1),10),2),"")</f>
        <v/>
      </c>
      <c r="N280" s="6" t="str">
        <f>IF(AND(ISNUMBER(F280),F280&gt;=0,OR(E280="PHP",E280="CNY"),OR(H280="已核实",H280="不适用"),I280&lt;&gt;"",J280&lt;&gt;"",ISNUMBER(K280),K280&gt;='00_审核入口'!$F$2,OR(H280&lt;&gt;"不适用",F280=0),OR(G280="",AND(ISNUMBER(G280),G280&gt;=0))),"完整","待补证")</f>
        <v>待补证</v>
      </c>
    </row>
    <row r="281" spans="1:14" ht="58" customHeight="1">
      <c r="A281" s="8" t="s">
        <v>180</v>
      </c>
      <c r="B281" s="8" t="s">
        <v>181</v>
      </c>
      <c r="C281" s="8" t="s">
        <v>519</v>
      </c>
      <c r="D281" s="8" t="s">
        <v>520</v>
      </c>
      <c r="E281" s="8"/>
      <c r="F281" s="8"/>
      <c r="G281" s="8"/>
      <c r="H281" s="8" t="s">
        <v>506</v>
      </c>
      <c r="I281" s="8"/>
      <c r="J281" s="8"/>
      <c r="L281" s="9">
        <f>IF(AND(N281="完整",ISNUMBER('03_逐品成本'!E20),'03_逐品成本'!E20&gt;0),ROUND(ROUND(F281*IF(E281="PHP",'03_逐品成本'!E20,1),10),2),"")</f>
        <v/>
      </c>
      <c r="M281" s="9">
        <f>IF(AND(N281="完整",ISNUMBER('03_逐品成本'!E20),'03_逐品成本'!E20&gt;0),ROUND(ROUND(IF(ISNUMBER(G281),G281,F281)*1*IF(E281="PHP",'03_逐品成本'!E20*0.95,1),10),2),"")</f>
        <v/>
      </c>
      <c r="N281" s="6" t="str">
        <f>IF(AND(ISNUMBER(F281),F281&gt;=0,OR(E281="PHP",E281="CNY"),OR(H281="已核实",H281="不适用"),I281&lt;&gt;"",J281&lt;&gt;"",ISNUMBER(K281),K281&gt;='00_审核入口'!$F$2,OR(H281&lt;&gt;"不适用",F281=0),OR(G281="",AND(ISNUMBER(G281),G281&gt;=0))),"完整","待补证")</f>
        <v>待补证</v>
      </c>
    </row>
    <row r="282" spans="1:14" ht="58" customHeight="1">
      <c r="A282" s="8" t="s">
        <v>180</v>
      </c>
      <c r="B282" s="8" t="s">
        <v>181</v>
      </c>
      <c r="C282" s="8" t="s">
        <v>521</v>
      </c>
      <c r="D282" s="8" t="s">
        <v>522</v>
      </c>
      <c r="E282" s="8"/>
      <c r="F282" s="8"/>
      <c r="G282" s="8"/>
      <c r="H282" s="8" t="s">
        <v>506</v>
      </c>
      <c r="I282" s="8"/>
      <c r="J282" s="8"/>
      <c r="L282" s="9">
        <f>IF(AND(N282="完整",ISNUMBER('03_逐品成本'!E20),'03_逐品成本'!E20&gt;0),ROUND(ROUND(F282*IF(E282="PHP",'03_逐品成本'!E20,1),10),2),"")</f>
        <v/>
      </c>
      <c r="M282" s="9">
        <f>IF(AND(N282="完整",ISNUMBER('03_逐品成本'!E20),'03_逐品成本'!E20&gt;0),ROUND(ROUND(IF(ISNUMBER(G282),G282,F282)*1*IF(E282="PHP",'03_逐品成本'!E20*0.95,1),10),2),"")</f>
        <v/>
      </c>
      <c r="N282" s="6" t="str">
        <f>IF(AND(ISNUMBER(F282),F282&gt;=0,OR(E282="PHP",E282="CNY"),OR(H282="已核实",H282="不适用"),I282&lt;&gt;"",J282&lt;&gt;"",ISNUMBER(K282),K282&gt;='00_审核入口'!$F$2,OR(H282&lt;&gt;"不适用",F282=0),OR(G282="",AND(ISNUMBER(G282),G282&gt;=0))),"完整","待补证")</f>
        <v>待补证</v>
      </c>
    </row>
    <row r="283" spans="1:14" ht="58" customHeight="1">
      <c r="A283" s="8" t="s">
        <v>180</v>
      </c>
      <c r="B283" s="8" t="s">
        <v>181</v>
      </c>
      <c r="C283" s="8" t="s">
        <v>523</v>
      </c>
      <c r="D283" s="8" t="s">
        <v>524</v>
      </c>
      <c r="E283" s="8"/>
      <c r="F283" s="8"/>
      <c r="G283" s="8"/>
      <c r="H283" s="8" t="s">
        <v>506</v>
      </c>
      <c r="I283" s="8"/>
      <c r="J283" s="8"/>
      <c r="L283" s="9">
        <f>IF(AND(N283="完整",ISNUMBER('03_逐品成本'!E20),'03_逐品成本'!E20&gt;0),ROUND(ROUND(F283*IF(E283="PHP",'03_逐品成本'!E20,1),10),2),"")</f>
        <v/>
      </c>
      <c r="M283" s="9">
        <f>IF(AND(N283="完整",ISNUMBER('03_逐品成本'!E20),'03_逐品成本'!E20&gt;0),ROUND(ROUND(IF(ISNUMBER(G283),G283,F283)*1.15*IF(E283="PHP",'03_逐品成本'!E20*0.95,1),10),2),"")</f>
        <v/>
      </c>
      <c r="N283" s="6" t="str">
        <f>IF(AND(ISNUMBER(F283),F283&gt;=0,OR(E283="PHP",E283="CNY"),OR(H283="已核实",H283="不适用"),I283&lt;&gt;"",J283&lt;&gt;"",ISNUMBER(K283),K283&gt;='00_审核入口'!$F$2,OR(H283&lt;&gt;"不适用",F283=0),OR(G283="",AND(ISNUMBER(G283),G283&gt;=0))),"完整","待补证")</f>
        <v>待补证</v>
      </c>
    </row>
    <row r="284" spans="1:14" ht="58" customHeight="1">
      <c r="A284" s="8" t="s">
        <v>180</v>
      </c>
      <c r="B284" s="8" t="s">
        <v>181</v>
      </c>
      <c r="C284" s="8" t="s">
        <v>525</v>
      </c>
      <c r="D284" s="8" t="s">
        <v>526</v>
      </c>
      <c r="E284" s="8"/>
      <c r="F284" s="8"/>
      <c r="G284" s="8"/>
      <c r="H284" s="8" t="s">
        <v>506</v>
      </c>
      <c r="I284" s="8"/>
      <c r="J284" s="8"/>
      <c r="L284" s="9">
        <f>IF(AND(N284="完整",ISNUMBER('03_逐品成本'!E20),'03_逐品成本'!E20&gt;0),ROUND(ROUND(F284*IF(E284="PHP",'03_逐品成本'!E20,1),10),2),"")</f>
        <v/>
      </c>
      <c r="M284" s="9">
        <f>IF(AND(N284="完整",ISNUMBER('03_逐品成本'!E20),'03_逐品成本'!E20&gt;0),ROUND(ROUND(IF(ISNUMBER(G284),G284,F284)*1.15*IF(E284="PHP",'03_逐品成本'!E20*0.95,1),10),2),"")</f>
        <v/>
      </c>
      <c r="N284" s="6" t="str">
        <f>IF(AND(ISNUMBER(F284),F284&gt;=0,OR(E284="PHP",E284="CNY"),OR(H284="已核实",H284="不适用"),I284&lt;&gt;"",J284&lt;&gt;"",ISNUMBER(K284),K284&gt;='00_审核入口'!$F$2,OR(H284&lt;&gt;"不适用",F284=0),OR(G284="",AND(ISNUMBER(G284),G284&gt;=0))),"完整","待补证")</f>
        <v>待补证</v>
      </c>
    </row>
    <row r="285" spans="1:14" ht="58" customHeight="1">
      <c r="A285" s="8" t="s">
        <v>180</v>
      </c>
      <c r="B285" s="8" t="s">
        <v>181</v>
      </c>
      <c r="C285" s="8" t="s">
        <v>527</v>
      </c>
      <c r="D285" s="8" t="s">
        <v>528</v>
      </c>
      <c r="E285" s="8"/>
      <c r="F285" s="8"/>
      <c r="G285" s="8"/>
      <c r="H285" s="8" t="s">
        <v>506</v>
      </c>
      <c r="I285" s="8"/>
      <c r="J285" s="8"/>
      <c r="L285" s="9">
        <f>IF(AND(N285="完整",ISNUMBER('03_逐品成本'!E20),'03_逐品成本'!E20&gt;0),ROUND(ROUND(F285*IF(E285="PHP",'03_逐品成本'!E20,1),10),2),"")</f>
        <v/>
      </c>
      <c r="M285" s="9">
        <f>IF(AND(N285="完整",ISNUMBER('03_逐品成本'!E20),'03_逐品成本'!E20&gt;0),ROUND(ROUND(IF(ISNUMBER(G285),G285,F285)*1.15*IF(E285="PHP",'03_逐品成本'!E20*0.95,1),10),2),"")</f>
        <v/>
      </c>
      <c r="N285" s="6" t="str">
        <f>IF(AND(ISNUMBER(F285),F285&gt;=0,OR(E285="PHP",E285="CNY"),OR(H285="已核实",H285="不适用"),I285&lt;&gt;"",J285&lt;&gt;"",ISNUMBER(K285),K285&gt;='00_审核入口'!$F$2,OR(H285&lt;&gt;"不适用",F285=0),OR(G285="",AND(ISNUMBER(G285),G285&gt;=0))),"完整","待补证")</f>
        <v>待补证</v>
      </c>
    </row>
    <row r="286" spans="1:14" ht="58" customHeight="1">
      <c r="A286" s="8" t="s">
        <v>180</v>
      </c>
      <c r="B286" s="8" t="s">
        <v>181</v>
      </c>
      <c r="C286" s="8" t="s">
        <v>529</v>
      </c>
      <c r="D286" s="8" t="s">
        <v>530</v>
      </c>
      <c r="E286" s="8"/>
      <c r="F286" s="8"/>
      <c r="G286" s="8"/>
      <c r="H286" s="8" t="s">
        <v>506</v>
      </c>
      <c r="I286" s="8"/>
      <c r="J286" s="8"/>
      <c r="L286" s="9">
        <f>IF(AND(N286="完整",ISNUMBER('03_逐品成本'!E20),'03_逐品成本'!E20&gt;0),ROUND(ROUND(F286*IF(E286="PHP",'03_逐品成本'!E20,1),10),2),"")</f>
        <v/>
      </c>
      <c r="M286" s="9">
        <f>IF(AND(N286="完整",ISNUMBER('03_逐品成本'!E20),'03_逐品成本'!E20&gt;0),ROUND(ROUND(IF(ISNUMBER(G286),G286,F286)*1*IF(E286="PHP",'03_逐品成本'!E20*0.95,1),10),2),"")</f>
        <v/>
      </c>
      <c r="N286" s="6" t="str">
        <f>IF(AND(ISNUMBER(F286),F286&gt;=0,OR(E286="PHP",E286="CNY"),OR(H286="已核实",H286="不适用",H286="预算"),I286&lt;&gt;"",J286&lt;&gt;"",ISNUMBER(K286),K286&gt;='00_审核入口'!$F$2,OR(H286&lt;&gt;"不适用",F286=0),OR(G286="",AND(ISNUMBER(G286),G286&gt;=0))),"完整","待补证")</f>
        <v>待补证</v>
      </c>
    </row>
    <row r="287" spans="1:14" ht="58" customHeight="1">
      <c r="A287" s="8" t="s">
        <v>180</v>
      </c>
      <c r="B287" s="8" t="s">
        <v>181</v>
      </c>
      <c r="C287" s="8" t="s">
        <v>531</v>
      </c>
      <c r="D287" s="8" t="s">
        <v>532</v>
      </c>
      <c r="E287" s="8"/>
      <c r="F287" s="8"/>
      <c r="G287" s="8"/>
      <c r="H287" s="8" t="s">
        <v>506</v>
      </c>
      <c r="I287" s="8"/>
      <c r="J287" s="8"/>
      <c r="L287" s="9">
        <f>IF(AND(N287="完整",ISNUMBER('03_逐品成本'!E20),'03_逐品成本'!E20&gt;0),ROUND(ROUND(F287*IF(E287="PHP",'03_逐品成本'!E20,1),10),2),"")</f>
        <v/>
      </c>
      <c r="M287" s="9">
        <f>IF(AND(N287="完整",ISNUMBER('03_逐品成本'!E20),'03_逐品成本'!E20&gt;0),ROUND(ROUND(IF(ISNUMBER(G287),G287,F287)*1*IF(E287="PHP",'03_逐品成本'!E20*0.95,1),10),2),"")</f>
        <v/>
      </c>
      <c r="N287" s="6" t="str">
        <f>IF(AND(ISNUMBER(F287),F287&gt;=0,OR(E287="PHP",E287="CNY"),OR(H287="已核实",H287="不适用",H287="预算"),I287&lt;&gt;"",J287&lt;&gt;"",ISNUMBER(K287),K287&gt;='00_审核入口'!$F$2,OR(H287&lt;&gt;"不适用",F287=0),OR(G287="",AND(ISNUMBER(G287),G287&gt;=0))),"完整","待补证")</f>
        <v>待补证</v>
      </c>
    </row>
    <row r="288" spans="1:14" ht="58" customHeight="1">
      <c r="A288" s="8" t="s">
        <v>180</v>
      </c>
      <c r="B288" s="8" t="s">
        <v>181</v>
      </c>
      <c r="C288" s="8" t="s">
        <v>533</v>
      </c>
      <c r="D288" s="8" t="s">
        <v>534</v>
      </c>
      <c r="E288" s="8"/>
      <c r="F288" s="8"/>
      <c r="G288" s="8"/>
      <c r="H288" s="8" t="s">
        <v>506</v>
      </c>
      <c r="I288" s="8"/>
      <c r="J288" s="8"/>
      <c r="L288" s="9">
        <f>IF(AND(N288="完整",ISNUMBER('03_逐品成本'!E20),'03_逐品成本'!E20&gt;0),ROUND(ROUND(F288*IF(E288="PHP",'03_逐品成本'!E20,1),10),2),"")</f>
        <v/>
      </c>
      <c r="M288" s="9">
        <f>IF(AND(N288="完整",ISNUMBER('03_逐品成本'!E20),'03_逐品成本'!E20&gt;0),ROUND(ROUND(IF(ISNUMBER(G288),G288,F288)*1*IF(E288="PHP",'03_逐品成本'!E20*0.95,1),10),2),"")</f>
        <v/>
      </c>
      <c r="N288" s="6" t="str">
        <f>IF(AND(ISNUMBER(F288),F288&gt;=0,OR(E288="PHP",E288="CNY"),OR(H288="已核实",H288="不适用",H288="预算"),I288&lt;&gt;"",J288&lt;&gt;"",ISNUMBER(K288),K288&gt;='00_审核入口'!$F$2,OR(H288&lt;&gt;"不适用",F288=0),OR(G288="",AND(ISNUMBER(G288),G288&gt;=0))),"完整","待补证")</f>
        <v>待补证</v>
      </c>
    </row>
    <row r="289" spans="1:14" ht="58" customHeight="1">
      <c r="A289" s="8" t="s">
        <v>180</v>
      </c>
      <c r="B289" s="8" t="s">
        <v>181</v>
      </c>
      <c r="C289" s="8" t="s">
        <v>535</v>
      </c>
      <c r="D289" s="8" t="s">
        <v>536</v>
      </c>
      <c r="E289" s="8"/>
      <c r="F289" s="8"/>
      <c r="G289" s="8"/>
      <c r="H289" s="8" t="s">
        <v>506</v>
      </c>
      <c r="I289" s="8"/>
      <c r="J289" s="8"/>
      <c r="L289" s="9">
        <f>IF(AND(N289="完整",ISNUMBER('03_逐品成本'!E20),'03_逐品成本'!E20&gt;0),ROUND(ROUND(F289*IF(E289="PHP",'03_逐品成本'!E20,1),10),2),"")</f>
        <v/>
      </c>
      <c r="M289" s="9">
        <f>IF(AND(N289="完整",ISNUMBER('03_逐品成本'!E20),'03_逐品成本'!E20&gt;0),ROUND(ROUND(IF(ISNUMBER(G289),G289,F289)*1*IF(E289="PHP",'03_逐品成本'!E20*0.95,1),10),2),"")</f>
        <v/>
      </c>
      <c r="N289" s="6" t="str">
        <f>IF(AND(ISNUMBER(F289),F289&gt;=0,OR(E289="PHP",E289="CNY"),OR(H289="已核实",H289="不适用"),I289&lt;&gt;"",J289&lt;&gt;"",ISNUMBER(K289),K289&gt;='00_审核入口'!$F$2,OR(H289&lt;&gt;"不适用",F289=0),OR(G289="",AND(ISNUMBER(G289),G289&gt;=0))),"完整","待补证")</f>
        <v>待补证</v>
      </c>
    </row>
    <row r="290" spans="1:14" ht="58" customHeight="1">
      <c r="A290" s="8" t="s">
        <v>180</v>
      </c>
      <c r="B290" s="8" t="s">
        <v>181</v>
      </c>
      <c r="C290" s="8" t="s">
        <v>537</v>
      </c>
      <c r="D290" s="8" t="s">
        <v>538</v>
      </c>
      <c r="E290" s="8"/>
      <c r="F290" s="8"/>
      <c r="G290" s="8"/>
      <c r="H290" s="8" t="s">
        <v>506</v>
      </c>
      <c r="I290" s="8"/>
      <c r="J290" s="8"/>
      <c r="L290" s="9">
        <f>IF(AND(N290="完整",ISNUMBER('03_逐品成本'!E20),'03_逐品成本'!E20&gt;0),ROUND(ROUND(F290*IF(E290="PHP",'03_逐品成本'!E20,1),10),2),"")</f>
        <v/>
      </c>
      <c r="M290" s="9">
        <f>IF(AND(N290="完整",ISNUMBER('03_逐品成本'!E20),'03_逐品成本'!E20&gt;0),ROUND(ROUND(IF(ISNUMBER(G290),G290,F290)*1*IF(E290="PHP",'03_逐品成本'!E20*0.95,1),10),2),"")</f>
        <v/>
      </c>
      <c r="N290" s="6" t="str">
        <f>IF(AND(ISNUMBER(F290),F290&gt;=0,OR(E290="PHP",E290="CNY"),OR(H290="已核实",H290="不适用"),I290&lt;&gt;"",J290&lt;&gt;"",ISNUMBER(K290),K290&gt;='00_审核入口'!$F$2,OR(H290&lt;&gt;"不适用",F290=0),OR(G290="",AND(ISNUMBER(G290),G290&gt;=0))),"完整","待补证")</f>
        <v>待补证</v>
      </c>
    </row>
    <row r="291" spans="1:14" ht="58" customHeight="1">
      <c r="A291" s="8" t="s">
        <v>180</v>
      </c>
      <c r="B291" s="8" t="s">
        <v>181</v>
      </c>
      <c r="C291" s="8" t="s">
        <v>539</v>
      </c>
      <c r="D291" s="8" t="s">
        <v>540</v>
      </c>
      <c r="E291" s="8"/>
      <c r="F291" s="8"/>
      <c r="G291" s="8"/>
      <c r="H291" s="8" t="s">
        <v>506</v>
      </c>
      <c r="I291" s="8"/>
      <c r="J291" s="8"/>
      <c r="L291" s="9">
        <f>IF(AND(N291="完整",ISNUMBER('03_逐品成本'!E20),'03_逐品成本'!E20&gt;0),ROUND(ROUND(F291*IF(E291="PHP",'03_逐品成本'!E20,1),10),2),"")</f>
        <v/>
      </c>
      <c r="M291" s="9">
        <f>IF(AND(N291="完整",ISNUMBER('03_逐品成本'!E20),'03_逐品成本'!E20&gt;0),ROUND(ROUND(IF(ISNUMBER(G291),G291,F291)*1*IF(E291="PHP",'03_逐品成本'!E20*0.95,1),10),2),"")</f>
        <v/>
      </c>
      <c r="N291" s="6" t="str">
        <f>IF(AND(ISNUMBER(F291),F291&gt;=0,OR(E291="PHP",E291="CNY"),OR(H291="已核实",H291="不适用",H291="预算"),I291&lt;&gt;"",J291&lt;&gt;"",ISNUMBER(K291),K291&gt;='00_审核入口'!$F$2,OR(H291&lt;&gt;"不适用",F291=0),OR(G291="",AND(ISNUMBER(G291),G291&gt;=0))),"完整","待补证")</f>
        <v>待补证</v>
      </c>
    </row>
    <row r="292" spans="1:14" ht="58" customHeight="1">
      <c r="A292" s="8" t="s">
        <v>180</v>
      </c>
      <c r="B292" s="8" t="s">
        <v>181</v>
      </c>
      <c r="C292" s="8" t="s">
        <v>541</v>
      </c>
      <c r="D292" s="8" t="s">
        <v>542</v>
      </c>
      <c r="E292" s="8"/>
      <c r="F292" s="8"/>
      <c r="G292" s="8"/>
      <c r="H292" s="8" t="s">
        <v>506</v>
      </c>
      <c r="I292" s="8"/>
      <c r="J292" s="8"/>
      <c r="L292" s="9">
        <f>IF(AND(N292="完整",ISNUMBER('03_逐品成本'!E20),'03_逐品成本'!E20&gt;0),ROUND(ROUND(F292*IF(E292="PHP",'03_逐品成本'!E20,1),10),2),"")</f>
        <v/>
      </c>
      <c r="M292" s="9">
        <f>IF(AND(N292="完整",ISNUMBER('03_逐品成本'!E20),'03_逐品成本'!E20&gt;0),ROUND(ROUND(IF(ISNUMBER(G292),G292,F292)*1*IF(E292="PHP",'03_逐品成本'!E20*0.95,1),10),2),"")</f>
        <v/>
      </c>
      <c r="N292" s="6" t="str">
        <f>IF(AND(ISNUMBER(F292),F292&gt;=0,OR(E292="PHP",E292="CNY"),OR(H292="已核实",H292="不适用",H292="预算"),I292&lt;&gt;"",J292&lt;&gt;"",ISNUMBER(K292),K292&gt;='00_审核入口'!$F$2,OR(H292&lt;&gt;"不适用",F292=0),OR(G292="",AND(ISNUMBER(G292),G292&gt;=0))),"完整","待补证")</f>
        <v>待补证</v>
      </c>
    </row>
    <row r="293" spans="1:14" ht="58" customHeight="1">
      <c r="A293" s="8" t="s">
        <v>188</v>
      </c>
      <c r="B293" s="8" t="s">
        <v>189</v>
      </c>
      <c r="C293" s="8" t="s">
        <v>507</v>
      </c>
      <c r="D293" s="8" t="s">
        <v>508</v>
      </c>
      <c r="E293" s="8"/>
      <c r="F293" s="8"/>
      <c r="G293" s="8"/>
      <c r="H293" s="8" t="s">
        <v>506</v>
      </c>
      <c r="I293" s="8"/>
      <c r="J293" s="8"/>
      <c r="L293" s="9">
        <f>IF(AND(N293="完整",ISNUMBER('03_逐品成本'!E21),'03_逐品成本'!E21&gt;0),ROUND(ROUND(F293*IF(E293="PHP",'03_逐品成本'!E21,1),10),2),"")</f>
        <v/>
      </c>
      <c r="M293" s="9">
        <f>IF(AND(N293="完整",ISNUMBER('03_逐品成本'!E21),'03_逐品成本'!E21&gt;0),ROUND(ROUND(IF(ISNUMBER(G293),G293,F293)*1*IF(E293="PHP",'03_逐品成本'!E21*0.95,1),10),2),"")</f>
        <v/>
      </c>
      <c r="N293" s="6" t="str">
        <f>IF(AND(ISNUMBER(F293),F293&gt;=0,OR(E293="PHP",E293="CNY"),OR(H293="已核实",H293="不适用"),I293&lt;&gt;"",J293&lt;&gt;"",ISNUMBER(K293),K293&gt;='00_审核入口'!$F$2,OR(H293&lt;&gt;"不适用",F293=0),OR(G293="",AND(ISNUMBER(G293),G293&gt;=0))),"完整","待补证")</f>
        <v>待补证</v>
      </c>
    </row>
    <row r="294" spans="1:14" ht="58" customHeight="1">
      <c r="A294" s="8" t="s">
        <v>188</v>
      </c>
      <c r="B294" s="8" t="s">
        <v>189</v>
      </c>
      <c r="C294" s="8" t="s">
        <v>509</v>
      </c>
      <c r="D294" s="8" t="s">
        <v>510</v>
      </c>
      <c r="E294" s="8"/>
      <c r="F294" s="8"/>
      <c r="G294" s="8"/>
      <c r="H294" s="8" t="s">
        <v>506</v>
      </c>
      <c r="I294" s="8"/>
      <c r="J294" s="8"/>
      <c r="L294" s="9">
        <f>IF(AND(N294="完整",ISNUMBER('03_逐品成本'!E21),'03_逐品成本'!E21&gt;0),ROUND(ROUND(F294*IF(E294="PHP",'03_逐品成本'!E21,1),10),2),"")</f>
        <v/>
      </c>
      <c r="M294" s="9">
        <f>IF(AND(N294="完整",ISNUMBER('03_逐品成本'!E21),'03_逐品成本'!E21&gt;0),ROUND(ROUND(IF(ISNUMBER(G294),G294,F294)*1*IF(E294="PHP",'03_逐品成本'!E21*0.95,1),10),2),"")</f>
        <v/>
      </c>
      <c r="N294" s="6" t="str">
        <f>IF(AND(ISNUMBER(F294),F294&gt;=0,OR(E294="PHP",E294="CNY"),OR(H294="已核实",H294="不适用"),I294&lt;&gt;"",J294&lt;&gt;"",ISNUMBER(K294),K294&gt;='00_审核入口'!$F$2,OR(H294&lt;&gt;"不适用",F294=0),OR(G294="",AND(ISNUMBER(G294),G294&gt;=0)),ISNUMBER(G294),G294&gt;=0),"完整","待补证")</f>
        <v>待补证</v>
      </c>
    </row>
    <row r="295" spans="1:14" ht="58" customHeight="1">
      <c r="A295" s="8" t="s">
        <v>188</v>
      </c>
      <c r="B295" s="8" t="s">
        <v>189</v>
      </c>
      <c r="C295" s="8" t="s">
        <v>511</v>
      </c>
      <c r="D295" s="8" t="s">
        <v>512</v>
      </c>
      <c r="E295" s="8"/>
      <c r="F295" s="8"/>
      <c r="G295" s="8"/>
      <c r="H295" s="8" t="s">
        <v>506</v>
      </c>
      <c r="I295" s="8"/>
      <c r="J295" s="8"/>
      <c r="L295" s="9">
        <f>IF(AND(N295="完整",ISNUMBER('03_逐品成本'!E21),'03_逐品成本'!E21&gt;0),ROUND(ROUND(F295*IF(E295="PHP",'03_逐品成本'!E21,1),10),2),"")</f>
        <v/>
      </c>
      <c r="M295" s="9">
        <f>IF(AND(N295="完整",ISNUMBER('03_逐品成本'!E21),'03_逐品成本'!E21&gt;0),ROUND(ROUND(IF(ISNUMBER(G295),G295,F295)*1*IF(E295="PHP",'03_逐品成本'!E21*0.95,1),10),2),"")</f>
        <v/>
      </c>
      <c r="N295" s="6" t="str">
        <f>IF(AND(ISNUMBER(F295),F295&gt;=0,OR(E295="PHP",E295="CNY"),OR(H295="已核实",H295="不适用"),I295&lt;&gt;"",J295&lt;&gt;"",ISNUMBER(K295),K295&gt;='00_审核入口'!$F$2,OR(H295&lt;&gt;"不适用",F295=0),OR(G295="",AND(ISNUMBER(G295),G295&gt;=0))),"完整","待补证")</f>
        <v>待补证</v>
      </c>
    </row>
    <row r="296" spans="1:14" ht="58" customHeight="1">
      <c r="A296" s="8" t="s">
        <v>188</v>
      </c>
      <c r="B296" s="8" t="s">
        <v>189</v>
      </c>
      <c r="C296" s="8" t="s">
        <v>513</v>
      </c>
      <c r="D296" s="8" t="s">
        <v>514</v>
      </c>
      <c r="E296" s="8"/>
      <c r="F296" s="8"/>
      <c r="G296" s="8"/>
      <c r="H296" s="8" t="s">
        <v>506</v>
      </c>
      <c r="I296" s="8"/>
      <c r="J296" s="8"/>
      <c r="L296" s="9">
        <f>IF(AND(N296="完整",ISNUMBER('03_逐品成本'!E21),'03_逐品成本'!E21&gt;0),ROUND(ROUND(F296*IF(E296="PHP",'03_逐品成本'!E21,1),10),2),"")</f>
        <v/>
      </c>
      <c r="M296" s="9">
        <f>IF(AND(N296="完整",ISNUMBER('03_逐品成本'!E21),'03_逐品成本'!E21&gt;0),ROUND(ROUND(IF(ISNUMBER(G296),G296,F296)*1*IF(E296="PHP",'03_逐品成本'!E21*0.95,1),10),2),"")</f>
        <v/>
      </c>
      <c r="N296" s="6" t="str">
        <f>IF(AND(ISNUMBER(F296),F296&gt;=0,OR(E296="PHP",E296="CNY"),OR(H296="已核实",H296="不适用"),I296&lt;&gt;"",J296&lt;&gt;"",ISNUMBER(K296),K296&gt;='00_审核入口'!$F$2,OR(H296&lt;&gt;"不适用",F296=0),OR(G296="",AND(ISNUMBER(G296),G296&gt;=0))),"完整","待补证")</f>
        <v>待补证</v>
      </c>
    </row>
    <row r="297" spans="1:14" ht="58" customHeight="1">
      <c r="A297" s="8" t="s">
        <v>188</v>
      </c>
      <c r="B297" s="8" t="s">
        <v>189</v>
      </c>
      <c r="C297" s="8" t="s">
        <v>515</v>
      </c>
      <c r="D297" s="8" t="s">
        <v>516</v>
      </c>
      <c r="E297" s="8"/>
      <c r="F297" s="8"/>
      <c r="G297" s="8"/>
      <c r="H297" s="8" t="s">
        <v>506</v>
      </c>
      <c r="I297" s="8"/>
      <c r="J297" s="8"/>
      <c r="L297" s="9">
        <f>IF(AND(N297="完整",ISNUMBER('03_逐品成本'!E21),'03_逐品成本'!E21&gt;0),ROUND(ROUND(F297*IF(E297="PHP",'03_逐品成本'!E21,1),10),2),"")</f>
        <v/>
      </c>
      <c r="M297" s="9">
        <f>IF(AND(N297="完整",ISNUMBER('03_逐品成本'!E21),'03_逐品成本'!E21&gt;0),ROUND(ROUND(IF(ISNUMBER(G297),G297,F297)*1*IF(E297="PHP",'03_逐品成本'!E21*0.95,1),10),2),"")</f>
        <v/>
      </c>
      <c r="N297" s="6" t="str">
        <f>IF(AND(ISNUMBER(F297),F297&gt;=0,OR(E297="PHP",E297="CNY"),OR(H297="已核实",H297="不适用"),I297&lt;&gt;"",J297&lt;&gt;"",ISNUMBER(K297),K297&gt;='00_审核入口'!$F$2,OR(H297&lt;&gt;"不适用",F297=0),OR(G297="",AND(ISNUMBER(G297),G297&gt;=0))),"完整","待补证")</f>
        <v>待补证</v>
      </c>
    </row>
    <row r="298" spans="1:14" ht="58" customHeight="1">
      <c r="A298" s="8" t="s">
        <v>188</v>
      </c>
      <c r="B298" s="8" t="s">
        <v>189</v>
      </c>
      <c r="C298" s="8" t="s">
        <v>517</v>
      </c>
      <c r="D298" s="8" t="s">
        <v>518</v>
      </c>
      <c r="E298" s="8"/>
      <c r="F298" s="8"/>
      <c r="G298" s="8"/>
      <c r="H298" s="8" t="s">
        <v>506</v>
      </c>
      <c r="I298" s="8"/>
      <c r="J298" s="8"/>
      <c r="L298" s="9">
        <f>IF(AND(N298="完整",ISNUMBER('03_逐品成本'!E21),'03_逐品成本'!E21&gt;0),ROUND(ROUND(F298*IF(E298="PHP",'03_逐品成本'!E21,1),10),2),"")</f>
        <v/>
      </c>
      <c r="M298" s="9">
        <f>IF(AND(N298="完整",ISNUMBER('03_逐品成本'!E21),'03_逐品成本'!E21&gt;0),ROUND(ROUND(IF(ISNUMBER(G298),G298,F298)*1*IF(E298="PHP",'03_逐品成本'!E21*0.95,1),10),2),"")</f>
        <v/>
      </c>
      <c r="N298" s="6" t="str">
        <f>IF(AND(ISNUMBER(F298),F298&gt;=0,OR(E298="PHP",E298="CNY"),OR(H298="已核实",H298="不适用"),I298&lt;&gt;"",J298&lt;&gt;"",ISNUMBER(K298),K298&gt;='00_审核入口'!$F$2,OR(H298&lt;&gt;"不适用",F298=0),OR(G298="",AND(ISNUMBER(G298),G298&gt;=0))),"完整","待补证")</f>
        <v>待补证</v>
      </c>
    </row>
    <row r="299" spans="1:14" ht="58" customHeight="1">
      <c r="A299" s="8" t="s">
        <v>188</v>
      </c>
      <c r="B299" s="8" t="s">
        <v>189</v>
      </c>
      <c r="C299" s="8" t="s">
        <v>519</v>
      </c>
      <c r="D299" s="8" t="s">
        <v>520</v>
      </c>
      <c r="E299" s="8"/>
      <c r="F299" s="8"/>
      <c r="G299" s="8"/>
      <c r="H299" s="8" t="s">
        <v>506</v>
      </c>
      <c r="I299" s="8"/>
      <c r="J299" s="8"/>
      <c r="L299" s="9">
        <f>IF(AND(N299="完整",ISNUMBER('03_逐品成本'!E21),'03_逐品成本'!E21&gt;0),ROUND(ROUND(F299*IF(E299="PHP",'03_逐品成本'!E21,1),10),2),"")</f>
        <v/>
      </c>
      <c r="M299" s="9">
        <f>IF(AND(N299="完整",ISNUMBER('03_逐品成本'!E21),'03_逐品成本'!E21&gt;0),ROUND(ROUND(IF(ISNUMBER(G299),G299,F299)*1*IF(E299="PHP",'03_逐品成本'!E21*0.95,1),10),2),"")</f>
        <v/>
      </c>
      <c r="N299" s="6" t="str">
        <f>IF(AND(ISNUMBER(F299),F299&gt;=0,OR(E299="PHP",E299="CNY"),OR(H299="已核实",H299="不适用"),I299&lt;&gt;"",J299&lt;&gt;"",ISNUMBER(K299),K299&gt;='00_审核入口'!$F$2,OR(H299&lt;&gt;"不适用",F299=0),OR(G299="",AND(ISNUMBER(G299),G299&gt;=0))),"完整","待补证")</f>
        <v>待补证</v>
      </c>
    </row>
    <row r="300" spans="1:14" ht="58" customHeight="1">
      <c r="A300" s="8" t="s">
        <v>188</v>
      </c>
      <c r="B300" s="8" t="s">
        <v>189</v>
      </c>
      <c r="C300" s="8" t="s">
        <v>521</v>
      </c>
      <c r="D300" s="8" t="s">
        <v>522</v>
      </c>
      <c r="E300" s="8"/>
      <c r="F300" s="8"/>
      <c r="G300" s="8"/>
      <c r="H300" s="8" t="s">
        <v>506</v>
      </c>
      <c r="I300" s="8"/>
      <c r="J300" s="8"/>
      <c r="L300" s="9">
        <f>IF(AND(N300="完整",ISNUMBER('03_逐品成本'!E21),'03_逐品成本'!E21&gt;0),ROUND(ROUND(F300*IF(E300="PHP",'03_逐品成本'!E21,1),10),2),"")</f>
        <v/>
      </c>
      <c r="M300" s="9">
        <f>IF(AND(N300="完整",ISNUMBER('03_逐品成本'!E21),'03_逐品成本'!E21&gt;0),ROUND(ROUND(IF(ISNUMBER(G300),G300,F300)*1*IF(E300="PHP",'03_逐品成本'!E21*0.95,1),10),2),"")</f>
        <v/>
      </c>
      <c r="N300" s="6" t="str">
        <f>IF(AND(ISNUMBER(F300),F300&gt;=0,OR(E300="PHP",E300="CNY"),OR(H300="已核实",H300="不适用"),I300&lt;&gt;"",J300&lt;&gt;"",ISNUMBER(K300),K300&gt;='00_审核入口'!$F$2,OR(H300&lt;&gt;"不适用",F300=0),OR(G300="",AND(ISNUMBER(G300),G300&gt;=0))),"完整","待补证")</f>
        <v>待补证</v>
      </c>
    </row>
    <row r="301" spans="1:14" ht="58" customHeight="1">
      <c r="A301" s="8" t="s">
        <v>188</v>
      </c>
      <c r="B301" s="8" t="s">
        <v>189</v>
      </c>
      <c r="C301" s="8" t="s">
        <v>523</v>
      </c>
      <c r="D301" s="8" t="s">
        <v>524</v>
      </c>
      <c r="E301" s="8"/>
      <c r="F301" s="8"/>
      <c r="G301" s="8"/>
      <c r="H301" s="8" t="s">
        <v>506</v>
      </c>
      <c r="I301" s="8"/>
      <c r="J301" s="8"/>
      <c r="L301" s="9">
        <f>IF(AND(N301="完整",ISNUMBER('03_逐品成本'!E21),'03_逐品成本'!E21&gt;0),ROUND(ROUND(F301*IF(E301="PHP",'03_逐品成本'!E21,1),10),2),"")</f>
        <v/>
      </c>
      <c r="M301" s="9">
        <f>IF(AND(N301="完整",ISNUMBER('03_逐品成本'!E21),'03_逐品成本'!E21&gt;0),ROUND(ROUND(IF(ISNUMBER(G301),G301,F301)*1.15*IF(E301="PHP",'03_逐品成本'!E21*0.95,1),10),2),"")</f>
        <v/>
      </c>
      <c r="N301" s="6" t="str">
        <f>IF(AND(ISNUMBER(F301),F301&gt;=0,OR(E301="PHP",E301="CNY"),OR(H301="已核实",H301="不适用"),I301&lt;&gt;"",J301&lt;&gt;"",ISNUMBER(K301),K301&gt;='00_审核入口'!$F$2,OR(H301&lt;&gt;"不适用",F301=0),OR(G301="",AND(ISNUMBER(G301),G301&gt;=0))),"完整","待补证")</f>
        <v>待补证</v>
      </c>
    </row>
    <row r="302" spans="1:14" ht="58" customHeight="1">
      <c r="A302" s="8" t="s">
        <v>188</v>
      </c>
      <c r="B302" s="8" t="s">
        <v>189</v>
      </c>
      <c r="C302" s="8" t="s">
        <v>525</v>
      </c>
      <c r="D302" s="8" t="s">
        <v>526</v>
      </c>
      <c r="E302" s="8"/>
      <c r="F302" s="8"/>
      <c r="G302" s="8"/>
      <c r="H302" s="8" t="s">
        <v>506</v>
      </c>
      <c r="I302" s="8"/>
      <c r="J302" s="8"/>
      <c r="L302" s="9">
        <f>IF(AND(N302="完整",ISNUMBER('03_逐品成本'!E21),'03_逐品成本'!E21&gt;0),ROUND(ROUND(F302*IF(E302="PHP",'03_逐品成本'!E21,1),10),2),"")</f>
        <v/>
      </c>
      <c r="M302" s="9">
        <f>IF(AND(N302="完整",ISNUMBER('03_逐品成本'!E21),'03_逐品成本'!E21&gt;0),ROUND(ROUND(IF(ISNUMBER(G302),G302,F302)*1.15*IF(E302="PHP",'03_逐品成本'!E21*0.95,1),10),2),"")</f>
        <v/>
      </c>
      <c r="N302" s="6" t="str">
        <f>IF(AND(ISNUMBER(F302),F302&gt;=0,OR(E302="PHP",E302="CNY"),OR(H302="已核实",H302="不适用"),I302&lt;&gt;"",J302&lt;&gt;"",ISNUMBER(K302),K302&gt;='00_审核入口'!$F$2,OR(H302&lt;&gt;"不适用",F302=0),OR(G302="",AND(ISNUMBER(G302),G302&gt;=0))),"完整","待补证")</f>
        <v>待补证</v>
      </c>
    </row>
    <row r="303" spans="1:14" ht="58" customHeight="1">
      <c r="A303" s="8" t="s">
        <v>188</v>
      </c>
      <c r="B303" s="8" t="s">
        <v>189</v>
      </c>
      <c r="C303" s="8" t="s">
        <v>527</v>
      </c>
      <c r="D303" s="8" t="s">
        <v>528</v>
      </c>
      <c r="E303" s="8"/>
      <c r="F303" s="8"/>
      <c r="G303" s="8"/>
      <c r="H303" s="8" t="s">
        <v>506</v>
      </c>
      <c r="I303" s="8"/>
      <c r="J303" s="8"/>
      <c r="L303" s="9">
        <f>IF(AND(N303="完整",ISNUMBER('03_逐品成本'!E21),'03_逐品成本'!E21&gt;0),ROUND(ROUND(F303*IF(E303="PHP",'03_逐品成本'!E21,1),10),2),"")</f>
        <v/>
      </c>
      <c r="M303" s="9">
        <f>IF(AND(N303="完整",ISNUMBER('03_逐品成本'!E21),'03_逐品成本'!E21&gt;0),ROUND(ROUND(IF(ISNUMBER(G303),G303,F303)*1.15*IF(E303="PHP",'03_逐品成本'!E21*0.95,1),10),2),"")</f>
        <v/>
      </c>
      <c r="N303" s="6" t="str">
        <f>IF(AND(ISNUMBER(F303),F303&gt;=0,OR(E303="PHP",E303="CNY"),OR(H303="已核实",H303="不适用"),I303&lt;&gt;"",J303&lt;&gt;"",ISNUMBER(K303),K303&gt;='00_审核入口'!$F$2,OR(H303&lt;&gt;"不适用",F303=0),OR(G303="",AND(ISNUMBER(G303),G303&gt;=0))),"完整","待补证")</f>
        <v>待补证</v>
      </c>
    </row>
    <row r="304" spans="1:14" ht="58" customHeight="1">
      <c r="A304" s="8" t="s">
        <v>188</v>
      </c>
      <c r="B304" s="8" t="s">
        <v>189</v>
      </c>
      <c r="C304" s="8" t="s">
        <v>529</v>
      </c>
      <c r="D304" s="8" t="s">
        <v>530</v>
      </c>
      <c r="E304" s="8"/>
      <c r="F304" s="8"/>
      <c r="G304" s="8"/>
      <c r="H304" s="8" t="s">
        <v>506</v>
      </c>
      <c r="I304" s="8"/>
      <c r="J304" s="8"/>
      <c r="L304" s="9">
        <f>IF(AND(N304="完整",ISNUMBER('03_逐品成本'!E21),'03_逐品成本'!E21&gt;0),ROUND(ROUND(F304*IF(E304="PHP",'03_逐品成本'!E21,1),10),2),"")</f>
        <v/>
      </c>
      <c r="M304" s="9">
        <f>IF(AND(N304="完整",ISNUMBER('03_逐品成本'!E21),'03_逐品成本'!E21&gt;0),ROUND(ROUND(IF(ISNUMBER(G304),G304,F304)*1*IF(E304="PHP",'03_逐品成本'!E21*0.95,1),10),2),"")</f>
        <v/>
      </c>
      <c r="N304" s="6" t="str">
        <f>IF(AND(ISNUMBER(F304),F304&gt;=0,OR(E304="PHP",E304="CNY"),OR(H304="已核实",H304="不适用",H304="预算"),I304&lt;&gt;"",J304&lt;&gt;"",ISNUMBER(K304),K304&gt;='00_审核入口'!$F$2,OR(H304&lt;&gt;"不适用",F304=0),OR(G304="",AND(ISNUMBER(G304),G304&gt;=0))),"完整","待补证")</f>
        <v>待补证</v>
      </c>
    </row>
    <row r="305" spans="1:14" ht="58" customHeight="1">
      <c r="A305" s="8" t="s">
        <v>188</v>
      </c>
      <c r="B305" s="8" t="s">
        <v>189</v>
      </c>
      <c r="C305" s="8" t="s">
        <v>531</v>
      </c>
      <c r="D305" s="8" t="s">
        <v>532</v>
      </c>
      <c r="E305" s="8"/>
      <c r="F305" s="8"/>
      <c r="G305" s="8"/>
      <c r="H305" s="8" t="s">
        <v>506</v>
      </c>
      <c r="I305" s="8"/>
      <c r="J305" s="8"/>
      <c r="L305" s="9">
        <f>IF(AND(N305="完整",ISNUMBER('03_逐品成本'!E21),'03_逐品成本'!E21&gt;0),ROUND(ROUND(F305*IF(E305="PHP",'03_逐品成本'!E21,1),10),2),"")</f>
        <v/>
      </c>
      <c r="M305" s="9">
        <f>IF(AND(N305="完整",ISNUMBER('03_逐品成本'!E21),'03_逐品成本'!E21&gt;0),ROUND(ROUND(IF(ISNUMBER(G305),G305,F305)*1*IF(E305="PHP",'03_逐品成本'!E21*0.95,1),10),2),"")</f>
        <v/>
      </c>
      <c r="N305" s="6" t="str">
        <f>IF(AND(ISNUMBER(F305),F305&gt;=0,OR(E305="PHP",E305="CNY"),OR(H305="已核实",H305="不适用",H305="预算"),I305&lt;&gt;"",J305&lt;&gt;"",ISNUMBER(K305),K305&gt;='00_审核入口'!$F$2,OR(H305&lt;&gt;"不适用",F305=0),OR(G305="",AND(ISNUMBER(G305),G305&gt;=0))),"完整","待补证")</f>
        <v>待补证</v>
      </c>
    </row>
    <row r="306" spans="1:14" ht="58" customHeight="1">
      <c r="A306" s="8" t="s">
        <v>188</v>
      </c>
      <c r="B306" s="8" t="s">
        <v>189</v>
      </c>
      <c r="C306" s="8" t="s">
        <v>533</v>
      </c>
      <c r="D306" s="8" t="s">
        <v>534</v>
      </c>
      <c r="E306" s="8"/>
      <c r="F306" s="8"/>
      <c r="G306" s="8"/>
      <c r="H306" s="8" t="s">
        <v>506</v>
      </c>
      <c r="I306" s="8"/>
      <c r="J306" s="8"/>
      <c r="L306" s="9">
        <f>IF(AND(N306="完整",ISNUMBER('03_逐品成本'!E21),'03_逐品成本'!E21&gt;0),ROUND(ROUND(F306*IF(E306="PHP",'03_逐品成本'!E21,1),10),2),"")</f>
        <v/>
      </c>
      <c r="M306" s="9">
        <f>IF(AND(N306="完整",ISNUMBER('03_逐品成本'!E21),'03_逐品成本'!E21&gt;0),ROUND(ROUND(IF(ISNUMBER(G306),G306,F306)*1*IF(E306="PHP",'03_逐品成本'!E21*0.95,1),10),2),"")</f>
        <v/>
      </c>
      <c r="N306" s="6" t="str">
        <f>IF(AND(ISNUMBER(F306),F306&gt;=0,OR(E306="PHP",E306="CNY"),OR(H306="已核实",H306="不适用",H306="预算"),I306&lt;&gt;"",J306&lt;&gt;"",ISNUMBER(K306),K306&gt;='00_审核入口'!$F$2,OR(H306&lt;&gt;"不适用",F306=0),OR(G306="",AND(ISNUMBER(G306),G306&gt;=0))),"完整","待补证")</f>
        <v>待补证</v>
      </c>
    </row>
    <row r="307" spans="1:14" ht="58" customHeight="1">
      <c r="A307" s="8" t="s">
        <v>188</v>
      </c>
      <c r="B307" s="8" t="s">
        <v>189</v>
      </c>
      <c r="C307" s="8" t="s">
        <v>535</v>
      </c>
      <c r="D307" s="8" t="s">
        <v>536</v>
      </c>
      <c r="E307" s="8"/>
      <c r="F307" s="8"/>
      <c r="G307" s="8"/>
      <c r="H307" s="8" t="s">
        <v>506</v>
      </c>
      <c r="I307" s="8"/>
      <c r="J307" s="8"/>
      <c r="L307" s="9">
        <f>IF(AND(N307="完整",ISNUMBER('03_逐品成本'!E21),'03_逐品成本'!E21&gt;0),ROUND(ROUND(F307*IF(E307="PHP",'03_逐品成本'!E21,1),10),2),"")</f>
        <v/>
      </c>
      <c r="M307" s="9">
        <f>IF(AND(N307="完整",ISNUMBER('03_逐品成本'!E21),'03_逐品成本'!E21&gt;0),ROUND(ROUND(IF(ISNUMBER(G307),G307,F307)*1*IF(E307="PHP",'03_逐品成本'!E21*0.95,1),10),2),"")</f>
        <v/>
      </c>
      <c r="N307" s="6" t="str">
        <f>IF(AND(ISNUMBER(F307),F307&gt;=0,OR(E307="PHP",E307="CNY"),OR(H307="已核实",H307="不适用"),I307&lt;&gt;"",J307&lt;&gt;"",ISNUMBER(K307),K307&gt;='00_审核入口'!$F$2,OR(H307&lt;&gt;"不适用",F307=0),OR(G307="",AND(ISNUMBER(G307),G307&gt;=0))),"完整","待补证")</f>
        <v>待补证</v>
      </c>
    </row>
    <row r="308" spans="1:14" ht="58" customHeight="1">
      <c r="A308" s="8" t="s">
        <v>188</v>
      </c>
      <c r="B308" s="8" t="s">
        <v>189</v>
      </c>
      <c r="C308" s="8" t="s">
        <v>537</v>
      </c>
      <c r="D308" s="8" t="s">
        <v>538</v>
      </c>
      <c r="E308" s="8"/>
      <c r="F308" s="8"/>
      <c r="G308" s="8"/>
      <c r="H308" s="8" t="s">
        <v>506</v>
      </c>
      <c r="I308" s="8"/>
      <c r="J308" s="8"/>
      <c r="L308" s="9">
        <f>IF(AND(N308="完整",ISNUMBER('03_逐品成本'!E21),'03_逐品成本'!E21&gt;0),ROUND(ROUND(F308*IF(E308="PHP",'03_逐品成本'!E21,1),10),2),"")</f>
        <v/>
      </c>
      <c r="M308" s="9">
        <f>IF(AND(N308="完整",ISNUMBER('03_逐品成本'!E21),'03_逐品成本'!E21&gt;0),ROUND(ROUND(IF(ISNUMBER(G308),G308,F308)*1*IF(E308="PHP",'03_逐品成本'!E21*0.95,1),10),2),"")</f>
        <v/>
      </c>
      <c r="N308" s="6" t="str">
        <f>IF(AND(ISNUMBER(F308),F308&gt;=0,OR(E308="PHP",E308="CNY"),OR(H308="已核实",H308="不适用"),I308&lt;&gt;"",J308&lt;&gt;"",ISNUMBER(K308),K308&gt;='00_审核入口'!$F$2,OR(H308&lt;&gt;"不适用",F308=0),OR(G308="",AND(ISNUMBER(G308),G308&gt;=0))),"完整","待补证")</f>
        <v>待补证</v>
      </c>
    </row>
    <row r="309" spans="1:14" ht="58" customHeight="1">
      <c r="A309" s="8" t="s">
        <v>188</v>
      </c>
      <c r="B309" s="8" t="s">
        <v>189</v>
      </c>
      <c r="C309" s="8" t="s">
        <v>539</v>
      </c>
      <c r="D309" s="8" t="s">
        <v>540</v>
      </c>
      <c r="E309" s="8"/>
      <c r="F309" s="8"/>
      <c r="G309" s="8"/>
      <c r="H309" s="8" t="s">
        <v>506</v>
      </c>
      <c r="I309" s="8"/>
      <c r="J309" s="8"/>
      <c r="L309" s="9">
        <f>IF(AND(N309="完整",ISNUMBER('03_逐品成本'!E21),'03_逐品成本'!E21&gt;0),ROUND(ROUND(F309*IF(E309="PHP",'03_逐品成本'!E21,1),10),2),"")</f>
        <v/>
      </c>
      <c r="M309" s="9">
        <f>IF(AND(N309="完整",ISNUMBER('03_逐品成本'!E21),'03_逐品成本'!E21&gt;0),ROUND(ROUND(IF(ISNUMBER(G309),G309,F309)*1*IF(E309="PHP",'03_逐品成本'!E21*0.95,1),10),2),"")</f>
        <v/>
      </c>
      <c r="N309" s="6" t="str">
        <f>IF(AND(ISNUMBER(F309),F309&gt;=0,OR(E309="PHP",E309="CNY"),OR(H309="已核实",H309="不适用",H309="预算"),I309&lt;&gt;"",J309&lt;&gt;"",ISNUMBER(K309),K309&gt;='00_审核入口'!$F$2,OR(H309&lt;&gt;"不适用",F309=0),OR(G309="",AND(ISNUMBER(G309),G309&gt;=0))),"完整","待补证")</f>
        <v>待补证</v>
      </c>
    </row>
    <row r="310" spans="1:14" ht="58" customHeight="1">
      <c r="A310" s="8" t="s">
        <v>188</v>
      </c>
      <c r="B310" s="8" t="s">
        <v>189</v>
      </c>
      <c r="C310" s="8" t="s">
        <v>541</v>
      </c>
      <c r="D310" s="8" t="s">
        <v>542</v>
      </c>
      <c r="E310" s="8"/>
      <c r="F310" s="8"/>
      <c r="G310" s="8"/>
      <c r="H310" s="8" t="s">
        <v>506</v>
      </c>
      <c r="I310" s="8"/>
      <c r="J310" s="8"/>
      <c r="L310" s="9">
        <f>IF(AND(N310="完整",ISNUMBER('03_逐品成本'!E21),'03_逐品成本'!E21&gt;0),ROUND(ROUND(F310*IF(E310="PHP",'03_逐品成本'!E21,1),10),2),"")</f>
        <v/>
      </c>
      <c r="M310" s="9">
        <f>IF(AND(N310="完整",ISNUMBER('03_逐品成本'!E21),'03_逐品成本'!E21&gt;0),ROUND(ROUND(IF(ISNUMBER(G310),G310,F310)*1*IF(E310="PHP",'03_逐品成本'!E21*0.95,1),10),2),"")</f>
        <v/>
      </c>
      <c r="N310" s="6" t="str">
        <f>IF(AND(ISNUMBER(F310),F310&gt;=0,OR(E310="PHP",E310="CNY"),OR(H310="已核实",H310="不适用",H310="预算"),I310&lt;&gt;"",J310&lt;&gt;"",ISNUMBER(K310),K310&gt;='00_审核入口'!$F$2,OR(H310&lt;&gt;"不适用",F310=0),OR(G310="",AND(ISNUMBER(G310),G310&gt;=0))),"完整","待补证")</f>
        <v>待补证</v>
      </c>
    </row>
    <row r="311" spans="1:14" ht="58" customHeight="1">
      <c r="A311" s="8" t="s">
        <v>196</v>
      </c>
      <c r="B311" s="8" t="s">
        <v>197</v>
      </c>
      <c r="C311" s="8" t="s">
        <v>507</v>
      </c>
      <c r="D311" s="8" t="s">
        <v>508</v>
      </c>
      <c r="E311" s="8"/>
      <c r="F311" s="8"/>
      <c r="G311" s="8"/>
      <c r="H311" s="8" t="s">
        <v>506</v>
      </c>
      <c r="I311" s="8"/>
      <c r="J311" s="8"/>
      <c r="L311" s="9">
        <f>IF(AND(N311="完整",ISNUMBER('03_逐品成本'!E22),'03_逐品成本'!E22&gt;0),ROUND(ROUND(F311*IF(E311="PHP",'03_逐品成本'!E22,1),10),2),"")</f>
        <v/>
      </c>
      <c r="M311" s="9">
        <f>IF(AND(N311="完整",ISNUMBER('03_逐品成本'!E22),'03_逐品成本'!E22&gt;0),ROUND(ROUND(IF(ISNUMBER(G311),G311,F311)*1*IF(E311="PHP",'03_逐品成本'!E22*0.95,1),10),2),"")</f>
        <v/>
      </c>
      <c r="N311" s="6" t="str">
        <f>IF(AND(ISNUMBER(F311),F311&gt;=0,OR(E311="PHP",E311="CNY"),OR(H311="已核实",H311="不适用"),I311&lt;&gt;"",J311&lt;&gt;"",ISNUMBER(K311),K311&gt;='00_审核入口'!$F$2,OR(H311&lt;&gt;"不适用",F311=0),OR(G311="",AND(ISNUMBER(G311),G311&gt;=0))),"完整","待补证")</f>
        <v>待补证</v>
      </c>
    </row>
    <row r="312" spans="1:14" ht="58" customHeight="1">
      <c r="A312" s="8" t="s">
        <v>196</v>
      </c>
      <c r="B312" s="8" t="s">
        <v>197</v>
      </c>
      <c r="C312" s="8" t="s">
        <v>509</v>
      </c>
      <c r="D312" s="8" t="s">
        <v>510</v>
      </c>
      <c r="E312" s="8"/>
      <c r="F312" s="8"/>
      <c r="G312" s="8"/>
      <c r="H312" s="8" t="s">
        <v>506</v>
      </c>
      <c r="I312" s="8"/>
      <c r="J312" s="8"/>
      <c r="L312" s="9">
        <f>IF(AND(N312="完整",ISNUMBER('03_逐品成本'!E22),'03_逐品成本'!E22&gt;0),ROUND(ROUND(F312*IF(E312="PHP",'03_逐品成本'!E22,1),10),2),"")</f>
        <v/>
      </c>
      <c r="M312" s="9">
        <f>IF(AND(N312="完整",ISNUMBER('03_逐品成本'!E22),'03_逐品成本'!E22&gt;0),ROUND(ROUND(IF(ISNUMBER(G312),G312,F312)*1*IF(E312="PHP",'03_逐品成本'!E22*0.95,1),10),2),"")</f>
        <v/>
      </c>
      <c r="N312" s="6" t="str">
        <f>IF(AND(ISNUMBER(F312),F312&gt;=0,OR(E312="PHP",E312="CNY"),OR(H312="已核实",H312="不适用"),I312&lt;&gt;"",J312&lt;&gt;"",ISNUMBER(K312),K312&gt;='00_审核入口'!$F$2,OR(H312&lt;&gt;"不适用",F312=0),OR(G312="",AND(ISNUMBER(G312),G312&gt;=0)),ISNUMBER(G312),G312&gt;=0),"完整","待补证")</f>
        <v>待补证</v>
      </c>
    </row>
    <row r="313" spans="1:14" ht="58" customHeight="1">
      <c r="A313" s="8" t="s">
        <v>196</v>
      </c>
      <c r="B313" s="8" t="s">
        <v>197</v>
      </c>
      <c r="C313" s="8" t="s">
        <v>511</v>
      </c>
      <c r="D313" s="8" t="s">
        <v>512</v>
      </c>
      <c r="E313" s="8"/>
      <c r="F313" s="8"/>
      <c r="G313" s="8"/>
      <c r="H313" s="8" t="s">
        <v>506</v>
      </c>
      <c r="I313" s="8"/>
      <c r="J313" s="8"/>
      <c r="L313" s="9">
        <f>IF(AND(N313="完整",ISNUMBER('03_逐品成本'!E22),'03_逐品成本'!E22&gt;0),ROUND(ROUND(F313*IF(E313="PHP",'03_逐品成本'!E22,1),10),2),"")</f>
        <v/>
      </c>
      <c r="M313" s="9">
        <f>IF(AND(N313="完整",ISNUMBER('03_逐品成本'!E22),'03_逐品成本'!E22&gt;0),ROUND(ROUND(IF(ISNUMBER(G313),G313,F313)*1*IF(E313="PHP",'03_逐品成本'!E22*0.95,1),10),2),"")</f>
        <v/>
      </c>
      <c r="N313" s="6" t="str">
        <f>IF(AND(ISNUMBER(F313),F313&gt;=0,OR(E313="PHP",E313="CNY"),OR(H313="已核实",H313="不适用"),I313&lt;&gt;"",J313&lt;&gt;"",ISNUMBER(K313),K313&gt;='00_审核入口'!$F$2,OR(H313&lt;&gt;"不适用",F313=0),OR(G313="",AND(ISNUMBER(G313),G313&gt;=0))),"完整","待补证")</f>
        <v>待补证</v>
      </c>
    </row>
    <row r="314" spans="1:14" ht="58" customHeight="1">
      <c r="A314" s="8" t="s">
        <v>196</v>
      </c>
      <c r="B314" s="8" t="s">
        <v>197</v>
      </c>
      <c r="C314" s="8" t="s">
        <v>513</v>
      </c>
      <c r="D314" s="8" t="s">
        <v>514</v>
      </c>
      <c r="E314" s="8"/>
      <c r="F314" s="8"/>
      <c r="G314" s="8"/>
      <c r="H314" s="8" t="s">
        <v>506</v>
      </c>
      <c r="I314" s="8"/>
      <c r="J314" s="8"/>
      <c r="L314" s="9">
        <f>IF(AND(N314="完整",ISNUMBER('03_逐品成本'!E22),'03_逐品成本'!E22&gt;0),ROUND(ROUND(F314*IF(E314="PHP",'03_逐品成本'!E22,1),10),2),"")</f>
        <v/>
      </c>
      <c r="M314" s="9">
        <f>IF(AND(N314="完整",ISNUMBER('03_逐品成本'!E22),'03_逐品成本'!E22&gt;0),ROUND(ROUND(IF(ISNUMBER(G314),G314,F314)*1*IF(E314="PHP",'03_逐品成本'!E22*0.95,1),10),2),"")</f>
        <v/>
      </c>
      <c r="N314" s="6" t="str">
        <f>IF(AND(ISNUMBER(F314),F314&gt;=0,OR(E314="PHP",E314="CNY"),OR(H314="已核实",H314="不适用"),I314&lt;&gt;"",J314&lt;&gt;"",ISNUMBER(K314),K314&gt;='00_审核入口'!$F$2,OR(H314&lt;&gt;"不适用",F314=0),OR(G314="",AND(ISNUMBER(G314),G314&gt;=0))),"完整","待补证")</f>
        <v>待补证</v>
      </c>
    </row>
    <row r="315" spans="1:14" ht="58" customHeight="1">
      <c r="A315" s="8" t="s">
        <v>196</v>
      </c>
      <c r="B315" s="8" t="s">
        <v>197</v>
      </c>
      <c r="C315" s="8" t="s">
        <v>515</v>
      </c>
      <c r="D315" s="8" t="s">
        <v>516</v>
      </c>
      <c r="E315" s="8"/>
      <c r="F315" s="8"/>
      <c r="G315" s="8"/>
      <c r="H315" s="8" t="s">
        <v>506</v>
      </c>
      <c r="I315" s="8"/>
      <c r="J315" s="8"/>
      <c r="L315" s="9">
        <f>IF(AND(N315="完整",ISNUMBER('03_逐品成本'!E22),'03_逐品成本'!E22&gt;0),ROUND(ROUND(F315*IF(E315="PHP",'03_逐品成本'!E22,1),10),2),"")</f>
        <v/>
      </c>
      <c r="M315" s="9">
        <f>IF(AND(N315="完整",ISNUMBER('03_逐品成本'!E22),'03_逐品成本'!E22&gt;0),ROUND(ROUND(IF(ISNUMBER(G315),G315,F315)*1*IF(E315="PHP",'03_逐品成本'!E22*0.95,1),10),2),"")</f>
        <v/>
      </c>
      <c r="N315" s="6" t="str">
        <f>IF(AND(ISNUMBER(F315),F315&gt;=0,OR(E315="PHP",E315="CNY"),OR(H315="已核实",H315="不适用"),I315&lt;&gt;"",J315&lt;&gt;"",ISNUMBER(K315),K315&gt;='00_审核入口'!$F$2,OR(H315&lt;&gt;"不适用",F315=0),OR(G315="",AND(ISNUMBER(G315),G315&gt;=0))),"完整","待补证")</f>
        <v>待补证</v>
      </c>
    </row>
    <row r="316" spans="1:14" ht="58" customHeight="1">
      <c r="A316" s="8" t="s">
        <v>196</v>
      </c>
      <c r="B316" s="8" t="s">
        <v>197</v>
      </c>
      <c r="C316" s="8" t="s">
        <v>517</v>
      </c>
      <c r="D316" s="8" t="s">
        <v>518</v>
      </c>
      <c r="E316" s="8"/>
      <c r="F316" s="8"/>
      <c r="G316" s="8"/>
      <c r="H316" s="8" t="s">
        <v>506</v>
      </c>
      <c r="I316" s="8"/>
      <c r="J316" s="8"/>
      <c r="L316" s="9">
        <f>IF(AND(N316="完整",ISNUMBER('03_逐品成本'!E22),'03_逐品成本'!E22&gt;0),ROUND(ROUND(F316*IF(E316="PHP",'03_逐品成本'!E22,1),10),2),"")</f>
        <v/>
      </c>
      <c r="M316" s="9">
        <f>IF(AND(N316="完整",ISNUMBER('03_逐品成本'!E22),'03_逐品成本'!E22&gt;0),ROUND(ROUND(IF(ISNUMBER(G316),G316,F316)*1*IF(E316="PHP",'03_逐品成本'!E22*0.95,1),10),2),"")</f>
        <v/>
      </c>
      <c r="N316" s="6" t="str">
        <f>IF(AND(ISNUMBER(F316),F316&gt;=0,OR(E316="PHP",E316="CNY"),OR(H316="已核实",H316="不适用"),I316&lt;&gt;"",J316&lt;&gt;"",ISNUMBER(K316),K316&gt;='00_审核入口'!$F$2,OR(H316&lt;&gt;"不适用",F316=0),OR(G316="",AND(ISNUMBER(G316),G316&gt;=0))),"完整","待补证")</f>
        <v>待补证</v>
      </c>
    </row>
    <row r="317" spans="1:14" ht="58" customHeight="1">
      <c r="A317" s="8" t="s">
        <v>196</v>
      </c>
      <c r="B317" s="8" t="s">
        <v>197</v>
      </c>
      <c r="C317" s="8" t="s">
        <v>519</v>
      </c>
      <c r="D317" s="8" t="s">
        <v>520</v>
      </c>
      <c r="E317" s="8"/>
      <c r="F317" s="8"/>
      <c r="G317" s="8"/>
      <c r="H317" s="8" t="s">
        <v>506</v>
      </c>
      <c r="I317" s="8"/>
      <c r="J317" s="8"/>
      <c r="L317" s="9">
        <f>IF(AND(N317="完整",ISNUMBER('03_逐品成本'!E22),'03_逐品成本'!E22&gt;0),ROUND(ROUND(F317*IF(E317="PHP",'03_逐品成本'!E22,1),10),2),"")</f>
        <v/>
      </c>
      <c r="M317" s="9">
        <f>IF(AND(N317="完整",ISNUMBER('03_逐品成本'!E22),'03_逐品成本'!E22&gt;0),ROUND(ROUND(IF(ISNUMBER(G317),G317,F317)*1*IF(E317="PHP",'03_逐品成本'!E22*0.95,1),10),2),"")</f>
        <v/>
      </c>
      <c r="N317" s="6" t="str">
        <f>IF(AND(ISNUMBER(F317),F317&gt;=0,OR(E317="PHP",E317="CNY"),OR(H317="已核实",H317="不适用"),I317&lt;&gt;"",J317&lt;&gt;"",ISNUMBER(K317),K317&gt;='00_审核入口'!$F$2,OR(H317&lt;&gt;"不适用",F317=0),OR(G317="",AND(ISNUMBER(G317),G317&gt;=0))),"完整","待补证")</f>
        <v>待补证</v>
      </c>
    </row>
    <row r="318" spans="1:14" ht="58" customHeight="1">
      <c r="A318" s="8" t="s">
        <v>196</v>
      </c>
      <c r="B318" s="8" t="s">
        <v>197</v>
      </c>
      <c r="C318" s="8" t="s">
        <v>521</v>
      </c>
      <c r="D318" s="8" t="s">
        <v>522</v>
      </c>
      <c r="E318" s="8"/>
      <c r="F318" s="8"/>
      <c r="G318" s="8"/>
      <c r="H318" s="8" t="s">
        <v>506</v>
      </c>
      <c r="I318" s="8"/>
      <c r="J318" s="8"/>
      <c r="L318" s="9">
        <f>IF(AND(N318="完整",ISNUMBER('03_逐品成本'!E22),'03_逐品成本'!E22&gt;0),ROUND(ROUND(F318*IF(E318="PHP",'03_逐品成本'!E22,1),10),2),"")</f>
        <v/>
      </c>
      <c r="M318" s="9">
        <f>IF(AND(N318="完整",ISNUMBER('03_逐品成本'!E22),'03_逐品成本'!E22&gt;0),ROUND(ROUND(IF(ISNUMBER(G318),G318,F318)*1*IF(E318="PHP",'03_逐品成本'!E22*0.95,1),10),2),"")</f>
        <v/>
      </c>
      <c r="N318" s="6" t="str">
        <f>IF(AND(ISNUMBER(F318),F318&gt;=0,OR(E318="PHP",E318="CNY"),OR(H318="已核实",H318="不适用"),I318&lt;&gt;"",J318&lt;&gt;"",ISNUMBER(K318),K318&gt;='00_审核入口'!$F$2,OR(H318&lt;&gt;"不适用",F318=0),OR(G318="",AND(ISNUMBER(G318),G318&gt;=0))),"完整","待补证")</f>
        <v>待补证</v>
      </c>
    </row>
    <row r="319" spans="1:14" ht="58" customHeight="1">
      <c r="A319" s="8" t="s">
        <v>196</v>
      </c>
      <c r="B319" s="8" t="s">
        <v>197</v>
      </c>
      <c r="C319" s="8" t="s">
        <v>523</v>
      </c>
      <c r="D319" s="8" t="s">
        <v>524</v>
      </c>
      <c r="E319" s="8"/>
      <c r="F319" s="8"/>
      <c r="G319" s="8"/>
      <c r="H319" s="8" t="s">
        <v>506</v>
      </c>
      <c r="I319" s="8"/>
      <c r="J319" s="8"/>
      <c r="L319" s="9">
        <f>IF(AND(N319="完整",ISNUMBER('03_逐品成本'!E22),'03_逐品成本'!E22&gt;0),ROUND(ROUND(F319*IF(E319="PHP",'03_逐品成本'!E22,1),10),2),"")</f>
        <v/>
      </c>
      <c r="M319" s="9">
        <f>IF(AND(N319="完整",ISNUMBER('03_逐品成本'!E22),'03_逐品成本'!E22&gt;0),ROUND(ROUND(IF(ISNUMBER(G319),G319,F319)*1.15*IF(E319="PHP",'03_逐品成本'!E22*0.95,1),10),2),"")</f>
        <v/>
      </c>
      <c r="N319" s="6" t="str">
        <f>IF(AND(ISNUMBER(F319),F319&gt;=0,OR(E319="PHP",E319="CNY"),OR(H319="已核实",H319="不适用"),I319&lt;&gt;"",J319&lt;&gt;"",ISNUMBER(K319),K319&gt;='00_审核入口'!$F$2,OR(H319&lt;&gt;"不适用",F319=0),OR(G319="",AND(ISNUMBER(G319),G319&gt;=0))),"完整","待补证")</f>
        <v>待补证</v>
      </c>
    </row>
    <row r="320" spans="1:14" ht="58" customHeight="1">
      <c r="A320" s="8" t="s">
        <v>196</v>
      </c>
      <c r="B320" s="8" t="s">
        <v>197</v>
      </c>
      <c r="C320" s="8" t="s">
        <v>525</v>
      </c>
      <c r="D320" s="8" t="s">
        <v>526</v>
      </c>
      <c r="E320" s="8"/>
      <c r="F320" s="8"/>
      <c r="G320" s="8"/>
      <c r="H320" s="8" t="s">
        <v>506</v>
      </c>
      <c r="I320" s="8"/>
      <c r="J320" s="8"/>
      <c r="L320" s="9">
        <f>IF(AND(N320="完整",ISNUMBER('03_逐品成本'!E22),'03_逐品成本'!E22&gt;0),ROUND(ROUND(F320*IF(E320="PHP",'03_逐品成本'!E22,1),10),2),"")</f>
        <v/>
      </c>
      <c r="M320" s="9">
        <f>IF(AND(N320="完整",ISNUMBER('03_逐品成本'!E22),'03_逐品成本'!E22&gt;0),ROUND(ROUND(IF(ISNUMBER(G320),G320,F320)*1.15*IF(E320="PHP",'03_逐品成本'!E22*0.95,1),10),2),"")</f>
        <v/>
      </c>
      <c r="N320" s="6" t="str">
        <f>IF(AND(ISNUMBER(F320),F320&gt;=0,OR(E320="PHP",E320="CNY"),OR(H320="已核实",H320="不适用"),I320&lt;&gt;"",J320&lt;&gt;"",ISNUMBER(K320),K320&gt;='00_审核入口'!$F$2,OR(H320&lt;&gt;"不适用",F320=0),OR(G320="",AND(ISNUMBER(G320),G320&gt;=0))),"完整","待补证")</f>
        <v>待补证</v>
      </c>
    </row>
    <row r="321" spans="1:14" ht="58" customHeight="1">
      <c r="A321" s="8" t="s">
        <v>196</v>
      </c>
      <c r="B321" s="8" t="s">
        <v>197</v>
      </c>
      <c r="C321" s="8" t="s">
        <v>527</v>
      </c>
      <c r="D321" s="8" t="s">
        <v>528</v>
      </c>
      <c r="E321" s="8"/>
      <c r="F321" s="8"/>
      <c r="G321" s="8"/>
      <c r="H321" s="8" t="s">
        <v>506</v>
      </c>
      <c r="I321" s="8"/>
      <c r="J321" s="8"/>
      <c r="L321" s="9">
        <f>IF(AND(N321="完整",ISNUMBER('03_逐品成本'!E22),'03_逐品成本'!E22&gt;0),ROUND(ROUND(F321*IF(E321="PHP",'03_逐品成本'!E22,1),10),2),"")</f>
        <v/>
      </c>
      <c r="M321" s="9">
        <f>IF(AND(N321="完整",ISNUMBER('03_逐品成本'!E22),'03_逐品成本'!E22&gt;0),ROUND(ROUND(IF(ISNUMBER(G321),G321,F321)*1.15*IF(E321="PHP",'03_逐品成本'!E22*0.95,1),10),2),"")</f>
        <v/>
      </c>
      <c r="N321" s="6" t="str">
        <f>IF(AND(ISNUMBER(F321),F321&gt;=0,OR(E321="PHP",E321="CNY"),OR(H321="已核实",H321="不适用"),I321&lt;&gt;"",J321&lt;&gt;"",ISNUMBER(K321),K321&gt;='00_审核入口'!$F$2,OR(H321&lt;&gt;"不适用",F321=0),OR(G321="",AND(ISNUMBER(G321),G321&gt;=0))),"完整","待补证")</f>
        <v>待补证</v>
      </c>
    </row>
    <row r="322" spans="1:14" ht="58" customHeight="1">
      <c r="A322" s="8" t="s">
        <v>196</v>
      </c>
      <c r="B322" s="8" t="s">
        <v>197</v>
      </c>
      <c r="C322" s="8" t="s">
        <v>529</v>
      </c>
      <c r="D322" s="8" t="s">
        <v>530</v>
      </c>
      <c r="E322" s="8"/>
      <c r="F322" s="8"/>
      <c r="G322" s="8"/>
      <c r="H322" s="8" t="s">
        <v>506</v>
      </c>
      <c r="I322" s="8"/>
      <c r="J322" s="8"/>
      <c r="L322" s="9">
        <f>IF(AND(N322="完整",ISNUMBER('03_逐品成本'!E22),'03_逐品成本'!E22&gt;0),ROUND(ROUND(F322*IF(E322="PHP",'03_逐品成本'!E22,1),10),2),"")</f>
        <v/>
      </c>
      <c r="M322" s="9">
        <f>IF(AND(N322="完整",ISNUMBER('03_逐品成本'!E22),'03_逐品成本'!E22&gt;0),ROUND(ROUND(IF(ISNUMBER(G322),G322,F322)*1*IF(E322="PHP",'03_逐品成本'!E22*0.95,1),10),2),"")</f>
        <v/>
      </c>
      <c r="N322" s="6" t="str">
        <f>IF(AND(ISNUMBER(F322),F322&gt;=0,OR(E322="PHP",E322="CNY"),OR(H322="已核实",H322="不适用",H322="预算"),I322&lt;&gt;"",J322&lt;&gt;"",ISNUMBER(K322),K322&gt;='00_审核入口'!$F$2,OR(H322&lt;&gt;"不适用",F322=0),OR(G322="",AND(ISNUMBER(G322),G322&gt;=0))),"完整","待补证")</f>
        <v>待补证</v>
      </c>
    </row>
    <row r="323" spans="1:14" ht="58" customHeight="1">
      <c r="A323" s="8" t="s">
        <v>196</v>
      </c>
      <c r="B323" s="8" t="s">
        <v>197</v>
      </c>
      <c r="C323" s="8" t="s">
        <v>531</v>
      </c>
      <c r="D323" s="8" t="s">
        <v>532</v>
      </c>
      <c r="E323" s="8"/>
      <c r="F323" s="8"/>
      <c r="G323" s="8"/>
      <c r="H323" s="8" t="s">
        <v>506</v>
      </c>
      <c r="I323" s="8"/>
      <c r="J323" s="8"/>
      <c r="L323" s="9">
        <f>IF(AND(N323="完整",ISNUMBER('03_逐品成本'!E22),'03_逐品成本'!E22&gt;0),ROUND(ROUND(F323*IF(E323="PHP",'03_逐品成本'!E22,1),10),2),"")</f>
        <v/>
      </c>
      <c r="M323" s="9">
        <f>IF(AND(N323="完整",ISNUMBER('03_逐品成本'!E22),'03_逐品成本'!E22&gt;0),ROUND(ROUND(IF(ISNUMBER(G323),G323,F323)*1*IF(E323="PHP",'03_逐品成本'!E22*0.95,1),10),2),"")</f>
        <v/>
      </c>
      <c r="N323" s="6" t="str">
        <f>IF(AND(ISNUMBER(F323),F323&gt;=0,OR(E323="PHP",E323="CNY"),OR(H323="已核实",H323="不适用",H323="预算"),I323&lt;&gt;"",J323&lt;&gt;"",ISNUMBER(K323),K323&gt;='00_审核入口'!$F$2,OR(H323&lt;&gt;"不适用",F323=0),OR(G323="",AND(ISNUMBER(G323),G323&gt;=0))),"完整","待补证")</f>
        <v>待补证</v>
      </c>
    </row>
    <row r="324" spans="1:14" ht="58" customHeight="1">
      <c r="A324" s="8" t="s">
        <v>196</v>
      </c>
      <c r="B324" s="8" t="s">
        <v>197</v>
      </c>
      <c r="C324" s="8" t="s">
        <v>533</v>
      </c>
      <c r="D324" s="8" t="s">
        <v>534</v>
      </c>
      <c r="E324" s="8"/>
      <c r="F324" s="8"/>
      <c r="G324" s="8"/>
      <c r="H324" s="8" t="s">
        <v>506</v>
      </c>
      <c r="I324" s="8"/>
      <c r="J324" s="8"/>
      <c r="L324" s="9">
        <f>IF(AND(N324="完整",ISNUMBER('03_逐品成本'!E22),'03_逐品成本'!E22&gt;0),ROUND(ROUND(F324*IF(E324="PHP",'03_逐品成本'!E22,1),10),2),"")</f>
        <v/>
      </c>
      <c r="M324" s="9">
        <f>IF(AND(N324="完整",ISNUMBER('03_逐品成本'!E22),'03_逐品成本'!E22&gt;0),ROUND(ROUND(IF(ISNUMBER(G324),G324,F324)*1*IF(E324="PHP",'03_逐品成本'!E22*0.95,1),10),2),"")</f>
        <v/>
      </c>
      <c r="N324" s="6" t="str">
        <f>IF(AND(ISNUMBER(F324),F324&gt;=0,OR(E324="PHP",E324="CNY"),OR(H324="已核实",H324="不适用",H324="预算"),I324&lt;&gt;"",J324&lt;&gt;"",ISNUMBER(K324),K324&gt;='00_审核入口'!$F$2,OR(H324&lt;&gt;"不适用",F324=0),OR(G324="",AND(ISNUMBER(G324),G324&gt;=0))),"完整","待补证")</f>
        <v>待补证</v>
      </c>
    </row>
    <row r="325" spans="1:14" ht="58" customHeight="1">
      <c r="A325" s="8" t="s">
        <v>196</v>
      </c>
      <c r="B325" s="8" t="s">
        <v>197</v>
      </c>
      <c r="C325" s="8" t="s">
        <v>535</v>
      </c>
      <c r="D325" s="8" t="s">
        <v>536</v>
      </c>
      <c r="E325" s="8"/>
      <c r="F325" s="8"/>
      <c r="G325" s="8"/>
      <c r="H325" s="8" t="s">
        <v>506</v>
      </c>
      <c r="I325" s="8"/>
      <c r="J325" s="8"/>
      <c r="L325" s="9">
        <f>IF(AND(N325="完整",ISNUMBER('03_逐品成本'!E22),'03_逐品成本'!E22&gt;0),ROUND(ROUND(F325*IF(E325="PHP",'03_逐品成本'!E22,1),10),2),"")</f>
        <v/>
      </c>
      <c r="M325" s="9">
        <f>IF(AND(N325="完整",ISNUMBER('03_逐品成本'!E22),'03_逐品成本'!E22&gt;0),ROUND(ROUND(IF(ISNUMBER(G325),G325,F325)*1*IF(E325="PHP",'03_逐品成本'!E22*0.95,1),10),2),"")</f>
        <v/>
      </c>
      <c r="N325" s="6" t="str">
        <f>IF(AND(ISNUMBER(F325),F325&gt;=0,OR(E325="PHP",E325="CNY"),OR(H325="已核实",H325="不适用"),I325&lt;&gt;"",J325&lt;&gt;"",ISNUMBER(K325),K325&gt;='00_审核入口'!$F$2,OR(H325&lt;&gt;"不适用",F325=0),OR(G325="",AND(ISNUMBER(G325),G325&gt;=0))),"完整","待补证")</f>
        <v>待补证</v>
      </c>
    </row>
    <row r="326" spans="1:14" ht="58" customHeight="1">
      <c r="A326" s="8" t="s">
        <v>196</v>
      </c>
      <c r="B326" s="8" t="s">
        <v>197</v>
      </c>
      <c r="C326" s="8" t="s">
        <v>537</v>
      </c>
      <c r="D326" s="8" t="s">
        <v>538</v>
      </c>
      <c r="E326" s="8"/>
      <c r="F326" s="8"/>
      <c r="G326" s="8"/>
      <c r="H326" s="8" t="s">
        <v>506</v>
      </c>
      <c r="I326" s="8"/>
      <c r="J326" s="8"/>
      <c r="L326" s="9">
        <f>IF(AND(N326="完整",ISNUMBER('03_逐品成本'!E22),'03_逐品成本'!E22&gt;0),ROUND(ROUND(F326*IF(E326="PHP",'03_逐品成本'!E22,1),10),2),"")</f>
        <v/>
      </c>
      <c r="M326" s="9">
        <f>IF(AND(N326="完整",ISNUMBER('03_逐品成本'!E22),'03_逐品成本'!E22&gt;0),ROUND(ROUND(IF(ISNUMBER(G326),G326,F326)*1*IF(E326="PHP",'03_逐品成本'!E22*0.95,1),10),2),"")</f>
        <v/>
      </c>
      <c r="N326" s="6" t="str">
        <f>IF(AND(ISNUMBER(F326),F326&gt;=0,OR(E326="PHP",E326="CNY"),OR(H326="已核实",H326="不适用"),I326&lt;&gt;"",J326&lt;&gt;"",ISNUMBER(K326),K326&gt;='00_审核入口'!$F$2,OR(H326&lt;&gt;"不适用",F326=0),OR(G326="",AND(ISNUMBER(G326),G326&gt;=0))),"完整","待补证")</f>
        <v>待补证</v>
      </c>
    </row>
    <row r="327" spans="1:14" ht="58" customHeight="1">
      <c r="A327" s="8" t="s">
        <v>196</v>
      </c>
      <c r="B327" s="8" t="s">
        <v>197</v>
      </c>
      <c r="C327" s="8" t="s">
        <v>539</v>
      </c>
      <c r="D327" s="8" t="s">
        <v>540</v>
      </c>
      <c r="E327" s="8"/>
      <c r="F327" s="8"/>
      <c r="G327" s="8"/>
      <c r="H327" s="8" t="s">
        <v>506</v>
      </c>
      <c r="I327" s="8"/>
      <c r="J327" s="8"/>
      <c r="L327" s="9">
        <f>IF(AND(N327="完整",ISNUMBER('03_逐品成本'!E22),'03_逐品成本'!E22&gt;0),ROUND(ROUND(F327*IF(E327="PHP",'03_逐品成本'!E22,1),10),2),"")</f>
        <v/>
      </c>
      <c r="M327" s="9">
        <f>IF(AND(N327="完整",ISNUMBER('03_逐品成本'!E22),'03_逐品成本'!E22&gt;0),ROUND(ROUND(IF(ISNUMBER(G327),G327,F327)*1*IF(E327="PHP",'03_逐品成本'!E22*0.95,1),10),2),"")</f>
        <v/>
      </c>
      <c r="N327" s="6" t="str">
        <f>IF(AND(ISNUMBER(F327),F327&gt;=0,OR(E327="PHP",E327="CNY"),OR(H327="已核实",H327="不适用",H327="预算"),I327&lt;&gt;"",J327&lt;&gt;"",ISNUMBER(K327),K327&gt;='00_审核入口'!$F$2,OR(H327&lt;&gt;"不适用",F327=0),OR(G327="",AND(ISNUMBER(G327),G327&gt;=0))),"完整","待补证")</f>
        <v>待补证</v>
      </c>
    </row>
    <row r="328" spans="1:14" ht="58" customHeight="1">
      <c r="A328" s="8" t="s">
        <v>196</v>
      </c>
      <c r="B328" s="8" t="s">
        <v>197</v>
      </c>
      <c r="C328" s="8" t="s">
        <v>541</v>
      </c>
      <c r="D328" s="8" t="s">
        <v>542</v>
      </c>
      <c r="E328" s="8"/>
      <c r="F328" s="8"/>
      <c r="G328" s="8"/>
      <c r="H328" s="8" t="s">
        <v>506</v>
      </c>
      <c r="I328" s="8"/>
      <c r="J328" s="8"/>
      <c r="L328" s="9">
        <f>IF(AND(N328="完整",ISNUMBER('03_逐品成本'!E22),'03_逐品成本'!E22&gt;0),ROUND(ROUND(F328*IF(E328="PHP",'03_逐品成本'!E22,1),10),2),"")</f>
        <v/>
      </c>
      <c r="M328" s="9">
        <f>IF(AND(N328="完整",ISNUMBER('03_逐品成本'!E22),'03_逐品成本'!E22&gt;0),ROUND(ROUND(IF(ISNUMBER(G328),G328,F328)*1*IF(E328="PHP",'03_逐品成本'!E22*0.95,1),10),2),"")</f>
        <v/>
      </c>
      <c r="N328" s="6" t="str">
        <f>IF(AND(ISNUMBER(F328),F328&gt;=0,OR(E328="PHP",E328="CNY"),OR(H328="已核实",H328="不适用",H328="预算"),I328&lt;&gt;"",J328&lt;&gt;"",ISNUMBER(K328),K328&gt;='00_审核入口'!$F$2,OR(H328&lt;&gt;"不适用",F328=0),OR(G328="",AND(ISNUMBER(G328),G328&gt;=0))),"完整","待补证")</f>
        <v>待补证</v>
      </c>
    </row>
    <row r="329" spans="1:14" ht="58" customHeight="1">
      <c r="A329" s="8" t="s">
        <v>204</v>
      </c>
      <c r="B329" s="8" t="s">
        <v>205</v>
      </c>
      <c r="C329" s="8" t="s">
        <v>507</v>
      </c>
      <c r="D329" s="8" t="s">
        <v>508</v>
      </c>
      <c r="E329" s="8"/>
      <c r="F329" s="8"/>
      <c r="G329" s="8"/>
      <c r="H329" s="8" t="s">
        <v>506</v>
      </c>
      <c r="I329" s="8"/>
      <c r="J329" s="8"/>
      <c r="L329" s="9">
        <f>IF(AND(N329="完整",ISNUMBER('03_逐品成本'!E23),'03_逐品成本'!E23&gt;0),ROUND(ROUND(F329*IF(E329="PHP",'03_逐品成本'!E23,1),10),2),"")</f>
        <v/>
      </c>
      <c r="M329" s="9">
        <f>IF(AND(N329="完整",ISNUMBER('03_逐品成本'!E23),'03_逐品成本'!E23&gt;0),ROUND(ROUND(IF(ISNUMBER(G329),G329,F329)*1*IF(E329="PHP",'03_逐品成本'!E23*0.95,1),10),2),"")</f>
        <v/>
      </c>
      <c r="N329" s="6" t="str">
        <f>IF(AND(ISNUMBER(F329),F329&gt;=0,OR(E329="PHP",E329="CNY"),OR(H329="已核实",H329="不适用"),I329&lt;&gt;"",J329&lt;&gt;"",ISNUMBER(K329),K329&gt;='00_审核入口'!$F$2,OR(H329&lt;&gt;"不适用",F329=0),OR(G329="",AND(ISNUMBER(G329),G329&gt;=0))),"完整","待补证")</f>
        <v>待补证</v>
      </c>
    </row>
    <row r="330" spans="1:14" ht="58" customHeight="1">
      <c r="A330" s="8" t="s">
        <v>204</v>
      </c>
      <c r="B330" s="8" t="s">
        <v>205</v>
      </c>
      <c r="C330" s="8" t="s">
        <v>509</v>
      </c>
      <c r="D330" s="8" t="s">
        <v>510</v>
      </c>
      <c r="E330" s="8"/>
      <c r="F330" s="8"/>
      <c r="G330" s="8"/>
      <c r="H330" s="8" t="s">
        <v>506</v>
      </c>
      <c r="I330" s="8"/>
      <c r="J330" s="8"/>
      <c r="L330" s="9">
        <f>IF(AND(N330="完整",ISNUMBER('03_逐品成本'!E23),'03_逐品成本'!E23&gt;0),ROUND(ROUND(F330*IF(E330="PHP",'03_逐品成本'!E23,1),10),2),"")</f>
        <v/>
      </c>
      <c r="M330" s="9">
        <f>IF(AND(N330="完整",ISNUMBER('03_逐品成本'!E23),'03_逐品成本'!E23&gt;0),ROUND(ROUND(IF(ISNUMBER(G330),G330,F330)*1*IF(E330="PHP",'03_逐品成本'!E23*0.95,1),10),2),"")</f>
        <v/>
      </c>
      <c r="N330" s="6" t="str">
        <f>IF(AND(ISNUMBER(F330),F330&gt;=0,OR(E330="PHP",E330="CNY"),OR(H330="已核实",H330="不适用"),I330&lt;&gt;"",J330&lt;&gt;"",ISNUMBER(K330),K330&gt;='00_审核入口'!$F$2,OR(H330&lt;&gt;"不适用",F330=0),OR(G330="",AND(ISNUMBER(G330),G330&gt;=0)),ISNUMBER(G330),G330&gt;=0),"完整","待补证")</f>
        <v>待补证</v>
      </c>
    </row>
    <row r="331" spans="1:14" ht="58" customHeight="1">
      <c r="A331" s="8" t="s">
        <v>204</v>
      </c>
      <c r="B331" s="8" t="s">
        <v>205</v>
      </c>
      <c r="C331" s="8" t="s">
        <v>511</v>
      </c>
      <c r="D331" s="8" t="s">
        <v>512</v>
      </c>
      <c r="E331" s="8"/>
      <c r="F331" s="8"/>
      <c r="G331" s="8"/>
      <c r="H331" s="8" t="s">
        <v>506</v>
      </c>
      <c r="I331" s="8"/>
      <c r="J331" s="8"/>
      <c r="L331" s="9">
        <f>IF(AND(N331="完整",ISNUMBER('03_逐品成本'!E23),'03_逐品成本'!E23&gt;0),ROUND(ROUND(F331*IF(E331="PHP",'03_逐品成本'!E23,1),10),2),"")</f>
        <v/>
      </c>
      <c r="M331" s="9">
        <f>IF(AND(N331="完整",ISNUMBER('03_逐品成本'!E23),'03_逐品成本'!E23&gt;0),ROUND(ROUND(IF(ISNUMBER(G331),G331,F331)*1*IF(E331="PHP",'03_逐品成本'!E23*0.95,1),10),2),"")</f>
        <v/>
      </c>
      <c r="N331" s="6" t="str">
        <f>IF(AND(ISNUMBER(F331),F331&gt;=0,OR(E331="PHP",E331="CNY"),OR(H331="已核实",H331="不适用"),I331&lt;&gt;"",J331&lt;&gt;"",ISNUMBER(K331),K331&gt;='00_审核入口'!$F$2,OR(H331&lt;&gt;"不适用",F331=0),OR(G331="",AND(ISNUMBER(G331),G331&gt;=0))),"完整","待补证")</f>
        <v>待补证</v>
      </c>
    </row>
    <row r="332" spans="1:14" ht="58" customHeight="1">
      <c r="A332" s="8" t="s">
        <v>204</v>
      </c>
      <c r="B332" s="8" t="s">
        <v>205</v>
      </c>
      <c r="C332" s="8" t="s">
        <v>513</v>
      </c>
      <c r="D332" s="8" t="s">
        <v>514</v>
      </c>
      <c r="E332" s="8"/>
      <c r="F332" s="8"/>
      <c r="G332" s="8"/>
      <c r="H332" s="8" t="s">
        <v>506</v>
      </c>
      <c r="I332" s="8"/>
      <c r="J332" s="8"/>
      <c r="L332" s="9">
        <f>IF(AND(N332="完整",ISNUMBER('03_逐品成本'!E23),'03_逐品成本'!E23&gt;0),ROUND(ROUND(F332*IF(E332="PHP",'03_逐品成本'!E23,1),10),2),"")</f>
        <v/>
      </c>
      <c r="M332" s="9">
        <f>IF(AND(N332="完整",ISNUMBER('03_逐品成本'!E23),'03_逐品成本'!E23&gt;0),ROUND(ROUND(IF(ISNUMBER(G332),G332,F332)*1*IF(E332="PHP",'03_逐品成本'!E23*0.95,1),10),2),"")</f>
        <v/>
      </c>
      <c r="N332" s="6" t="str">
        <f>IF(AND(ISNUMBER(F332),F332&gt;=0,OR(E332="PHP",E332="CNY"),OR(H332="已核实",H332="不适用"),I332&lt;&gt;"",J332&lt;&gt;"",ISNUMBER(K332),K332&gt;='00_审核入口'!$F$2,OR(H332&lt;&gt;"不适用",F332=0),OR(G332="",AND(ISNUMBER(G332),G332&gt;=0))),"完整","待补证")</f>
        <v>待补证</v>
      </c>
    </row>
    <row r="333" spans="1:14" ht="58" customHeight="1">
      <c r="A333" s="8" t="s">
        <v>204</v>
      </c>
      <c r="B333" s="8" t="s">
        <v>205</v>
      </c>
      <c r="C333" s="8" t="s">
        <v>515</v>
      </c>
      <c r="D333" s="8" t="s">
        <v>516</v>
      </c>
      <c r="E333" s="8"/>
      <c r="F333" s="8"/>
      <c r="G333" s="8"/>
      <c r="H333" s="8" t="s">
        <v>506</v>
      </c>
      <c r="I333" s="8"/>
      <c r="J333" s="8"/>
      <c r="L333" s="9">
        <f>IF(AND(N333="完整",ISNUMBER('03_逐品成本'!E23),'03_逐品成本'!E23&gt;0),ROUND(ROUND(F333*IF(E333="PHP",'03_逐品成本'!E23,1),10),2),"")</f>
        <v/>
      </c>
      <c r="M333" s="9">
        <f>IF(AND(N333="完整",ISNUMBER('03_逐品成本'!E23),'03_逐品成本'!E23&gt;0),ROUND(ROUND(IF(ISNUMBER(G333),G333,F333)*1*IF(E333="PHP",'03_逐品成本'!E23*0.95,1),10),2),"")</f>
        <v/>
      </c>
      <c r="N333" s="6" t="str">
        <f>IF(AND(ISNUMBER(F333),F333&gt;=0,OR(E333="PHP",E333="CNY"),OR(H333="已核实",H333="不适用"),I333&lt;&gt;"",J333&lt;&gt;"",ISNUMBER(K333),K333&gt;='00_审核入口'!$F$2,OR(H333&lt;&gt;"不适用",F333=0),OR(G333="",AND(ISNUMBER(G333),G333&gt;=0))),"完整","待补证")</f>
        <v>待补证</v>
      </c>
    </row>
    <row r="334" spans="1:14" ht="58" customHeight="1">
      <c r="A334" s="8" t="s">
        <v>204</v>
      </c>
      <c r="B334" s="8" t="s">
        <v>205</v>
      </c>
      <c r="C334" s="8" t="s">
        <v>517</v>
      </c>
      <c r="D334" s="8" t="s">
        <v>518</v>
      </c>
      <c r="E334" s="8"/>
      <c r="F334" s="8"/>
      <c r="G334" s="8"/>
      <c r="H334" s="8" t="s">
        <v>506</v>
      </c>
      <c r="I334" s="8"/>
      <c r="J334" s="8"/>
      <c r="L334" s="9">
        <f>IF(AND(N334="完整",ISNUMBER('03_逐品成本'!E23),'03_逐品成本'!E23&gt;0),ROUND(ROUND(F334*IF(E334="PHP",'03_逐品成本'!E23,1),10),2),"")</f>
        <v/>
      </c>
      <c r="M334" s="9">
        <f>IF(AND(N334="完整",ISNUMBER('03_逐品成本'!E23),'03_逐品成本'!E23&gt;0),ROUND(ROUND(IF(ISNUMBER(G334),G334,F334)*1*IF(E334="PHP",'03_逐品成本'!E23*0.95,1),10),2),"")</f>
        <v/>
      </c>
      <c r="N334" s="6" t="str">
        <f>IF(AND(ISNUMBER(F334),F334&gt;=0,OR(E334="PHP",E334="CNY"),OR(H334="已核实",H334="不适用"),I334&lt;&gt;"",J334&lt;&gt;"",ISNUMBER(K334),K334&gt;='00_审核入口'!$F$2,OR(H334&lt;&gt;"不适用",F334=0),OR(G334="",AND(ISNUMBER(G334),G334&gt;=0))),"完整","待补证")</f>
        <v>待补证</v>
      </c>
    </row>
    <row r="335" spans="1:14" ht="58" customHeight="1">
      <c r="A335" s="8" t="s">
        <v>204</v>
      </c>
      <c r="B335" s="8" t="s">
        <v>205</v>
      </c>
      <c r="C335" s="8" t="s">
        <v>519</v>
      </c>
      <c r="D335" s="8" t="s">
        <v>520</v>
      </c>
      <c r="E335" s="8"/>
      <c r="F335" s="8"/>
      <c r="G335" s="8"/>
      <c r="H335" s="8" t="s">
        <v>506</v>
      </c>
      <c r="I335" s="8"/>
      <c r="J335" s="8"/>
      <c r="L335" s="9">
        <f>IF(AND(N335="完整",ISNUMBER('03_逐品成本'!E23),'03_逐品成本'!E23&gt;0),ROUND(ROUND(F335*IF(E335="PHP",'03_逐品成本'!E23,1),10),2),"")</f>
        <v/>
      </c>
      <c r="M335" s="9">
        <f>IF(AND(N335="完整",ISNUMBER('03_逐品成本'!E23),'03_逐品成本'!E23&gt;0),ROUND(ROUND(IF(ISNUMBER(G335),G335,F335)*1*IF(E335="PHP",'03_逐品成本'!E23*0.95,1),10),2),"")</f>
        <v/>
      </c>
      <c r="N335" s="6" t="str">
        <f>IF(AND(ISNUMBER(F335),F335&gt;=0,OR(E335="PHP",E335="CNY"),OR(H335="已核实",H335="不适用"),I335&lt;&gt;"",J335&lt;&gt;"",ISNUMBER(K335),K335&gt;='00_审核入口'!$F$2,OR(H335&lt;&gt;"不适用",F335=0),OR(G335="",AND(ISNUMBER(G335),G335&gt;=0))),"完整","待补证")</f>
        <v>待补证</v>
      </c>
    </row>
    <row r="336" spans="1:14" ht="58" customHeight="1">
      <c r="A336" s="8" t="s">
        <v>204</v>
      </c>
      <c r="B336" s="8" t="s">
        <v>205</v>
      </c>
      <c r="C336" s="8" t="s">
        <v>521</v>
      </c>
      <c r="D336" s="8" t="s">
        <v>522</v>
      </c>
      <c r="E336" s="8"/>
      <c r="F336" s="8"/>
      <c r="G336" s="8"/>
      <c r="H336" s="8" t="s">
        <v>506</v>
      </c>
      <c r="I336" s="8"/>
      <c r="J336" s="8"/>
      <c r="L336" s="9">
        <f>IF(AND(N336="完整",ISNUMBER('03_逐品成本'!E23),'03_逐品成本'!E23&gt;0),ROUND(ROUND(F336*IF(E336="PHP",'03_逐品成本'!E23,1),10),2),"")</f>
        <v/>
      </c>
      <c r="M336" s="9">
        <f>IF(AND(N336="完整",ISNUMBER('03_逐品成本'!E23),'03_逐品成本'!E23&gt;0),ROUND(ROUND(IF(ISNUMBER(G336),G336,F336)*1*IF(E336="PHP",'03_逐品成本'!E23*0.95,1),10),2),"")</f>
        <v/>
      </c>
      <c r="N336" s="6" t="str">
        <f>IF(AND(ISNUMBER(F336),F336&gt;=0,OR(E336="PHP",E336="CNY"),OR(H336="已核实",H336="不适用"),I336&lt;&gt;"",J336&lt;&gt;"",ISNUMBER(K336),K336&gt;='00_审核入口'!$F$2,OR(H336&lt;&gt;"不适用",F336=0),OR(G336="",AND(ISNUMBER(G336),G336&gt;=0))),"完整","待补证")</f>
        <v>待补证</v>
      </c>
    </row>
    <row r="337" spans="1:14" ht="58" customHeight="1">
      <c r="A337" s="8" t="s">
        <v>204</v>
      </c>
      <c r="B337" s="8" t="s">
        <v>205</v>
      </c>
      <c r="C337" s="8" t="s">
        <v>523</v>
      </c>
      <c r="D337" s="8" t="s">
        <v>524</v>
      </c>
      <c r="E337" s="8"/>
      <c r="F337" s="8"/>
      <c r="G337" s="8"/>
      <c r="H337" s="8" t="s">
        <v>506</v>
      </c>
      <c r="I337" s="8"/>
      <c r="J337" s="8"/>
      <c r="L337" s="9">
        <f>IF(AND(N337="完整",ISNUMBER('03_逐品成本'!E23),'03_逐品成本'!E23&gt;0),ROUND(ROUND(F337*IF(E337="PHP",'03_逐品成本'!E23,1),10),2),"")</f>
        <v/>
      </c>
      <c r="M337" s="9">
        <f>IF(AND(N337="完整",ISNUMBER('03_逐品成本'!E23),'03_逐品成本'!E23&gt;0),ROUND(ROUND(IF(ISNUMBER(G337),G337,F337)*1.15*IF(E337="PHP",'03_逐品成本'!E23*0.95,1),10),2),"")</f>
        <v/>
      </c>
      <c r="N337" s="6" t="str">
        <f>IF(AND(ISNUMBER(F337),F337&gt;=0,OR(E337="PHP",E337="CNY"),OR(H337="已核实",H337="不适用"),I337&lt;&gt;"",J337&lt;&gt;"",ISNUMBER(K337),K337&gt;='00_审核入口'!$F$2,OR(H337&lt;&gt;"不适用",F337=0),OR(G337="",AND(ISNUMBER(G337),G337&gt;=0))),"完整","待补证")</f>
        <v>待补证</v>
      </c>
    </row>
    <row r="338" spans="1:14" ht="58" customHeight="1">
      <c r="A338" s="8" t="s">
        <v>204</v>
      </c>
      <c r="B338" s="8" t="s">
        <v>205</v>
      </c>
      <c r="C338" s="8" t="s">
        <v>525</v>
      </c>
      <c r="D338" s="8" t="s">
        <v>526</v>
      </c>
      <c r="E338" s="8"/>
      <c r="F338" s="8"/>
      <c r="G338" s="8"/>
      <c r="H338" s="8" t="s">
        <v>506</v>
      </c>
      <c r="I338" s="8"/>
      <c r="J338" s="8"/>
      <c r="L338" s="9">
        <f>IF(AND(N338="完整",ISNUMBER('03_逐品成本'!E23),'03_逐品成本'!E23&gt;0),ROUND(ROUND(F338*IF(E338="PHP",'03_逐品成本'!E23,1),10),2),"")</f>
        <v/>
      </c>
      <c r="M338" s="9">
        <f>IF(AND(N338="完整",ISNUMBER('03_逐品成本'!E23),'03_逐品成本'!E23&gt;0),ROUND(ROUND(IF(ISNUMBER(G338),G338,F338)*1.15*IF(E338="PHP",'03_逐品成本'!E23*0.95,1),10),2),"")</f>
        <v/>
      </c>
      <c r="N338" s="6" t="str">
        <f>IF(AND(ISNUMBER(F338),F338&gt;=0,OR(E338="PHP",E338="CNY"),OR(H338="已核实",H338="不适用"),I338&lt;&gt;"",J338&lt;&gt;"",ISNUMBER(K338),K338&gt;='00_审核入口'!$F$2,OR(H338&lt;&gt;"不适用",F338=0),OR(G338="",AND(ISNUMBER(G338),G338&gt;=0))),"完整","待补证")</f>
        <v>待补证</v>
      </c>
    </row>
    <row r="339" spans="1:14" ht="58" customHeight="1">
      <c r="A339" s="8" t="s">
        <v>204</v>
      </c>
      <c r="B339" s="8" t="s">
        <v>205</v>
      </c>
      <c r="C339" s="8" t="s">
        <v>527</v>
      </c>
      <c r="D339" s="8" t="s">
        <v>528</v>
      </c>
      <c r="E339" s="8"/>
      <c r="F339" s="8"/>
      <c r="G339" s="8"/>
      <c r="H339" s="8" t="s">
        <v>506</v>
      </c>
      <c r="I339" s="8"/>
      <c r="J339" s="8"/>
      <c r="L339" s="9">
        <f>IF(AND(N339="完整",ISNUMBER('03_逐品成本'!E23),'03_逐品成本'!E23&gt;0),ROUND(ROUND(F339*IF(E339="PHP",'03_逐品成本'!E23,1),10),2),"")</f>
        <v/>
      </c>
      <c r="M339" s="9">
        <f>IF(AND(N339="完整",ISNUMBER('03_逐品成本'!E23),'03_逐品成本'!E23&gt;0),ROUND(ROUND(IF(ISNUMBER(G339),G339,F339)*1.15*IF(E339="PHP",'03_逐品成本'!E23*0.95,1),10),2),"")</f>
        <v/>
      </c>
      <c r="N339" s="6" t="str">
        <f>IF(AND(ISNUMBER(F339),F339&gt;=0,OR(E339="PHP",E339="CNY"),OR(H339="已核实",H339="不适用"),I339&lt;&gt;"",J339&lt;&gt;"",ISNUMBER(K339),K339&gt;='00_审核入口'!$F$2,OR(H339&lt;&gt;"不适用",F339=0),OR(G339="",AND(ISNUMBER(G339),G339&gt;=0))),"完整","待补证")</f>
        <v>待补证</v>
      </c>
    </row>
    <row r="340" spans="1:14" ht="58" customHeight="1">
      <c r="A340" s="8" t="s">
        <v>204</v>
      </c>
      <c r="B340" s="8" t="s">
        <v>205</v>
      </c>
      <c r="C340" s="8" t="s">
        <v>529</v>
      </c>
      <c r="D340" s="8" t="s">
        <v>530</v>
      </c>
      <c r="E340" s="8"/>
      <c r="F340" s="8"/>
      <c r="G340" s="8"/>
      <c r="H340" s="8" t="s">
        <v>506</v>
      </c>
      <c r="I340" s="8"/>
      <c r="J340" s="8"/>
      <c r="L340" s="9">
        <f>IF(AND(N340="完整",ISNUMBER('03_逐品成本'!E23),'03_逐品成本'!E23&gt;0),ROUND(ROUND(F340*IF(E340="PHP",'03_逐品成本'!E23,1),10),2),"")</f>
        <v/>
      </c>
      <c r="M340" s="9">
        <f>IF(AND(N340="完整",ISNUMBER('03_逐品成本'!E23),'03_逐品成本'!E23&gt;0),ROUND(ROUND(IF(ISNUMBER(G340),G340,F340)*1*IF(E340="PHP",'03_逐品成本'!E23*0.95,1),10),2),"")</f>
        <v/>
      </c>
      <c r="N340" s="6" t="str">
        <f>IF(AND(ISNUMBER(F340),F340&gt;=0,OR(E340="PHP",E340="CNY"),OR(H340="已核实",H340="不适用",H340="预算"),I340&lt;&gt;"",J340&lt;&gt;"",ISNUMBER(K340),K340&gt;='00_审核入口'!$F$2,OR(H340&lt;&gt;"不适用",F340=0),OR(G340="",AND(ISNUMBER(G340),G340&gt;=0))),"完整","待补证")</f>
        <v>待补证</v>
      </c>
    </row>
    <row r="341" spans="1:14" ht="58" customHeight="1">
      <c r="A341" s="8" t="s">
        <v>204</v>
      </c>
      <c r="B341" s="8" t="s">
        <v>205</v>
      </c>
      <c r="C341" s="8" t="s">
        <v>531</v>
      </c>
      <c r="D341" s="8" t="s">
        <v>532</v>
      </c>
      <c r="E341" s="8"/>
      <c r="F341" s="8"/>
      <c r="G341" s="8"/>
      <c r="H341" s="8" t="s">
        <v>506</v>
      </c>
      <c r="I341" s="8"/>
      <c r="J341" s="8"/>
      <c r="L341" s="9">
        <f>IF(AND(N341="完整",ISNUMBER('03_逐品成本'!E23),'03_逐品成本'!E23&gt;0),ROUND(ROUND(F341*IF(E341="PHP",'03_逐品成本'!E23,1),10),2),"")</f>
        <v/>
      </c>
      <c r="M341" s="9">
        <f>IF(AND(N341="完整",ISNUMBER('03_逐品成本'!E23),'03_逐品成本'!E23&gt;0),ROUND(ROUND(IF(ISNUMBER(G341),G341,F341)*1*IF(E341="PHP",'03_逐品成本'!E23*0.95,1),10),2),"")</f>
        <v/>
      </c>
      <c r="N341" s="6" t="str">
        <f>IF(AND(ISNUMBER(F341),F341&gt;=0,OR(E341="PHP",E341="CNY"),OR(H341="已核实",H341="不适用",H341="预算"),I341&lt;&gt;"",J341&lt;&gt;"",ISNUMBER(K341),K341&gt;='00_审核入口'!$F$2,OR(H341&lt;&gt;"不适用",F341=0),OR(G341="",AND(ISNUMBER(G341),G341&gt;=0))),"完整","待补证")</f>
        <v>待补证</v>
      </c>
    </row>
    <row r="342" spans="1:14" ht="58" customHeight="1">
      <c r="A342" s="8" t="s">
        <v>204</v>
      </c>
      <c r="B342" s="8" t="s">
        <v>205</v>
      </c>
      <c r="C342" s="8" t="s">
        <v>533</v>
      </c>
      <c r="D342" s="8" t="s">
        <v>534</v>
      </c>
      <c r="E342" s="8"/>
      <c r="F342" s="8"/>
      <c r="G342" s="8"/>
      <c r="H342" s="8" t="s">
        <v>506</v>
      </c>
      <c r="I342" s="8"/>
      <c r="J342" s="8"/>
      <c r="L342" s="9">
        <f>IF(AND(N342="完整",ISNUMBER('03_逐品成本'!E23),'03_逐品成本'!E23&gt;0),ROUND(ROUND(F342*IF(E342="PHP",'03_逐品成本'!E23,1),10),2),"")</f>
        <v/>
      </c>
      <c r="M342" s="9">
        <f>IF(AND(N342="完整",ISNUMBER('03_逐品成本'!E23),'03_逐品成本'!E23&gt;0),ROUND(ROUND(IF(ISNUMBER(G342),G342,F342)*1*IF(E342="PHP",'03_逐品成本'!E23*0.95,1),10),2),"")</f>
        <v/>
      </c>
      <c r="N342" s="6" t="str">
        <f>IF(AND(ISNUMBER(F342),F342&gt;=0,OR(E342="PHP",E342="CNY"),OR(H342="已核实",H342="不适用",H342="预算"),I342&lt;&gt;"",J342&lt;&gt;"",ISNUMBER(K342),K342&gt;='00_审核入口'!$F$2,OR(H342&lt;&gt;"不适用",F342=0),OR(G342="",AND(ISNUMBER(G342),G342&gt;=0))),"完整","待补证")</f>
        <v>待补证</v>
      </c>
    </row>
    <row r="343" spans="1:14" ht="58" customHeight="1">
      <c r="A343" s="8" t="s">
        <v>204</v>
      </c>
      <c r="B343" s="8" t="s">
        <v>205</v>
      </c>
      <c r="C343" s="8" t="s">
        <v>535</v>
      </c>
      <c r="D343" s="8" t="s">
        <v>536</v>
      </c>
      <c r="E343" s="8"/>
      <c r="F343" s="8"/>
      <c r="G343" s="8"/>
      <c r="H343" s="8" t="s">
        <v>506</v>
      </c>
      <c r="I343" s="8"/>
      <c r="J343" s="8"/>
      <c r="L343" s="9">
        <f>IF(AND(N343="完整",ISNUMBER('03_逐品成本'!E23),'03_逐品成本'!E23&gt;0),ROUND(ROUND(F343*IF(E343="PHP",'03_逐品成本'!E23,1),10),2),"")</f>
        <v/>
      </c>
      <c r="M343" s="9">
        <f>IF(AND(N343="完整",ISNUMBER('03_逐品成本'!E23),'03_逐品成本'!E23&gt;0),ROUND(ROUND(IF(ISNUMBER(G343),G343,F343)*1*IF(E343="PHP",'03_逐品成本'!E23*0.95,1),10),2),"")</f>
        <v/>
      </c>
      <c r="N343" s="6" t="str">
        <f>IF(AND(ISNUMBER(F343),F343&gt;=0,OR(E343="PHP",E343="CNY"),OR(H343="已核实",H343="不适用"),I343&lt;&gt;"",J343&lt;&gt;"",ISNUMBER(K343),K343&gt;='00_审核入口'!$F$2,OR(H343&lt;&gt;"不适用",F343=0),OR(G343="",AND(ISNUMBER(G343),G343&gt;=0))),"完整","待补证")</f>
        <v>待补证</v>
      </c>
    </row>
    <row r="344" spans="1:14" ht="58" customHeight="1">
      <c r="A344" s="8" t="s">
        <v>204</v>
      </c>
      <c r="B344" s="8" t="s">
        <v>205</v>
      </c>
      <c r="C344" s="8" t="s">
        <v>537</v>
      </c>
      <c r="D344" s="8" t="s">
        <v>538</v>
      </c>
      <c r="E344" s="8"/>
      <c r="F344" s="8"/>
      <c r="G344" s="8"/>
      <c r="H344" s="8" t="s">
        <v>506</v>
      </c>
      <c r="I344" s="8"/>
      <c r="J344" s="8"/>
      <c r="L344" s="9">
        <f>IF(AND(N344="完整",ISNUMBER('03_逐品成本'!E23),'03_逐品成本'!E23&gt;0),ROUND(ROUND(F344*IF(E344="PHP",'03_逐品成本'!E23,1),10),2),"")</f>
        <v/>
      </c>
      <c r="M344" s="9">
        <f>IF(AND(N344="完整",ISNUMBER('03_逐品成本'!E23),'03_逐品成本'!E23&gt;0),ROUND(ROUND(IF(ISNUMBER(G344),G344,F344)*1*IF(E344="PHP",'03_逐品成本'!E23*0.95,1),10),2),"")</f>
        <v/>
      </c>
      <c r="N344" s="6" t="str">
        <f>IF(AND(ISNUMBER(F344),F344&gt;=0,OR(E344="PHP",E344="CNY"),OR(H344="已核实",H344="不适用"),I344&lt;&gt;"",J344&lt;&gt;"",ISNUMBER(K344),K344&gt;='00_审核入口'!$F$2,OR(H344&lt;&gt;"不适用",F344=0),OR(G344="",AND(ISNUMBER(G344),G344&gt;=0))),"完整","待补证")</f>
        <v>待补证</v>
      </c>
    </row>
    <row r="345" spans="1:14" ht="58" customHeight="1">
      <c r="A345" s="8" t="s">
        <v>204</v>
      </c>
      <c r="B345" s="8" t="s">
        <v>205</v>
      </c>
      <c r="C345" s="8" t="s">
        <v>539</v>
      </c>
      <c r="D345" s="8" t="s">
        <v>540</v>
      </c>
      <c r="E345" s="8"/>
      <c r="F345" s="8"/>
      <c r="G345" s="8"/>
      <c r="H345" s="8" t="s">
        <v>506</v>
      </c>
      <c r="I345" s="8"/>
      <c r="J345" s="8"/>
      <c r="L345" s="9">
        <f>IF(AND(N345="完整",ISNUMBER('03_逐品成本'!E23),'03_逐品成本'!E23&gt;0),ROUND(ROUND(F345*IF(E345="PHP",'03_逐品成本'!E23,1),10),2),"")</f>
        <v/>
      </c>
      <c r="M345" s="9">
        <f>IF(AND(N345="完整",ISNUMBER('03_逐品成本'!E23),'03_逐品成本'!E23&gt;0),ROUND(ROUND(IF(ISNUMBER(G345),G345,F345)*1*IF(E345="PHP",'03_逐品成本'!E23*0.95,1),10),2),"")</f>
        <v/>
      </c>
      <c r="N345" s="6" t="str">
        <f>IF(AND(ISNUMBER(F345),F345&gt;=0,OR(E345="PHP",E345="CNY"),OR(H345="已核实",H345="不适用",H345="预算"),I345&lt;&gt;"",J345&lt;&gt;"",ISNUMBER(K345),K345&gt;='00_审核入口'!$F$2,OR(H345&lt;&gt;"不适用",F345=0),OR(G345="",AND(ISNUMBER(G345),G345&gt;=0))),"完整","待补证")</f>
        <v>待补证</v>
      </c>
    </row>
    <row r="346" spans="1:14" ht="58" customHeight="1">
      <c r="A346" s="8" t="s">
        <v>204</v>
      </c>
      <c r="B346" s="8" t="s">
        <v>205</v>
      </c>
      <c r="C346" s="8" t="s">
        <v>541</v>
      </c>
      <c r="D346" s="8" t="s">
        <v>542</v>
      </c>
      <c r="E346" s="8"/>
      <c r="F346" s="8"/>
      <c r="G346" s="8"/>
      <c r="H346" s="8" t="s">
        <v>506</v>
      </c>
      <c r="I346" s="8"/>
      <c r="J346" s="8"/>
      <c r="L346" s="9">
        <f>IF(AND(N346="完整",ISNUMBER('03_逐品成本'!E23),'03_逐品成本'!E23&gt;0),ROUND(ROUND(F346*IF(E346="PHP",'03_逐品成本'!E23,1),10),2),"")</f>
        <v/>
      </c>
      <c r="M346" s="9">
        <f>IF(AND(N346="完整",ISNUMBER('03_逐品成本'!E23),'03_逐品成本'!E23&gt;0),ROUND(ROUND(IF(ISNUMBER(G346),G346,F346)*1*IF(E346="PHP",'03_逐品成本'!E23*0.95,1),10),2),"")</f>
        <v/>
      </c>
      <c r="N346" s="6" t="str">
        <f>IF(AND(ISNUMBER(F346),F346&gt;=0,OR(E346="PHP",E346="CNY"),OR(H346="已核实",H346="不适用",H346="预算"),I346&lt;&gt;"",J346&lt;&gt;"",ISNUMBER(K346),K346&gt;='00_审核入口'!$F$2,OR(H346&lt;&gt;"不适用",F346=0),OR(G346="",AND(ISNUMBER(G346),G346&gt;=0))),"完整","待补证")</f>
        <v>待补证</v>
      </c>
    </row>
    <row r="347" spans="1:14" ht="58" customHeight="1">
      <c r="A347" s="8" t="s">
        <v>212</v>
      </c>
      <c r="B347" s="8" t="s">
        <v>213</v>
      </c>
      <c r="C347" s="8" t="s">
        <v>507</v>
      </c>
      <c r="D347" s="8" t="s">
        <v>508</v>
      </c>
      <c r="E347" s="8"/>
      <c r="F347" s="8"/>
      <c r="G347" s="8"/>
      <c r="H347" s="8" t="s">
        <v>506</v>
      </c>
      <c r="I347" s="8"/>
      <c r="J347" s="8"/>
      <c r="L347" s="9">
        <f>IF(AND(N347="完整",ISNUMBER('03_逐品成本'!E24),'03_逐品成本'!E24&gt;0),ROUND(ROUND(F347*IF(E347="PHP",'03_逐品成本'!E24,1),10),2),"")</f>
        <v/>
      </c>
      <c r="M347" s="9">
        <f>IF(AND(N347="完整",ISNUMBER('03_逐品成本'!E24),'03_逐品成本'!E24&gt;0),ROUND(ROUND(IF(ISNUMBER(G347),G347,F347)*1*IF(E347="PHP",'03_逐品成本'!E24*0.95,1),10),2),"")</f>
        <v/>
      </c>
      <c r="N347" s="6" t="str">
        <f>IF(AND(ISNUMBER(F347),F347&gt;=0,OR(E347="PHP",E347="CNY"),OR(H347="已核实",H347="不适用"),I347&lt;&gt;"",J347&lt;&gt;"",ISNUMBER(K347),K347&gt;='00_审核入口'!$F$2,OR(H347&lt;&gt;"不适用",F347=0),OR(G347="",AND(ISNUMBER(G347),G347&gt;=0))),"完整","待补证")</f>
        <v>待补证</v>
      </c>
    </row>
    <row r="348" spans="1:14" ht="58" customHeight="1">
      <c r="A348" s="8" t="s">
        <v>212</v>
      </c>
      <c r="B348" s="8" t="s">
        <v>213</v>
      </c>
      <c r="C348" s="8" t="s">
        <v>509</v>
      </c>
      <c r="D348" s="8" t="s">
        <v>510</v>
      </c>
      <c r="E348" s="8"/>
      <c r="F348" s="8"/>
      <c r="G348" s="8"/>
      <c r="H348" s="8" t="s">
        <v>506</v>
      </c>
      <c r="I348" s="8"/>
      <c r="J348" s="8"/>
      <c r="L348" s="9">
        <f>IF(AND(N348="完整",ISNUMBER('03_逐品成本'!E24),'03_逐品成本'!E24&gt;0),ROUND(ROUND(F348*IF(E348="PHP",'03_逐品成本'!E24,1),10),2),"")</f>
        <v/>
      </c>
      <c r="M348" s="9">
        <f>IF(AND(N348="完整",ISNUMBER('03_逐品成本'!E24),'03_逐品成本'!E24&gt;0),ROUND(ROUND(IF(ISNUMBER(G348),G348,F348)*1*IF(E348="PHP",'03_逐品成本'!E24*0.95,1),10),2),"")</f>
        <v/>
      </c>
      <c r="N348" s="6" t="str">
        <f>IF(AND(ISNUMBER(F348),F348&gt;=0,OR(E348="PHP",E348="CNY"),OR(H348="已核实",H348="不适用"),I348&lt;&gt;"",J348&lt;&gt;"",ISNUMBER(K348),K348&gt;='00_审核入口'!$F$2,OR(H348&lt;&gt;"不适用",F348=0),OR(G348="",AND(ISNUMBER(G348),G348&gt;=0)),ISNUMBER(G348),G348&gt;=0),"完整","待补证")</f>
        <v>待补证</v>
      </c>
    </row>
    <row r="349" spans="1:14" ht="58" customHeight="1">
      <c r="A349" s="8" t="s">
        <v>212</v>
      </c>
      <c r="B349" s="8" t="s">
        <v>213</v>
      </c>
      <c r="C349" s="8" t="s">
        <v>511</v>
      </c>
      <c r="D349" s="8" t="s">
        <v>512</v>
      </c>
      <c r="E349" s="8"/>
      <c r="F349" s="8"/>
      <c r="G349" s="8"/>
      <c r="H349" s="8" t="s">
        <v>506</v>
      </c>
      <c r="I349" s="8"/>
      <c r="J349" s="8"/>
      <c r="L349" s="9">
        <f>IF(AND(N349="完整",ISNUMBER('03_逐品成本'!E24),'03_逐品成本'!E24&gt;0),ROUND(ROUND(F349*IF(E349="PHP",'03_逐品成本'!E24,1),10),2),"")</f>
        <v/>
      </c>
      <c r="M349" s="9">
        <f>IF(AND(N349="完整",ISNUMBER('03_逐品成本'!E24),'03_逐品成本'!E24&gt;0),ROUND(ROUND(IF(ISNUMBER(G349),G349,F349)*1*IF(E349="PHP",'03_逐品成本'!E24*0.95,1),10),2),"")</f>
        <v/>
      </c>
      <c r="N349" s="6" t="str">
        <f>IF(AND(ISNUMBER(F349),F349&gt;=0,OR(E349="PHP",E349="CNY"),OR(H349="已核实",H349="不适用"),I349&lt;&gt;"",J349&lt;&gt;"",ISNUMBER(K349),K349&gt;='00_审核入口'!$F$2,OR(H349&lt;&gt;"不适用",F349=0),OR(G349="",AND(ISNUMBER(G349),G349&gt;=0))),"完整","待补证")</f>
        <v>待补证</v>
      </c>
    </row>
    <row r="350" spans="1:14" ht="58" customHeight="1">
      <c r="A350" s="8" t="s">
        <v>212</v>
      </c>
      <c r="B350" s="8" t="s">
        <v>213</v>
      </c>
      <c r="C350" s="8" t="s">
        <v>513</v>
      </c>
      <c r="D350" s="8" t="s">
        <v>514</v>
      </c>
      <c r="E350" s="8"/>
      <c r="F350" s="8"/>
      <c r="G350" s="8"/>
      <c r="H350" s="8" t="s">
        <v>506</v>
      </c>
      <c r="I350" s="8"/>
      <c r="J350" s="8"/>
      <c r="L350" s="9">
        <f>IF(AND(N350="完整",ISNUMBER('03_逐品成本'!E24),'03_逐品成本'!E24&gt;0),ROUND(ROUND(F350*IF(E350="PHP",'03_逐品成本'!E24,1),10),2),"")</f>
        <v/>
      </c>
      <c r="M350" s="9">
        <f>IF(AND(N350="完整",ISNUMBER('03_逐品成本'!E24),'03_逐品成本'!E24&gt;0),ROUND(ROUND(IF(ISNUMBER(G350),G350,F350)*1*IF(E350="PHP",'03_逐品成本'!E24*0.95,1),10),2),"")</f>
        <v/>
      </c>
      <c r="N350" s="6" t="str">
        <f>IF(AND(ISNUMBER(F350),F350&gt;=0,OR(E350="PHP",E350="CNY"),OR(H350="已核实",H350="不适用"),I350&lt;&gt;"",J350&lt;&gt;"",ISNUMBER(K350),K350&gt;='00_审核入口'!$F$2,OR(H350&lt;&gt;"不适用",F350=0),OR(G350="",AND(ISNUMBER(G350),G350&gt;=0))),"完整","待补证")</f>
        <v>待补证</v>
      </c>
    </row>
    <row r="351" spans="1:14" ht="58" customHeight="1">
      <c r="A351" s="8" t="s">
        <v>212</v>
      </c>
      <c r="B351" s="8" t="s">
        <v>213</v>
      </c>
      <c r="C351" s="8" t="s">
        <v>515</v>
      </c>
      <c r="D351" s="8" t="s">
        <v>516</v>
      </c>
      <c r="E351" s="8"/>
      <c r="F351" s="8"/>
      <c r="G351" s="8"/>
      <c r="H351" s="8" t="s">
        <v>506</v>
      </c>
      <c r="I351" s="8"/>
      <c r="J351" s="8"/>
      <c r="L351" s="9">
        <f>IF(AND(N351="完整",ISNUMBER('03_逐品成本'!E24),'03_逐品成本'!E24&gt;0),ROUND(ROUND(F351*IF(E351="PHP",'03_逐品成本'!E24,1),10),2),"")</f>
        <v/>
      </c>
      <c r="M351" s="9">
        <f>IF(AND(N351="完整",ISNUMBER('03_逐品成本'!E24),'03_逐品成本'!E24&gt;0),ROUND(ROUND(IF(ISNUMBER(G351),G351,F351)*1*IF(E351="PHP",'03_逐品成本'!E24*0.95,1),10),2),"")</f>
        <v/>
      </c>
      <c r="N351" s="6" t="str">
        <f>IF(AND(ISNUMBER(F351),F351&gt;=0,OR(E351="PHP",E351="CNY"),OR(H351="已核实",H351="不适用"),I351&lt;&gt;"",J351&lt;&gt;"",ISNUMBER(K351),K351&gt;='00_审核入口'!$F$2,OR(H351&lt;&gt;"不适用",F351=0),OR(G351="",AND(ISNUMBER(G351),G351&gt;=0))),"完整","待补证")</f>
        <v>待补证</v>
      </c>
    </row>
    <row r="352" spans="1:14" ht="58" customHeight="1">
      <c r="A352" s="8" t="s">
        <v>212</v>
      </c>
      <c r="B352" s="8" t="s">
        <v>213</v>
      </c>
      <c r="C352" s="8" t="s">
        <v>517</v>
      </c>
      <c r="D352" s="8" t="s">
        <v>518</v>
      </c>
      <c r="E352" s="8"/>
      <c r="F352" s="8"/>
      <c r="G352" s="8"/>
      <c r="H352" s="8" t="s">
        <v>506</v>
      </c>
      <c r="I352" s="8"/>
      <c r="J352" s="8"/>
      <c r="L352" s="9">
        <f>IF(AND(N352="完整",ISNUMBER('03_逐品成本'!E24),'03_逐品成本'!E24&gt;0),ROUND(ROUND(F352*IF(E352="PHP",'03_逐品成本'!E24,1),10),2),"")</f>
        <v/>
      </c>
      <c r="M352" s="9">
        <f>IF(AND(N352="完整",ISNUMBER('03_逐品成本'!E24),'03_逐品成本'!E24&gt;0),ROUND(ROUND(IF(ISNUMBER(G352),G352,F352)*1*IF(E352="PHP",'03_逐品成本'!E24*0.95,1),10),2),"")</f>
        <v/>
      </c>
      <c r="N352" s="6" t="str">
        <f>IF(AND(ISNUMBER(F352),F352&gt;=0,OR(E352="PHP",E352="CNY"),OR(H352="已核实",H352="不适用"),I352&lt;&gt;"",J352&lt;&gt;"",ISNUMBER(K352),K352&gt;='00_审核入口'!$F$2,OR(H352&lt;&gt;"不适用",F352=0),OR(G352="",AND(ISNUMBER(G352),G352&gt;=0))),"完整","待补证")</f>
        <v>待补证</v>
      </c>
    </row>
    <row r="353" spans="1:14" ht="58" customHeight="1">
      <c r="A353" s="8" t="s">
        <v>212</v>
      </c>
      <c r="B353" s="8" t="s">
        <v>213</v>
      </c>
      <c r="C353" s="8" t="s">
        <v>519</v>
      </c>
      <c r="D353" s="8" t="s">
        <v>520</v>
      </c>
      <c r="E353" s="8"/>
      <c r="F353" s="8"/>
      <c r="G353" s="8"/>
      <c r="H353" s="8" t="s">
        <v>506</v>
      </c>
      <c r="I353" s="8"/>
      <c r="J353" s="8"/>
      <c r="L353" s="9">
        <f>IF(AND(N353="完整",ISNUMBER('03_逐品成本'!E24),'03_逐品成本'!E24&gt;0),ROUND(ROUND(F353*IF(E353="PHP",'03_逐品成本'!E24,1),10),2),"")</f>
        <v/>
      </c>
      <c r="M353" s="9">
        <f>IF(AND(N353="完整",ISNUMBER('03_逐品成本'!E24),'03_逐品成本'!E24&gt;0),ROUND(ROUND(IF(ISNUMBER(G353),G353,F353)*1*IF(E353="PHP",'03_逐品成本'!E24*0.95,1),10),2),"")</f>
        <v/>
      </c>
      <c r="N353" s="6" t="str">
        <f>IF(AND(ISNUMBER(F353),F353&gt;=0,OR(E353="PHP",E353="CNY"),OR(H353="已核实",H353="不适用"),I353&lt;&gt;"",J353&lt;&gt;"",ISNUMBER(K353),K353&gt;='00_审核入口'!$F$2,OR(H353&lt;&gt;"不适用",F353=0),OR(G353="",AND(ISNUMBER(G353),G353&gt;=0))),"完整","待补证")</f>
        <v>待补证</v>
      </c>
    </row>
    <row r="354" spans="1:14" ht="58" customHeight="1">
      <c r="A354" s="8" t="s">
        <v>212</v>
      </c>
      <c r="B354" s="8" t="s">
        <v>213</v>
      </c>
      <c r="C354" s="8" t="s">
        <v>521</v>
      </c>
      <c r="D354" s="8" t="s">
        <v>522</v>
      </c>
      <c r="E354" s="8"/>
      <c r="F354" s="8"/>
      <c r="G354" s="8"/>
      <c r="H354" s="8" t="s">
        <v>506</v>
      </c>
      <c r="I354" s="8"/>
      <c r="J354" s="8"/>
      <c r="L354" s="9">
        <f>IF(AND(N354="完整",ISNUMBER('03_逐品成本'!E24),'03_逐品成本'!E24&gt;0),ROUND(ROUND(F354*IF(E354="PHP",'03_逐品成本'!E24,1),10),2),"")</f>
        <v/>
      </c>
      <c r="M354" s="9">
        <f>IF(AND(N354="完整",ISNUMBER('03_逐品成本'!E24),'03_逐品成本'!E24&gt;0),ROUND(ROUND(IF(ISNUMBER(G354),G354,F354)*1*IF(E354="PHP",'03_逐品成本'!E24*0.95,1),10),2),"")</f>
        <v/>
      </c>
      <c r="N354" s="6" t="str">
        <f>IF(AND(ISNUMBER(F354),F354&gt;=0,OR(E354="PHP",E354="CNY"),OR(H354="已核实",H354="不适用"),I354&lt;&gt;"",J354&lt;&gt;"",ISNUMBER(K354),K354&gt;='00_审核入口'!$F$2,OR(H354&lt;&gt;"不适用",F354=0),OR(G354="",AND(ISNUMBER(G354),G354&gt;=0))),"完整","待补证")</f>
        <v>待补证</v>
      </c>
    </row>
    <row r="355" spans="1:14" ht="58" customHeight="1">
      <c r="A355" s="8" t="s">
        <v>212</v>
      </c>
      <c r="B355" s="8" t="s">
        <v>213</v>
      </c>
      <c r="C355" s="8" t="s">
        <v>523</v>
      </c>
      <c r="D355" s="8" t="s">
        <v>524</v>
      </c>
      <c r="E355" s="8"/>
      <c r="F355" s="8"/>
      <c r="G355" s="8"/>
      <c r="H355" s="8" t="s">
        <v>506</v>
      </c>
      <c r="I355" s="8"/>
      <c r="J355" s="8"/>
      <c r="L355" s="9">
        <f>IF(AND(N355="完整",ISNUMBER('03_逐品成本'!E24),'03_逐品成本'!E24&gt;0),ROUND(ROUND(F355*IF(E355="PHP",'03_逐品成本'!E24,1),10),2),"")</f>
        <v/>
      </c>
      <c r="M355" s="9">
        <f>IF(AND(N355="完整",ISNUMBER('03_逐品成本'!E24),'03_逐品成本'!E24&gt;0),ROUND(ROUND(IF(ISNUMBER(G355),G355,F355)*1.15*IF(E355="PHP",'03_逐品成本'!E24*0.95,1),10),2),"")</f>
        <v/>
      </c>
      <c r="N355" s="6" t="str">
        <f>IF(AND(ISNUMBER(F355),F355&gt;=0,OR(E355="PHP",E355="CNY"),OR(H355="已核实",H355="不适用"),I355&lt;&gt;"",J355&lt;&gt;"",ISNUMBER(K355),K355&gt;='00_审核入口'!$F$2,OR(H355&lt;&gt;"不适用",F355=0),OR(G355="",AND(ISNUMBER(G355),G355&gt;=0))),"完整","待补证")</f>
        <v>待补证</v>
      </c>
    </row>
    <row r="356" spans="1:14" ht="58" customHeight="1">
      <c r="A356" s="8" t="s">
        <v>212</v>
      </c>
      <c r="B356" s="8" t="s">
        <v>213</v>
      </c>
      <c r="C356" s="8" t="s">
        <v>525</v>
      </c>
      <c r="D356" s="8" t="s">
        <v>526</v>
      </c>
      <c r="E356" s="8"/>
      <c r="F356" s="8"/>
      <c r="G356" s="8"/>
      <c r="H356" s="8" t="s">
        <v>506</v>
      </c>
      <c r="I356" s="8"/>
      <c r="J356" s="8"/>
      <c r="L356" s="9">
        <f>IF(AND(N356="完整",ISNUMBER('03_逐品成本'!E24),'03_逐品成本'!E24&gt;0),ROUND(ROUND(F356*IF(E356="PHP",'03_逐品成本'!E24,1),10),2),"")</f>
        <v/>
      </c>
      <c r="M356" s="9">
        <f>IF(AND(N356="完整",ISNUMBER('03_逐品成本'!E24),'03_逐品成本'!E24&gt;0),ROUND(ROUND(IF(ISNUMBER(G356),G356,F356)*1.15*IF(E356="PHP",'03_逐品成本'!E24*0.95,1),10),2),"")</f>
        <v/>
      </c>
      <c r="N356" s="6" t="str">
        <f>IF(AND(ISNUMBER(F356),F356&gt;=0,OR(E356="PHP",E356="CNY"),OR(H356="已核实",H356="不适用"),I356&lt;&gt;"",J356&lt;&gt;"",ISNUMBER(K356),K356&gt;='00_审核入口'!$F$2,OR(H356&lt;&gt;"不适用",F356=0),OR(G356="",AND(ISNUMBER(G356),G356&gt;=0))),"完整","待补证")</f>
        <v>待补证</v>
      </c>
    </row>
    <row r="357" spans="1:14" ht="58" customHeight="1">
      <c r="A357" s="8" t="s">
        <v>212</v>
      </c>
      <c r="B357" s="8" t="s">
        <v>213</v>
      </c>
      <c r="C357" s="8" t="s">
        <v>527</v>
      </c>
      <c r="D357" s="8" t="s">
        <v>528</v>
      </c>
      <c r="E357" s="8"/>
      <c r="F357" s="8"/>
      <c r="G357" s="8"/>
      <c r="H357" s="8" t="s">
        <v>506</v>
      </c>
      <c r="I357" s="8"/>
      <c r="J357" s="8"/>
      <c r="L357" s="9">
        <f>IF(AND(N357="完整",ISNUMBER('03_逐品成本'!E24),'03_逐品成本'!E24&gt;0),ROUND(ROUND(F357*IF(E357="PHP",'03_逐品成本'!E24,1),10),2),"")</f>
        <v/>
      </c>
      <c r="M357" s="9">
        <f>IF(AND(N357="完整",ISNUMBER('03_逐品成本'!E24),'03_逐品成本'!E24&gt;0),ROUND(ROUND(IF(ISNUMBER(G357),G357,F357)*1.15*IF(E357="PHP",'03_逐品成本'!E24*0.95,1),10),2),"")</f>
        <v/>
      </c>
      <c r="N357" s="6" t="str">
        <f>IF(AND(ISNUMBER(F357),F357&gt;=0,OR(E357="PHP",E357="CNY"),OR(H357="已核实",H357="不适用"),I357&lt;&gt;"",J357&lt;&gt;"",ISNUMBER(K357),K357&gt;='00_审核入口'!$F$2,OR(H357&lt;&gt;"不适用",F357=0),OR(G357="",AND(ISNUMBER(G357),G357&gt;=0))),"完整","待补证")</f>
        <v>待补证</v>
      </c>
    </row>
    <row r="358" spans="1:14" ht="58" customHeight="1">
      <c r="A358" s="8" t="s">
        <v>212</v>
      </c>
      <c r="B358" s="8" t="s">
        <v>213</v>
      </c>
      <c r="C358" s="8" t="s">
        <v>529</v>
      </c>
      <c r="D358" s="8" t="s">
        <v>530</v>
      </c>
      <c r="E358" s="8"/>
      <c r="F358" s="8"/>
      <c r="G358" s="8"/>
      <c r="H358" s="8" t="s">
        <v>506</v>
      </c>
      <c r="I358" s="8"/>
      <c r="J358" s="8"/>
      <c r="L358" s="9">
        <f>IF(AND(N358="完整",ISNUMBER('03_逐品成本'!E24),'03_逐品成本'!E24&gt;0),ROUND(ROUND(F358*IF(E358="PHP",'03_逐品成本'!E24,1),10),2),"")</f>
        <v/>
      </c>
      <c r="M358" s="9">
        <f>IF(AND(N358="完整",ISNUMBER('03_逐品成本'!E24),'03_逐品成本'!E24&gt;0),ROUND(ROUND(IF(ISNUMBER(G358),G358,F358)*1*IF(E358="PHP",'03_逐品成本'!E24*0.95,1),10),2),"")</f>
        <v/>
      </c>
      <c r="N358" s="6" t="str">
        <f>IF(AND(ISNUMBER(F358),F358&gt;=0,OR(E358="PHP",E358="CNY"),OR(H358="已核实",H358="不适用",H358="预算"),I358&lt;&gt;"",J358&lt;&gt;"",ISNUMBER(K358),K358&gt;='00_审核入口'!$F$2,OR(H358&lt;&gt;"不适用",F358=0),OR(G358="",AND(ISNUMBER(G358),G358&gt;=0))),"完整","待补证")</f>
        <v>待补证</v>
      </c>
    </row>
    <row r="359" spans="1:14" ht="58" customHeight="1">
      <c r="A359" s="8" t="s">
        <v>212</v>
      </c>
      <c r="B359" s="8" t="s">
        <v>213</v>
      </c>
      <c r="C359" s="8" t="s">
        <v>531</v>
      </c>
      <c r="D359" s="8" t="s">
        <v>532</v>
      </c>
      <c r="E359" s="8"/>
      <c r="F359" s="8"/>
      <c r="G359" s="8"/>
      <c r="H359" s="8" t="s">
        <v>506</v>
      </c>
      <c r="I359" s="8"/>
      <c r="J359" s="8"/>
      <c r="L359" s="9">
        <f>IF(AND(N359="完整",ISNUMBER('03_逐品成本'!E24),'03_逐品成本'!E24&gt;0),ROUND(ROUND(F359*IF(E359="PHP",'03_逐品成本'!E24,1),10),2),"")</f>
        <v/>
      </c>
      <c r="M359" s="9">
        <f>IF(AND(N359="完整",ISNUMBER('03_逐品成本'!E24),'03_逐品成本'!E24&gt;0),ROUND(ROUND(IF(ISNUMBER(G359),G359,F359)*1*IF(E359="PHP",'03_逐品成本'!E24*0.95,1),10),2),"")</f>
        <v/>
      </c>
      <c r="N359" s="6" t="str">
        <f>IF(AND(ISNUMBER(F359),F359&gt;=0,OR(E359="PHP",E359="CNY"),OR(H359="已核实",H359="不适用",H359="预算"),I359&lt;&gt;"",J359&lt;&gt;"",ISNUMBER(K359),K359&gt;='00_审核入口'!$F$2,OR(H359&lt;&gt;"不适用",F359=0),OR(G359="",AND(ISNUMBER(G359),G359&gt;=0))),"完整","待补证")</f>
        <v>待补证</v>
      </c>
    </row>
    <row r="360" spans="1:14" ht="58" customHeight="1">
      <c r="A360" s="8" t="s">
        <v>212</v>
      </c>
      <c r="B360" s="8" t="s">
        <v>213</v>
      </c>
      <c r="C360" s="8" t="s">
        <v>533</v>
      </c>
      <c r="D360" s="8" t="s">
        <v>534</v>
      </c>
      <c r="E360" s="8"/>
      <c r="F360" s="8"/>
      <c r="G360" s="8"/>
      <c r="H360" s="8" t="s">
        <v>506</v>
      </c>
      <c r="I360" s="8"/>
      <c r="J360" s="8"/>
      <c r="L360" s="9">
        <f>IF(AND(N360="完整",ISNUMBER('03_逐品成本'!E24),'03_逐品成本'!E24&gt;0),ROUND(ROUND(F360*IF(E360="PHP",'03_逐品成本'!E24,1),10),2),"")</f>
        <v/>
      </c>
      <c r="M360" s="9">
        <f>IF(AND(N360="完整",ISNUMBER('03_逐品成本'!E24),'03_逐品成本'!E24&gt;0),ROUND(ROUND(IF(ISNUMBER(G360),G360,F360)*1*IF(E360="PHP",'03_逐品成本'!E24*0.95,1),10),2),"")</f>
        <v/>
      </c>
      <c r="N360" s="6" t="str">
        <f>IF(AND(ISNUMBER(F360),F360&gt;=0,OR(E360="PHP",E360="CNY"),OR(H360="已核实",H360="不适用",H360="预算"),I360&lt;&gt;"",J360&lt;&gt;"",ISNUMBER(K360),K360&gt;='00_审核入口'!$F$2,OR(H360&lt;&gt;"不适用",F360=0),OR(G360="",AND(ISNUMBER(G360),G360&gt;=0))),"完整","待补证")</f>
        <v>待补证</v>
      </c>
    </row>
    <row r="361" spans="1:14" ht="58" customHeight="1">
      <c r="A361" s="8" t="s">
        <v>212</v>
      </c>
      <c r="B361" s="8" t="s">
        <v>213</v>
      </c>
      <c r="C361" s="8" t="s">
        <v>535</v>
      </c>
      <c r="D361" s="8" t="s">
        <v>536</v>
      </c>
      <c r="E361" s="8"/>
      <c r="F361" s="8"/>
      <c r="G361" s="8"/>
      <c r="H361" s="8" t="s">
        <v>506</v>
      </c>
      <c r="I361" s="8"/>
      <c r="J361" s="8"/>
      <c r="L361" s="9">
        <f>IF(AND(N361="完整",ISNUMBER('03_逐品成本'!E24),'03_逐品成本'!E24&gt;0),ROUND(ROUND(F361*IF(E361="PHP",'03_逐品成本'!E24,1),10),2),"")</f>
        <v/>
      </c>
      <c r="M361" s="9">
        <f>IF(AND(N361="完整",ISNUMBER('03_逐品成本'!E24),'03_逐品成本'!E24&gt;0),ROUND(ROUND(IF(ISNUMBER(G361),G361,F361)*1*IF(E361="PHP",'03_逐品成本'!E24*0.95,1),10),2),"")</f>
        <v/>
      </c>
      <c r="N361" s="6" t="str">
        <f>IF(AND(ISNUMBER(F361),F361&gt;=0,OR(E361="PHP",E361="CNY"),OR(H361="已核实",H361="不适用"),I361&lt;&gt;"",J361&lt;&gt;"",ISNUMBER(K361),K361&gt;='00_审核入口'!$F$2,OR(H361&lt;&gt;"不适用",F361=0),OR(G361="",AND(ISNUMBER(G361),G361&gt;=0))),"完整","待补证")</f>
        <v>待补证</v>
      </c>
    </row>
    <row r="362" spans="1:14" ht="58" customHeight="1">
      <c r="A362" s="8" t="s">
        <v>212</v>
      </c>
      <c r="B362" s="8" t="s">
        <v>213</v>
      </c>
      <c r="C362" s="8" t="s">
        <v>537</v>
      </c>
      <c r="D362" s="8" t="s">
        <v>538</v>
      </c>
      <c r="E362" s="8"/>
      <c r="F362" s="8"/>
      <c r="G362" s="8"/>
      <c r="H362" s="8" t="s">
        <v>506</v>
      </c>
      <c r="I362" s="8"/>
      <c r="J362" s="8"/>
      <c r="L362" s="9">
        <f>IF(AND(N362="完整",ISNUMBER('03_逐品成本'!E24),'03_逐品成本'!E24&gt;0),ROUND(ROUND(F362*IF(E362="PHP",'03_逐品成本'!E24,1),10),2),"")</f>
        <v/>
      </c>
      <c r="M362" s="9">
        <f>IF(AND(N362="完整",ISNUMBER('03_逐品成本'!E24),'03_逐品成本'!E24&gt;0),ROUND(ROUND(IF(ISNUMBER(G362),G362,F362)*1*IF(E362="PHP",'03_逐品成本'!E24*0.95,1),10),2),"")</f>
        <v/>
      </c>
      <c r="N362" s="6" t="str">
        <f>IF(AND(ISNUMBER(F362),F362&gt;=0,OR(E362="PHP",E362="CNY"),OR(H362="已核实",H362="不适用"),I362&lt;&gt;"",J362&lt;&gt;"",ISNUMBER(K362),K362&gt;='00_审核入口'!$F$2,OR(H362&lt;&gt;"不适用",F362=0),OR(G362="",AND(ISNUMBER(G362),G362&gt;=0))),"完整","待补证")</f>
        <v>待补证</v>
      </c>
    </row>
    <row r="363" spans="1:14" ht="58" customHeight="1">
      <c r="A363" s="8" t="s">
        <v>212</v>
      </c>
      <c r="B363" s="8" t="s">
        <v>213</v>
      </c>
      <c r="C363" s="8" t="s">
        <v>539</v>
      </c>
      <c r="D363" s="8" t="s">
        <v>540</v>
      </c>
      <c r="E363" s="8"/>
      <c r="F363" s="8"/>
      <c r="G363" s="8"/>
      <c r="H363" s="8" t="s">
        <v>506</v>
      </c>
      <c r="I363" s="8"/>
      <c r="J363" s="8"/>
      <c r="L363" s="9">
        <f>IF(AND(N363="完整",ISNUMBER('03_逐品成本'!E24),'03_逐品成本'!E24&gt;0),ROUND(ROUND(F363*IF(E363="PHP",'03_逐品成本'!E24,1),10),2),"")</f>
        <v/>
      </c>
      <c r="M363" s="9">
        <f>IF(AND(N363="完整",ISNUMBER('03_逐品成本'!E24),'03_逐品成本'!E24&gt;0),ROUND(ROUND(IF(ISNUMBER(G363),G363,F363)*1*IF(E363="PHP",'03_逐品成本'!E24*0.95,1),10),2),"")</f>
        <v/>
      </c>
      <c r="N363" s="6" t="str">
        <f>IF(AND(ISNUMBER(F363),F363&gt;=0,OR(E363="PHP",E363="CNY"),OR(H363="已核实",H363="不适用",H363="预算"),I363&lt;&gt;"",J363&lt;&gt;"",ISNUMBER(K363),K363&gt;='00_审核入口'!$F$2,OR(H363&lt;&gt;"不适用",F363=0),OR(G363="",AND(ISNUMBER(G363),G363&gt;=0))),"完整","待补证")</f>
        <v>待补证</v>
      </c>
    </row>
    <row r="364" spans="1:14" ht="58" customHeight="1">
      <c r="A364" s="8" t="s">
        <v>212</v>
      </c>
      <c r="B364" s="8" t="s">
        <v>213</v>
      </c>
      <c r="C364" s="8" t="s">
        <v>541</v>
      </c>
      <c r="D364" s="8" t="s">
        <v>542</v>
      </c>
      <c r="E364" s="8"/>
      <c r="F364" s="8"/>
      <c r="G364" s="8"/>
      <c r="H364" s="8" t="s">
        <v>506</v>
      </c>
      <c r="I364" s="8"/>
      <c r="J364" s="8"/>
      <c r="L364" s="9">
        <f>IF(AND(N364="完整",ISNUMBER('03_逐品成本'!E24),'03_逐品成本'!E24&gt;0),ROUND(ROUND(F364*IF(E364="PHP",'03_逐品成本'!E24,1),10),2),"")</f>
        <v/>
      </c>
      <c r="M364" s="9">
        <f>IF(AND(N364="完整",ISNUMBER('03_逐品成本'!E24),'03_逐品成本'!E24&gt;0),ROUND(ROUND(IF(ISNUMBER(G364),G364,F364)*1*IF(E364="PHP",'03_逐品成本'!E24*0.95,1),10),2),"")</f>
        <v/>
      </c>
      <c r="N364" s="6" t="str">
        <f>IF(AND(ISNUMBER(F364),F364&gt;=0,OR(E364="PHP",E364="CNY"),OR(H364="已核实",H364="不适用",H364="预算"),I364&lt;&gt;"",J364&lt;&gt;"",ISNUMBER(K364),K364&gt;='00_审核入口'!$F$2,OR(H364&lt;&gt;"不适用",F364=0),OR(G364="",AND(ISNUMBER(G364),G364&gt;=0))),"完整","待补证")</f>
        <v>待补证</v>
      </c>
    </row>
    <row r="365" spans="1:14" ht="58" customHeight="1">
      <c r="A365" s="8" t="s">
        <v>220</v>
      </c>
      <c r="B365" s="8" t="s">
        <v>221</v>
      </c>
      <c r="C365" s="8" t="s">
        <v>507</v>
      </c>
      <c r="D365" s="8" t="s">
        <v>508</v>
      </c>
      <c r="E365" s="8"/>
      <c r="F365" s="8"/>
      <c r="G365" s="8"/>
      <c r="H365" s="8" t="s">
        <v>506</v>
      </c>
      <c r="I365" s="8"/>
      <c r="J365" s="8"/>
      <c r="L365" s="9">
        <f>IF(AND(N365="完整",ISNUMBER('03_逐品成本'!E25),'03_逐品成本'!E25&gt;0),ROUND(ROUND(F365*IF(E365="PHP",'03_逐品成本'!E25,1),10),2),"")</f>
        <v/>
      </c>
      <c r="M365" s="9">
        <f>IF(AND(N365="完整",ISNUMBER('03_逐品成本'!E25),'03_逐品成本'!E25&gt;0),ROUND(ROUND(IF(ISNUMBER(G365),G365,F365)*1*IF(E365="PHP",'03_逐品成本'!E25*0.95,1),10),2),"")</f>
        <v/>
      </c>
      <c r="N365" s="6" t="str">
        <f>IF(AND(ISNUMBER(F365),F365&gt;=0,OR(E365="PHP",E365="CNY"),OR(H365="已核实",H365="不适用"),I365&lt;&gt;"",J365&lt;&gt;"",ISNUMBER(K365),K365&gt;='00_审核入口'!$F$2,OR(H365&lt;&gt;"不适用",F365=0),OR(G365="",AND(ISNUMBER(G365),G365&gt;=0))),"完整","待补证")</f>
        <v>待补证</v>
      </c>
    </row>
    <row r="366" spans="1:14" ht="58" customHeight="1">
      <c r="A366" s="8" t="s">
        <v>220</v>
      </c>
      <c r="B366" s="8" t="s">
        <v>221</v>
      </c>
      <c r="C366" s="8" t="s">
        <v>509</v>
      </c>
      <c r="D366" s="8" t="s">
        <v>510</v>
      </c>
      <c r="E366" s="8"/>
      <c r="F366" s="8"/>
      <c r="G366" s="8"/>
      <c r="H366" s="8" t="s">
        <v>506</v>
      </c>
      <c r="I366" s="8"/>
      <c r="J366" s="8"/>
      <c r="L366" s="9">
        <f>IF(AND(N366="完整",ISNUMBER('03_逐品成本'!E25),'03_逐品成本'!E25&gt;0),ROUND(ROUND(F366*IF(E366="PHP",'03_逐品成本'!E25,1),10),2),"")</f>
        <v/>
      </c>
      <c r="M366" s="9">
        <f>IF(AND(N366="完整",ISNUMBER('03_逐品成本'!E25),'03_逐品成本'!E25&gt;0),ROUND(ROUND(IF(ISNUMBER(G366),G366,F366)*1*IF(E366="PHP",'03_逐品成本'!E25*0.95,1),10),2),"")</f>
        <v/>
      </c>
      <c r="N366" s="6" t="str">
        <f>IF(AND(ISNUMBER(F366),F366&gt;=0,OR(E366="PHP",E366="CNY"),OR(H366="已核实",H366="不适用"),I366&lt;&gt;"",J366&lt;&gt;"",ISNUMBER(K366),K366&gt;='00_审核入口'!$F$2,OR(H366&lt;&gt;"不适用",F366=0),OR(G366="",AND(ISNUMBER(G366),G366&gt;=0)),ISNUMBER(G366),G366&gt;=0),"完整","待补证")</f>
        <v>待补证</v>
      </c>
    </row>
    <row r="367" spans="1:14" ht="58" customHeight="1">
      <c r="A367" s="8" t="s">
        <v>220</v>
      </c>
      <c r="B367" s="8" t="s">
        <v>221</v>
      </c>
      <c r="C367" s="8" t="s">
        <v>511</v>
      </c>
      <c r="D367" s="8" t="s">
        <v>512</v>
      </c>
      <c r="E367" s="8"/>
      <c r="F367" s="8"/>
      <c r="G367" s="8"/>
      <c r="H367" s="8" t="s">
        <v>506</v>
      </c>
      <c r="I367" s="8"/>
      <c r="J367" s="8"/>
      <c r="L367" s="9">
        <f>IF(AND(N367="完整",ISNUMBER('03_逐品成本'!E25),'03_逐品成本'!E25&gt;0),ROUND(ROUND(F367*IF(E367="PHP",'03_逐品成本'!E25,1),10),2),"")</f>
        <v/>
      </c>
      <c r="M367" s="9">
        <f>IF(AND(N367="完整",ISNUMBER('03_逐品成本'!E25),'03_逐品成本'!E25&gt;0),ROUND(ROUND(IF(ISNUMBER(G367),G367,F367)*1*IF(E367="PHP",'03_逐品成本'!E25*0.95,1),10),2),"")</f>
        <v/>
      </c>
      <c r="N367" s="6" t="str">
        <f>IF(AND(ISNUMBER(F367),F367&gt;=0,OR(E367="PHP",E367="CNY"),OR(H367="已核实",H367="不适用"),I367&lt;&gt;"",J367&lt;&gt;"",ISNUMBER(K367),K367&gt;='00_审核入口'!$F$2,OR(H367&lt;&gt;"不适用",F367=0),OR(G367="",AND(ISNUMBER(G367),G367&gt;=0))),"完整","待补证")</f>
        <v>待补证</v>
      </c>
    </row>
    <row r="368" spans="1:14" ht="58" customHeight="1">
      <c r="A368" s="8" t="s">
        <v>220</v>
      </c>
      <c r="B368" s="8" t="s">
        <v>221</v>
      </c>
      <c r="C368" s="8" t="s">
        <v>513</v>
      </c>
      <c r="D368" s="8" t="s">
        <v>514</v>
      </c>
      <c r="E368" s="8"/>
      <c r="F368" s="8"/>
      <c r="G368" s="8"/>
      <c r="H368" s="8" t="s">
        <v>506</v>
      </c>
      <c r="I368" s="8"/>
      <c r="J368" s="8"/>
      <c r="L368" s="9">
        <f>IF(AND(N368="完整",ISNUMBER('03_逐品成本'!E25),'03_逐品成本'!E25&gt;0),ROUND(ROUND(F368*IF(E368="PHP",'03_逐品成本'!E25,1),10),2),"")</f>
        <v/>
      </c>
      <c r="M368" s="9">
        <f>IF(AND(N368="完整",ISNUMBER('03_逐品成本'!E25),'03_逐品成本'!E25&gt;0),ROUND(ROUND(IF(ISNUMBER(G368),G368,F368)*1*IF(E368="PHP",'03_逐品成本'!E25*0.95,1),10),2),"")</f>
        <v/>
      </c>
      <c r="N368" s="6" t="str">
        <f>IF(AND(ISNUMBER(F368),F368&gt;=0,OR(E368="PHP",E368="CNY"),OR(H368="已核实",H368="不适用"),I368&lt;&gt;"",J368&lt;&gt;"",ISNUMBER(K368),K368&gt;='00_审核入口'!$F$2,OR(H368&lt;&gt;"不适用",F368=0),OR(G368="",AND(ISNUMBER(G368),G368&gt;=0))),"完整","待补证")</f>
        <v>待补证</v>
      </c>
    </row>
    <row r="369" spans="1:14" ht="58" customHeight="1">
      <c r="A369" s="8" t="s">
        <v>220</v>
      </c>
      <c r="B369" s="8" t="s">
        <v>221</v>
      </c>
      <c r="C369" s="8" t="s">
        <v>515</v>
      </c>
      <c r="D369" s="8" t="s">
        <v>516</v>
      </c>
      <c r="E369" s="8"/>
      <c r="F369" s="8"/>
      <c r="G369" s="8"/>
      <c r="H369" s="8" t="s">
        <v>506</v>
      </c>
      <c r="I369" s="8"/>
      <c r="J369" s="8"/>
      <c r="L369" s="9">
        <f>IF(AND(N369="完整",ISNUMBER('03_逐品成本'!E25),'03_逐品成本'!E25&gt;0),ROUND(ROUND(F369*IF(E369="PHP",'03_逐品成本'!E25,1),10),2),"")</f>
        <v/>
      </c>
      <c r="M369" s="9">
        <f>IF(AND(N369="完整",ISNUMBER('03_逐品成本'!E25),'03_逐品成本'!E25&gt;0),ROUND(ROUND(IF(ISNUMBER(G369),G369,F369)*1*IF(E369="PHP",'03_逐品成本'!E25*0.95,1),10),2),"")</f>
        <v/>
      </c>
      <c r="N369" s="6" t="str">
        <f>IF(AND(ISNUMBER(F369),F369&gt;=0,OR(E369="PHP",E369="CNY"),OR(H369="已核实",H369="不适用"),I369&lt;&gt;"",J369&lt;&gt;"",ISNUMBER(K369),K369&gt;='00_审核入口'!$F$2,OR(H369&lt;&gt;"不适用",F369=0),OR(G369="",AND(ISNUMBER(G369),G369&gt;=0))),"完整","待补证")</f>
        <v>待补证</v>
      </c>
    </row>
    <row r="370" spans="1:14" ht="58" customHeight="1">
      <c r="A370" s="8" t="s">
        <v>220</v>
      </c>
      <c r="B370" s="8" t="s">
        <v>221</v>
      </c>
      <c r="C370" s="8" t="s">
        <v>517</v>
      </c>
      <c r="D370" s="8" t="s">
        <v>518</v>
      </c>
      <c r="E370" s="8"/>
      <c r="F370" s="8"/>
      <c r="G370" s="8"/>
      <c r="H370" s="8" t="s">
        <v>506</v>
      </c>
      <c r="I370" s="8"/>
      <c r="J370" s="8"/>
      <c r="L370" s="9">
        <f>IF(AND(N370="完整",ISNUMBER('03_逐品成本'!E25),'03_逐品成本'!E25&gt;0),ROUND(ROUND(F370*IF(E370="PHP",'03_逐品成本'!E25,1),10),2),"")</f>
        <v/>
      </c>
      <c r="M370" s="9">
        <f>IF(AND(N370="完整",ISNUMBER('03_逐品成本'!E25),'03_逐品成本'!E25&gt;0),ROUND(ROUND(IF(ISNUMBER(G370),G370,F370)*1*IF(E370="PHP",'03_逐品成本'!E25*0.95,1),10),2),"")</f>
        <v/>
      </c>
      <c r="N370" s="6" t="str">
        <f>IF(AND(ISNUMBER(F370),F370&gt;=0,OR(E370="PHP",E370="CNY"),OR(H370="已核实",H370="不适用"),I370&lt;&gt;"",J370&lt;&gt;"",ISNUMBER(K370),K370&gt;='00_审核入口'!$F$2,OR(H370&lt;&gt;"不适用",F370=0),OR(G370="",AND(ISNUMBER(G370),G370&gt;=0))),"完整","待补证")</f>
        <v>待补证</v>
      </c>
    </row>
    <row r="371" spans="1:14" ht="58" customHeight="1">
      <c r="A371" s="8" t="s">
        <v>220</v>
      </c>
      <c r="B371" s="8" t="s">
        <v>221</v>
      </c>
      <c r="C371" s="8" t="s">
        <v>519</v>
      </c>
      <c r="D371" s="8" t="s">
        <v>520</v>
      </c>
      <c r="E371" s="8"/>
      <c r="F371" s="8"/>
      <c r="G371" s="8"/>
      <c r="H371" s="8" t="s">
        <v>506</v>
      </c>
      <c r="I371" s="8"/>
      <c r="J371" s="8"/>
      <c r="L371" s="9">
        <f>IF(AND(N371="完整",ISNUMBER('03_逐品成本'!E25),'03_逐品成本'!E25&gt;0),ROUND(ROUND(F371*IF(E371="PHP",'03_逐品成本'!E25,1),10),2),"")</f>
        <v/>
      </c>
      <c r="M371" s="9">
        <f>IF(AND(N371="完整",ISNUMBER('03_逐品成本'!E25),'03_逐品成本'!E25&gt;0),ROUND(ROUND(IF(ISNUMBER(G371),G371,F371)*1*IF(E371="PHP",'03_逐品成本'!E25*0.95,1),10),2),"")</f>
        <v/>
      </c>
      <c r="N371" s="6" t="str">
        <f>IF(AND(ISNUMBER(F371),F371&gt;=0,OR(E371="PHP",E371="CNY"),OR(H371="已核实",H371="不适用"),I371&lt;&gt;"",J371&lt;&gt;"",ISNUMBER(K371),K371&gt;='00_审核入口'!$F$2,OR(H371&lt;&gt;"不适用",F371=0),OR(G371="",AND(ISNUMBER(G371),G371&gt;=0))),"完整","待补证")</f>
        <v>待补证</v>
      </c>
    </row>
    <row r="372" spans="1:14" ht="58" customHeight="1">
      <c r="A372" s="8" t="s">
        <v>220</v>
      </c>
      <c r="B372" s="8" t="s">
        <v>221</v>
      </c>
      <c r="C372" s="8" t="s">
        <v>521</v>
      </c>
      <c r="D372" s="8" t="s">
        <v>522</v>
      </c>
      <c r="E372" s="8"/>
      <c r="F372" s="8"/>
      <c r="G372" s="8"/>
      <c r="H372" s="8" t="s">
        <v>506</v>
      </c>
      <c r="I372" s="8"/>
      <c r="J372" s="8"/>
      <c r="L372" s="9">
        <f>IF(AND(N372="完整",ISNUMBER('03_逐品成本'!E25),'03_逐品成本'!E25&gt;0),ROUND(ROUND(F372*IF(E372="PHP",'03_逐品成本'!E25,1),10),2),"")</f>
        <v/>
      </c>
      <c r="M372" s="9">
        <f>IF(AND(N372="完整",ISNUMBER('03_逐品成本'!E25),'03_逐品成本'!E25&gt;0),ROUND(ROUND(IF(ISNUMBER(G372),G372,F372)*1*IF(E372="PHP",'03_逐品成本'!E25*0.95,1),10),2),"")</f>
        <v/>
      </c>
      <c r="N372" s="6" t="str">
        <f>IF(AND(ISNUMBER(F372),F372&gt;=0,OR(E372="PHP",E372="CNY"),OR(H372="已核实",H372="不适用"),I372&lt;&gt;"",J372&lt;&gt;"",ISNUMBER(K372),K372&gt;='00_审核入口'!$F$2,OR(H372&lt;&gt;"不适用",F372=0),OR(G372="",AND(ISNUMBER(G372),G372&gt;=0))),"完整","待补证")</f>
        <v>待补证</v>
      </c>
    </row>
    <row r="373" spans="1:14" ht="58" customHeight="1">
      <c r="A373" s="8" t="s">
        <v>220</v>
      </c>
      <c r="B373" s="8" t="s">
        <v>221</v>
      </c>
      <c r="C373" s="8" t="s">
        <v>523</v>
      </c>
      <c r="D373" s="8" t="s">
        <v>524</v>
      </c>
      <c r="E373" s="8"/>
      <c r="F373" s="8"/>
      <c r="G373" s="8"/>
      <c r="H373" s="8" t="s">
        <v>506</v>
      </c>
      <c r="I373" s="8"/>
      <c r="J373" s="8"/>
      <c r="L373" s="9">
        <f>IF(AND(N373="完整",ISNUMBER('03_逐品成本'!E25),'03_逐品成本'!E25&gt;0),ROUND(ROUND(F373*IF(E373="PHP",'03_逐品成本'!E25,1),10),2),"")</f>
        <v/>
      </c>
      <c r="M373" s="9">
        <f>IF(AND(N373="完整",ISNUMBER('03_逐品成本'!E25),'03_逐品成本'!E25&gt;0),ROUND(ROUND(IF(ISNUMBER(G373),G373,F373)*1.15*IF(E373="PHP",'03_逐品成本'!E25*0.95,1),10),2),"")</f>
        <v/>
      </c>
      <c r="N373" s="6" t="str">
        <f>IF(AND(ISNUMBER(F373),F373&gt;=0,OR(E373="PHP",E373="CNY"),OR(H373="已核实",H373="不适用"),I373&lt;&gt;"",J373&lt;&gt;"",ISNUMBER(K373),K373&gt;='00_审核入口'!$F$2,OR(H373&lt;&gt;"不适用",F373=0),OR(G373="",AND(ISNUMBER(G373),G373&gt;=0))),"完整","待补证")</f>
        <v>待补证</v>
      </c>
    </row>
    <row r="374" spans="1:14" ht="58" customHeight="1">
      <c r="A374" s="8" t="s">
        <v>220</v>
      </c>
      <c r="B374" s="8" t="s">
        <v>221</v>
      </c>
      <c r="C374" s="8" t="s">
        <v>525</v>
      </c>
      <c r="D374" s="8" t="s">
        <v>526</v>
      </c>
      <c r="E374" s="8"/>
      <c r="F374" s="8"/>
      <c r="G374" s="8"/>
      <c r="H374" s="8" t="s">
        <v>506</v>
      </c>
      <c r="I374" s="8"/>
      <c r="J374" s="8"/>
      <c r="L374" s="9">
        <f>IF(AND(N374="完整",ISNUMBER('03_逐品成本'!E25),'03_逐品成本'!E25&gt;0),ROUND(ROUND(F374*IF(E374="PHP",'03_逐品成本'!E25,1),10),2),"")</f>
        <v/>
      </c>
      <c r="M374" s="9">
        <f>IF(AND(N374="完整",ISNUMBER('03_逐品成本'!E25),'03_逐品成本'!E25&gt;0),ROUND(ROUND(IF(ISNUMBER(G374),G374,F374)*1.15*IF(E374="PHP",'03_逐品成本'!E25*0.95,1),10),2),"")</f>
        <v/>
      </c>
      <c r="N374" s="6" t="str">
        <f>IF(AND(ISNUMBER(F374),F374&gt;=0,OR(E374="PHP",E374="CNY"),OR(H374="已核实",H374="不适用"),I374&lt;&gt;"",J374&lt;&gt;"",ISNUMBER(K374),K374&gt;='00_审核入口'!$F$2,OR(H374&lt;&gt;"不适用",F374=0),OR(G374="",AND(ISNUMBER(G374),G374&gt;=0))),"完整","待补证")</f>
        <v>待补证</v>
      </c>
    </row>
    <row r="375" spans="1:14" ht="58" customHeight="1">
      <c r="A375" s="8" t="s">
        <v>220</v>
      </c>
      <c r="B375" s="8" t="s">
        <v>221</v>
      </c>
      <c r="C375" s="8" t="s">
        <v>527</v>
      </c>
      <c r="D375" s="8" t="s">
        <v>528</v>
      </c>
      <c r="E375" s="8"/>
      <c r="F375" s="8"/>
      <c r="G375" s="8"/>
      <c r="H375" s="8" t="s">
        <v>506</v>
      </c>
      <c r="I375" s="8"/>
      <c r="J375" s="8"/>
      <c r="L375" s="9">
        <f>IF(AND(N375="完整",ISNUMBER('03_逐品成本'!E25),'03_逐品成本'!E25&gt;0),ROUND(ROUND(F375*IF(E375="PHP",'03_逐品成本'!E25,1),10),2),"")</f>
        <v/>
      </c>
      <c r="M375" s="9">
        <f>IF(AND(N375="完整",ISNUMBER('03_逐品成本'!E25),'03_逐品成本'!E25&gt;0),ROUND(ROUND(IF(ISNUMBER(G375),G375,F375)*1.15*IF(E375="PHP",'03_逐品成本'!E25*0.95,1),10),2),"")</f>
        <v/>
      </c>
      <c r="N375" s="6" t="str">
        <f>IF(AND(ISNUMBER(F375),F375&gt;=0,OR(E375="PHP",E375="CNY"),OR(H375="已核实",H375="不适用"),I375&lt;&gt;"",J375&lt;&gt;"",ISNUMBER(K375),K375&gt;='00_审核入口'!$F$2,OR(H375&lt;&gt;"不适用",F375=0),OR(G375="",AND(ISNUMBER(G375),G375&gt;=0))),"完整","待补证")</f>
        <v>待补证</v>
      </c>
    </row>
    <row r="376" spans="1:14" ht="58" customHeight="1">
      <c r="A376" s="8" t="s">
        <v>220</v>
      </c>
      <c r="B376" s="8" t="s">
        <v>221</v>
      </c>
      <c r="C376" s="8" t="s">
        <v>529</v>
      </c>
      <c r="D376" s="8" t="s">
        <v>530</v>
      </c>
      <c r="E376" s="8"/>
      <c r="F376" s="8"/>
      <c r="G376" s="8"/>
      <c r="H376" s="8" t="s">
        <v>506</v>
      </c>
      <c r="I376" s="8"/>
      <c r="J376" s="8"/>
      <c r="L376" s="9">
        <f>IF(AND(N376="完整",ISNUMBER('03_逐品成本'!E25),'03_逐品成本'!E25&gt;0),ROUND(ROUND(F376*IF(E376="PHP",'03_逐品成本'!E25,1),10),2),"")</f>
        <v/>
      </c>
      <c r="M376" s="9">
        <f>IF(AND(N376="完整",ISNUMBER('03_逐品成本'!E25),'03_逐品成本'!E25&gt;0),ROUND(ROUND(IF(ISNUMBER(G376),G376,F376)*1*IF(E376="PHP",'03_逐品成本'!E25*0.95,1),10),2),"")</f>
        <v/>
      </c>
      <c r="N376" s="6" t="str">
        <f>IF(AND(ISNUMBER(F376),F376&gt;=0,OR(E376="PHP",E376="CNY"),OR(H376="已核实",H376="不适用",H376="预算"),I376&lt;&gt;"",J376&lt;&gt;"",ISNUMBER(K376),K376&gt;='00_审核入口'!$F$2,OR(H376&lt;&gt;"不适用",F376=0),OR(G376="",AND(ISNUMBER(G376),G376&gt;=0))),"完整","待补证")</f>
        <v>待补证</v>
      </c>
    </row>
    <row r="377" spans="1:14" ht="58" customHeight="1">
      <c r="A377" s="8" t="s">
        <v>220</v>
      </c>
      <c r="B377" s="8" t="s">
        <v>221</v>
      </c>
      <c r="C377" s="8" t="s">
        <v>531</v>
      </c>
      <c r="D377" s="8" t="s">
        <v>532</v>
      </c>
      <c r="E377" s="8"/>
      <c r="F377" s="8"/>
      <c r="G377" s="8"/>
      <c r="H377" s="8" t="s">
        <v>506</v>
      </c>
      <c r="I377" s="8"/>
      <c r="J377" s="8"/>
      <c r="L377" s="9">
        <f>IF(AND(N377="完整",ISNUMBER('03_逐品成本'!E25),'03_逐品成本'!E25&gt;0),ROUND(ROUND(F377*IF(E377="PHP",'03_逐品成本'!E25,1),10),2),"")</f>
        <v/>
      </c>
      <c r="M377" s="9">
        <f>IF(AND(N377="完整",ISNUMBER('03_逐品成本'!E25),'03_逐品成本'!E25&gt;0),ROUND(ROUND(IF(ISNUMBER(G377),G377,F377)*1*IF(E377="PHP",'03_逐品成本'!E25*0.95,1),10),2),"")</f>
        <v/>
      </c>
      <c r="N377" s="6" t="str">
        <f>IF(AND(ISNUMBER(F377),F377&gt;=0,OR(E377="PHP",E377="CNY"),OR(H377="已核实",H377="不适用",H377="预算"),I377&lt;&gt;"",J377&lt;&gt;"",ISNUMBER(K377),K377&gt;='00_审核入口'!$F$2,OR(H377&lt;&gt;"不适用",F377=0),OR(G377="",AND(ISNUMBER(G377),G377&gt;=0))),"完整","待补证")</f>
        <v>待补证</v>
      </c>
    </row>
    <row r="378" spans="1:14" ht="58" customHeight="1">
      <c r="A378" s="8" t="s">
        <v>220</v>
      </c>
      <c r="B378" s="8" t="s">
        <v>221</v>
      </c>
      <c r="C378" s="8" t="s">
        <v>533</v>
      </c>
      <c r="D378" s="8" t="s">
        <v>534</v>
      </c>
      <c r="E378" s="8"/>
      <c r="F378" s="8"/>
      <c r="G378" s="8"/>
      <c r="H378" s="8" t="s">
        <v>506</v>
      </c>
      <c r="I378" s="8"/>
      <c r="J378" s="8"/>
      <c r="L378" s="9">
        <f>IF(AND(N378="完整",ISNUMBER('03_逐品成本'!E25),'03_逐品成本'!E25&gt;0),ROUND(ROUND(F378*IF(E378="PHP",'03_逐品成本'!E25,1),10),2),"")</f>
        <v/>
      </c>
      <c r="M378" s="9">
        <f>IF(AND(N378="完整",ISNUMBER('03_逐品成本'!E25),'03_逐品成本'!E25&gt;0),ROUND(ROUND(IF(ISNUMBER(G378),G378,F378)*1*IF(E378="PHP",'03_逐品成本'!E25*0.95,1),10),2),"")</f>
        <v/>
      </c>
      <c r="N378" s="6" t="str">
        <f>IF(AND(ISNUMBER(F378),F378&gt;=0,OR(E378="PHP",E378="CNY"),OR(H378="已核实",H378="不适用",H378="预算"),I378&lt;&gt;"",J378&lt;&gt;"",ISNUMBER(K378),K378&gt;='00_审核入口'!$F$2,OR(H378&lt;&gt;"不适用",F378=0),OR(G378="",AND(ISNUMBER(G378),G378&gt;=0))),"完整","待补证")</f>
        <v>待补证</v>
      </c>
    </row>
    <row r="379" spans="1:14" ht="58" customHeight="1">
      <c r="A379" s="8" t="s">
        <v>220</v>
      </c>
      <c r="B379" s="8" t="s">
        <v>221</v>
      </c>
      <c r="C379" s="8" t="s">
        <v>535</v>
      </c>
      <c r="D379" s="8" t="s">
        <v>536</v>
      </c>
      <c r="E379" s="8"/>
      <c r="F379" s="8"/>
      <c r="G379" s="8"/>
      <c r="H379" s="8" t="s">
        <v>506</v>
      </c>
      <c r="I379" s="8"/>
      <c r="J379" s="8"/>
      <c r="L379" s="9">
        <f>IF(AND(N379="完整",ISNUMBER('03_逐品成本'!E25),'03_逐品成本'!E25&gt;0),ROUND(ROUND(F379*IF(E379="PHP",'03_逐品成本'!E25,1),10),2),"")</f>
        <v/>
      </c>
      <c r="M379" s="9">
        <f>IF(AND(N379="完整",ISNUMBER('03_逐品成本'!E25),'03_逐品成本'!E25&gt;0),ROUND(ROUND(IF(ISNUMBER(G379),G379,F379)*1*IF(E379="PHP",'03_逐品成本'!E25*0.95,1),10),2),"")</f>
        <v/>
      </c>
      <c r="N379" s="6" t="str">
        <f>IF(AND(ISNUMBER(F379),F379&gt;=0,OR(E379="PHP",E379="CNY"),OR(H379="已核实",H379="不适用"),I379&lt;&gt;"",J379&lt;&gt;"",ISNUMBER(K379),K379&gt;='00_审核入口'!$F$2,OR(H379&lt;&gt;"不适用",F379=0),OR(G379="",AND(ISNUMBER(G379),G379&gt;=0))),"完整","待补证")</f>
        <v>待补证</v>
      </c>
    </row>
    <row r="380" spans="1:14" ht="58" customHeight="1">
      <c r="A380" s="8" t="s">
        <v>220</v>
      </c>
      <c r="B380" s="8" t="s">
        <v>221</v>
      </c>
      <c r="C380" s="8" t="s">
        <v>537</v>
      </c>
      <c r="D380" s="8" t="s">
        <v>538</v>
      </c>
      <c r="E380" s="8"/>
      <c r="F380" s="8"/>
      <c r="G380" s="8"/>
      <c r="H380" s="8" t="s">
        <v>506</v>
      </c>
      <c r="I380" s="8"/>
      <c r="J380" s="8"/>
      <c r="L380" s="9">
        <f>IF(AND(N380="完整",ISNUMBER('03_逐品成本'!E25),'03_逐品成本'!E25&gt;0),ROUND(ROUND(F380*IF(E380="PHP",'03_逐品成本'!E25,1),10),2),"")</f>
        <v/>
      </c>
      <c r="M380" s="9">
        <f>IF(AND(N380="完整",ISNUMBER('03_逐品成本'!E25),'03_逐品成本'!E25&gt;0),ROUND(ROUND(IF(ISNUMBER(G380),G380,F380)*1*IF(E380="PHP",'03_逐品成本'!E25*0.95,1),10),2),"")</f>
        <v/>
      </c>
      <c r="N380" s="6" t="str">
        <f>IF(AND(ISNUMBER(F380),F380&gt;=0,OR(E380="PHP",E380="CNY"),OR(H380="已核实",H380="不适用"),I380&lt;&gt;"",J380&lt;&gt;"",ISNUMBER(K380),K380&gt;='00_审核入口'!$F$2,OR(H380&lt;&gt;"不适用",F380=0),OR(G380="",AND(ISNUMBER(G380),G380&gt;=0))),"完整","待补证")</f>
        <v>待补证</v>
      </c>
    </row>
    <row r="381" spans="1:14" ht="58" customHeight="1">
      <c r="A381" s="8" t="s">
        <v>220</v>
      </c>
      <c r="B381" s="8" t="s">
        <v>221</v>
      </c>
      <c r="C381" s="8" t="s">
        <v>539</v>
      </c>
      <c r="D381" s="8" t="s">
        <v>540</v>
      </c>
      <c r="E381" s="8"/>
      <c r="F381" s="8"/>
      <c r="G381" s="8"/>
      <c r="H381" s="8" t="s">
        <v>506</v>
      </c>
      <c r="I381" s="8"/>
      <c r="J381" s="8"/>
      <c r="L381" s="9">
        <f>IF(AND(N381="完整",ISNUMBER('03_逐品成本'!E25),'03_逐品成本'!E25&gt;0),ROUND(ROUND(F381*IF(E381="PHP",'03_逐品成本'!E25,1),10),2),"")</f>
        <v/>
      </c>
      <c r="M381" s="9">
        <f>IF(AND(N381="完整",ISNUMBER('03_逐品成本'!E25),'03_逐品成本'!E25&gt;0),ROUND(ROUND(IF(ISNUMBER(G381),G381,F381)*1*IF(E381="PHP",'03_逐品成本'!E25*0.95,1),10),2),"")</f>
        <v/>
      </c>
      <c r="N381" s="6" t="str">
        <f>IF(AND(ISNUMBER(F381),F381&gt;=0,OR(E381="PHP",E381="CNY"),OR(H381="已核实",H381="不适用",H381="预算"),I381&lt;&gt;"",J381&lt;&gt;"",ISNUMBER(K381),K381&gt;='00_审核入口'!$F$2,OR(H381&lt;&gt;"不适用",F381=0),OR(G381="",AND(ISNUMBER(G381),G381&gt;=0))),"完整","待补证")</f>
        <v>待补证</v>
      </c>
    </row>
    <row r="382" spans="1:14" ht="58" customHeight="1">
      <c r="A382" s="8" t="s">
        <v>220</v>
      </c>
      <c r="B382" s="8" t="s">
        <v>221</v>
      </c>
      <c r="C382" s="8" t="s">
        <v>541</v>
      </c>
      <c r="D382" s="8" t="s">
        <v>542</v>
      </c>
      <c r="E382" s="8"/>
      <c r="F382" s="8"/>
      <c r="G382" s="8"/>
      <c r="H382" s="8" t="s">
        <v>506</v>
      </c>
      <c r="I382" s="8"/>
      <c r="J382" s="8"/>
      <c r="L382" s="9">
        <f>IF(AND(N382="完整",ISNUMBER('03_逐品成本'!E25),'03_逐品成本'!E25&gt;0),ROUND(ROUND(F382*IF(E382="PHP",'03_逐品成本'!E25,1),10),2),"")</f>
        <v/>
      </c>
      <c r="M382" s="9">
        <f>IF(AND(N382="完整",ISNUMBER('03_逐品成本'!E25),'03_逐品成本'!E25&gt;0),ROUND(ROUND(IF(ISNUMBER(G382),G382,F382)*1*IF(E382="PHP",'03_逐品成本'!E25*0.95,1),10),2),"")</f>
        <v/>
      </c>
      <c r="N382" s="6" t="str">
        <f>IF(AND(ISNUMBER(F382),F382&gt;=0,OR(E382="PHP",E382="CNY"),OR(H382="已核实",H382="不适用",H382="预算"),I382&lt;&gt;"",J382&lt;&gt;"",ISNUMBER(K382),K382&gt;='00_审核入口'!$F$2,OR(H382&lt;&gt;"不适用",F382=0),OR(G382="",AND(ISNUMBER(G382),G382&gt;=0))),"完整","待补证")</f>
        <v>待补证</v>
      </c>
    </row>
    <row r="383" spans="1:14" ht="58" customHeight="1">
      <c r="A383" s="8" t="s">
        <v>228</v>
      </c>
      <c r="B383" s="8" t="s">
        <v>229</v>
      </c>
      <c r="C383" s="8" t="s">
        <v>507</v>
      </c>
      <c r="D383" s="8" t="s">
        <v>508</v>
      </c>
      <c r="E383" s="8"/>
      <c r="F383" s="8"/>
      <c r="G383" s="8"/>
      <c r="H383" s="8" t="s">
        <v>506</v>
      </c>
      <c r="I383" s="8"/>
      <c r="J383" s="8"/>
      <c r="L383" s="9">
        <f>IF(AND(N383="完整",ISNUMBER('03_逐品成本'!E26),'03_逐品成本'!E26&gt;0),ROUND(ROUND(F383*IF(E383="PHP",'03_逐品成本'!E26,1),10),2),"")</f>
        <v/>
      </c>
      <c r="M383" s="9">
        <f>IF(AND(N383="完整",ISNUMBER('03_逐品成本'!E26),'03_逐品成本'!E26&gt;0),ROUND(ROUND(IF(ISNUMBER(G383),G383,F383)*1*IF(E383="PHP",'03_逐品成本'!E26*0.95,1),10),2),"")</f>
        <v/>
      </c>
      <c r="N383" s="6" t="str">
        <f>IF(AND(ISNUMBER(F383),F383&gt;=0,OR(E383="PHP",E383="CNY"),OR(H383="已核实",H383="不适用"),I383&lt;&gt;"",J383&lt;&gt;"",ISNUMBER(K383),K383&gt;='00_审核入口'!$F$2,OR(H383&lt;&gt;"不适用",F383=0),OR(G383="",AND(ISNUMBER(G383),G383&gt;=0))),"完整","待补证")</f>
        <v>待补证</v>
      </c>
    </row>
    <row r="384" spans="1:14" ht="58" customHeight="1">
      <c r="A384" s="8" t="s">
        <v>228</v>
      </c>
      <c r="B384" s="8" t="s">
        <v>229</v>
      </c>
      <c r="C384" s="8" t="s">
        <v>509</v>
      </c>
      <c r="D384" s="8" t="s">
        <v>510</v>
      </c>
      <c r="E384" s="8"/>
      <c r="F384" s="8"/>
      <c r="G384" s="8"/>
      <c r="H384" s="8" t="s">
        <v>506</v>
      </c>
      <c r="I384" s="8"/>
      <c r="J384" s="8"/>
      <c r="L384" s="9">
        <f>IF(AND(N384="完整",ISNUMBER('03_逐品成本'!E26),'03_逐品成本'!E26&gt;0),ROUND(ROUND(F384*IF(E384="PHP",'03_逐品成本'!E26,1),10),2),"")</f>
        <v/>
      </c>
      <c r="M384" s="9">
        <f>IF(AND(N384="完整",ISNUMBER('03_逐品成本'!E26),'03_逐品成本'!E26&gt;0),ROUND(ROUND(IF(ISNUMBER(G384),G384,F384)*1*IF(E384="PHP",'03_逐品成本'!E26*0.95,1),10),2),"")</f>
        <v/>
      </c>
      <c r="N384" s="6" t="str">
        <f>IF(AND(ISNUMBER(F384),F384&gt;=0,OR(E384="PHP",E384="CNY"),OR(H384="已核实",H384="不适用"),I384&lt;&gt;"",J384&lt;&gt;"",ISNUMBER(K384),K384&gt;='00_审核入口'!$F$2,OR(H384&lt;&gt;"不适用",F384=0),OR(G384="",AND(ISNUMBER(G384),G384&gt;=0)),ISNUMBER(G384),G384&gt;=0),"完整","待补证")</f>
        <v>待补证</v>
      </c>
    </row>
    <row r="385" spans="1:14" ht="58" customHeight="1">
      <c r="A385" s="8" t="s">
        <v>228</v>
      </c>
      <c r="B385" s="8" t="s">
        <v>229</v>
      </c>
      <c r="C385" s="8" t="s">
        <v>511</v>
      </c>
      <c r="D385" s="8" t="s">
        <v>512</v>
      </c>
      <c r="E385" s="8"/>
      <c r="F385" s="8"/>
      <c r="G385" s="8"/>
      <c r="H385" s="8" t="s">
        <v>506</v>
      </c>
      <c r="I385" s="8"/>
      <c r="J385" s="8"/>
      <c r="L385" s="9">
        <f>IF(AND(N385="完整",ISNUMBER('03_逐品成本'!E26),'03_逐品成本'!E26&gt;0),ROUND(ROUND(F385*IF(E385="PHP",'03_逐品成本'!E26,1),10),2),"")</f>
        <v/>
      </c>
      <c r="M385" s="9">
        <f>IF(AND(N385="完整",ISNUMBER('03_逐品成本'!E26),'03_逐品成本'!E26&gt;0),ROUND(ROUND(IF(ISNUMBER(G385),G385,F385)*1*IF(E385="PHP",'03_逐品成本'!E26*0.95,1),10),2),"")</f>
        <v/>
      </c>
      <c r="N385" s="6" t="str">
        <f>IF(AND(ISNUMBER(F385),F385&gt;=0,OR(E385="PHP",E385="CNY"),OR(H385="已核实",H385="不适用"),I385&lt;&gt;"",J385&lt;&gt;"",ISNUMBER(K385),K385&gt;='00_审核入口'!$F$2,OR(H385&lt;&gt;"不适用",F385=0),OR(G385="",AND(ISNUMBER(G385),G385&gt;=0))),"完整","待补证")</f>
        <v>待补证</v>
      </c>
    </row>
    <row r="386" spans="1:14" ht="58" customHeight="1">
      <c r="A386" s="8" t="s">
        <v>228</v>
      </c>
      <c r="B386" s="8" t="s">
        <v>229</v>
      </c>
      <c r="C386" s="8" t="s">
        <v>513</v>
      </c>
      <c r="D386" s="8" t="s">
        <v>514</v>
      </c>
      <c r="E386" s="8"/>
      <c r="F386" s="8"/>
      <c r="G386" s="8"/>
      <c r="H386" s="8" t="s">
        <v>506</v>
      </c>
      <c r="I386" s="8"/>
      <c r="J386" s="8"/>
      <c r="L386" s="9">
        <f>IF(AND(N386="完整",ISNUMBER('03_逐品成本'!E26),'03_逐品成本'!E26&gt;0),ROUND(ROUND(F386*IF(E386="PHP",'03_逐品成本'!E26,1),10),2),"")</f>
        <v/>
      </c>
      <c r="M386" s="9">
        <f>IF(AND(N386="完整",ISNUMBER('03_逐品成本'!E26),'03_逐品成本'!E26&gt;0),ROUND(ROUND(IF(ISNUMBER(G386),G386,F386)*1*IF(E386="PHP",'03_逐品成本'!E26*0.95,1),10),2),"")</f>
        <v/>
      </c>
      <c r="N386" s="6" t="str">
        <f>IF(AND(ISNUMBER(F386),F386&gt;=0,OR(E386="PHP",E386="CNY"),OR(H386="已核实",H386="不适用"),I386&lt;&gt;"",J386&lt;&gt;"",ISNUMBER(K386),K386&gt;='00_审核入口'!$F$2,OR(H386&lt;&gt;"不适用",F386=0),OR(G386="",AND(ISNUMBER(G386),G386&gt;=0))),"完整","待补证")</f>
        <v>待补证</v>
      </c>
    </row>
    <row r="387" spans="1:14" ht="58" customHeight="1">
      <c r="A387" s="8" t="s">
        <v>228</v>
      </c>
      <c r="B387" s="8" t="s">
        <v>229</v>
      </c>
      <c r="C387" s="8" t="s">
        <v>515</v>
      </c>
      <c r="D387" s="8" t="s">
        <v>516</v>
      </c>
      <c r="E387" s="8"/>
      <c r="F387" s="8"/>
      <c r="G387" s="8"/>
      <c r="H387" s="8" t="s">
        <v>506</v>
      </c>
      <c r="I387" s="8"/>
      <c r="J387" s="8"/>
      <c r="L387" s="9">
        <f>IF(AND(N387="完整",ISNUMBER('03_逐品成本'!E26),'03_逐品成本'!E26&gt;0),ROUND(ROUND(F387*IF(E387="PHP",'03_逐品成本'!E26,1),10),2),"")</f>
        <v/>
      </c>
      <c r="M387" s="9">
        <f>IF(AND(N387="完整",ISNUMBER('03_逐品成本'!E26),'03_逐品成本'!E26&gt;0),ROUND(ROUND(IF(ISNUMBER(G387),G387,F387)*1*IF(E387="PHP",'03_逐品成本'!E26*0.95,1),10),2),"")</f>
        <v/>
      </c>
      <c r="N387" s="6" t="str">
        <f>IF(AND(ISNUMBER(F387),F387&gt;=0,OR(E387="PHP",E387="CNY"),OR(H387="已核实",H387="不适用"),I387&lt;&gt;"",J387&lt;&gt;"",ISNUMBER(K387),K387&gt;='00_审核入口'!$F$2,OR(H387&lt;&gt;"不适用",F387=0),OR(G387="",AND(ISNUMBER(G387),G387&gt;=0))),"完整","待补证")</f>
        <v>待补证</v>
      </c>
    </row>
    <row r="388" spans="1:14" ht="58" customHeight="1">
      <c r="A388" s="8" t="s">
        <v>228</v>
      </c>
      <c r="B388" s="8" t="s">
        <v>229</v>
      </c>
      <c r="C388" s="8" t="s">
        <v>517</v>
      </c>
      <c r="D388" s="8" t="s">
        <v>518</v>
      </c>
      <c r="E388" s="8"/>
      <c r="F388" s="8"/>
      <c r="G388" s="8"/>
      <c r="H388" s="8" t="s">
        <v>506</v>
      </c>
      <c r="I388" s="8"/>
      <c r="J388" s="8"/>
      <c r="L388" s="9">
        <f>IF(AND(N388="完整",ISNUMBER('03_逐品成本'!E26),'03_逐品成本'!E26&gt;0),ROUND(ROUND(F388*IF(E388="PHP",'03_逐品成本'!E26,1),10),2),"")</f>
        <v/>
      </c>
      <c r="M388" s="9">
        <f>IF(AND(N388="完整",ISNUMBER('03_逐品成本'!E26),'03_逐品成本'!E26&gt;0),ROUND(ROUND(IF(ISNUMBER(G388),G388,F388)*1*IF(E388="PHP",'03_逐品成本'!E26*0.95,1),10),2),"")</f>
        <v/>
      </c>
      <c r="N388" s="6" t="str">
        <f>IF(AND(ISNUMBER(F388),F388&gt;=0,OR(E388="PHP",E388="CNY"),OR(H388="已核实",H388="不适用"),I388&lt;&gt;"",J388&lt;&gt;"",ISNUMBER(K388),K388&gt;='00_审核入口'!$F$2,OR(H388&lt;&gt;"不适用",F388=0),OR(G388="",AND(ISNUMBER(G388),G388&gt;=0))),"完整","待补证")</f>
        <v>待补证</v>
      </c>
    </row>
    <row r="389" spans="1:14" ht="58" customHeight="1">
      <c r="A389" s="8" t="s">
        <v>228</v>
      </c>
      <c r="B389" s="8" t="s">
        <v>229</v>
      </c>
      <c r="C389" s="8" t="s">
        <v>519</v>
      </c>
      <c r="D389" s="8" t="s">
        <v>520</v>
      </c>
      <c r="E389" s="8"/>
      <c r="F389" s="8"/>
      <c r="G389" s="8"/>
      <c r="H389" s="8" t="s">
        <v>506</v>
      </c>
      <c r="I389" s="8"/>
      <c r="J389" s="8"/>
      <c r="L389" s="9">
        <f>IF(AND(N389="完整",ISNUMBER('03_逐品成本'!E26),'03_逐品成本'!E26&gt;0),ROUND(ROUND(F389*IF(E389="PHP",'03_逐品成本'!E26,1),10),2),"")</f>
        <v/>
      </c>
      <c r="M389" s="9">
        <f>IF(AND(N389="完整",ISNUMBER('03_逐品成本'!E26),'03_逐品成本'!E26&gt;0),ROUND(ROUND(IF(ISNUMBER(G389),G389,F389)*1*IF(E389="PHP",'03_逐品成本'!E26*0.95,1),10),2),"")</f>
        <v/>
      </c>
      <c r="N389" s="6" t="str">
        <f>IF(AND(ISNUMBER(F389),F389&gt;=0,OR(E389="PHP",E389="CNY"),OR(H389="已核实",H389="不适用"),I389&lt;&gt;"",J389&lt;&gt;"",ISNUMBER(K389),K389&gt;='00_审核入口'!$F$2,OR(H389&lt;&gt;"不适用",F389=0),OR(G389="",AND(ISNUMBER(G389),G389&gt;=0))),"完整","待补证")</f>
        <v>待补证</v>
      </c>
    </row>
    <row r="390" spans="1:14" ht="58" customHeight="1">
      <c r="A390" s="8" t="s">
        <v>228</v>
      </c>
      <c r="B390" s="8" t="s">
        <v>229</v>
      </c>
      <c r="C390" s="8" t="s">
        <v>521</v>
      </c>
      <c r="D390" s="8" t="s">
        <v>522</v>
      </c>
      <c r="E390" s="8"/>
      <c r="F390" s="8"/>
      <c r="G390" s="8"/>
      <c r="H390" s="8" t="s">
        <v>506</v>
      </c>
      <c r="I390" s="8"/>
      <c r="J390" s="8"/>
      <c r="L390" s="9">
        <f>IF(AND(N390="完整",ISNUMBER('03_逐品成本'!E26),'03_逐品成本'!E26&gt;0),ROUND(ROUND(F390*IF(E390="PHP",'03_逐品成本'!E26,1),10),2),"")</f>
        <v/>
      </c>
      <c r="M390" s="9">
        <f>IF(AND(N390="完整",ISNUMBER('03_逐品成本'!E26),'03_逐品成本'!E26&gt;0),ROUND(ROUND(IF(ISNUMBER(G390),G390,F390)*1*IF(E390="PHP",'03_逐品成本'!E26*0.95,1),10),2),"")</f>
        <v/>
      </c>
      <c r="N390" s="6" t="str">
        <f>IF(AND(ISNUMBER(F390),F390&gt;=0,OR(E390="PHP",E390="CNY"),OR(H390="已核实",H390="不适用"),I390&lt;&gt;"",J390&lt;&gt;"",ISNUMBER(K390),K390&gt;='00_审核入口'!$F$2,OR(H390&lt;&gt;"不适用",F390=0),OR(G390="",AND(ISNUMBER(G390),G390&gt;=0))),"完整","待补证")</f>
        <v>待补证</v>
      </c>
    </row>
    <row r="391" spans="1:14" ht="58" customHeight="1">
      <c r="A391" s="8" t="s">
        <v>228</v>
      </c>
      <c r="B391" s="8" t="s">
        <v>229</v>
      </c>
      <c r="C391" s="8" t="s">
        <v>523</v>
      </c>
      <c r="D391" s="8" t="s">
        <v>524</v>
      </c>
      <c r="E391" s="8"/>
      <c r="F391" s="8"/>
      <c r="G391" s="8"/>
      <c r="H391" s="8" t="s">
        <v>506</v>
      </c>
      <c r="I391" s="8"/>
      <c r="J391" s="8"/>
      <c r="L391" s="9">
        <f>IF(AND(N391="完整",ISNUMBER('03_逐品成本'!E26),'03_逐品成本'!E26&gt;0),ROUND(ROUND(F391*IF(E391="PHP",'03_逐品成本'!E26,1),10),2),"")</f>
        <v/>
      </c>
      <c r="M391" s="9">
        <f>IF(AND(N391="完整",ISNUMBER('03_逐品成本'!E26),'03_逐品成本'!E26&gt;0),ROUND(ROUND(IF(ISNUMBER(G391),G391,F391)*1.15*IF(E391="PHP",'03_逐品成本'!E26*0.95,1),10),2),"")</f>
        <v/>
      </c>
      <c r="N391" s="6" t="str">
        <f>IF(AND(ISNUMBER(F391),F391&gt;=0,OR(E391="PHP",E391="CNY"),OR(H391="已核实",H391="不适用"),I391&lt;&gt;"",J391&lt;&gt;"",ISNUMBER(K391),K391&gt;='00_审核入口'!$F$2,OR(H391&lt;&gt;"不适用",F391=0),OR(G391="",AND(ISNUMBER(G391),G391&gt;=0))),"完整","待补证")</f>
        <v>待补证</v>
      </c>
    </row>
    <row r="392" spans="1:14" ht="58" customHeight="1">
      <c r="A392" s="8" t="s">
        <v>228</v>
      </c>
      <c r="B392" s="8" t="s">
        <v>229</v>
      </c>
      <c r="C392" s="8" t="s">
        <v>525</v>
      </c>
      <c r="D392" s="8" t="s">
        <v>526</v>
      </c>
      <c r="E392" s="8"/>
      <c r="F392" s="8"/>
      <c r="G392" s="8"/>
      <c r="H392" s="8" t="s">
        <v>506</v>
      </c>
      <c r="I392" s="8"/>
      <c r="J392" s="8"/>
      <c r="L392" s="9">
        <f>IF(AND(N392="完整",ISNUMBER('03_逐品成本'!E26),'03_逐品成本'!E26&gt;0),ROUND(ROUND(F392*IF(E392="PHP",'03_逐品成本'!E26,1),10),2),"")</f>
        <v/>
      </c>
      <c r="M392" s="9">
        <f>IF(AND(N392="完整",ISNUMBER('03_逐品成本'!E26),'03_逐品成本'!E26&gt;0),ROUND(ROUND(IF(ISNUMBER(G392),G392,F392)*1.15*IF(E392="PHP",'03_逐品成本'!E26*0.95,1),10),2),"")</f>
        <v/>
      </c>
      <c r="N392" s="6" t="str">
        <f>IF(AND(ISNUMBER(F392),F392&gt;=0,OR(E392="PHP",E392="CNY"),OR(H392="已核实",H392="不适用"),I392&lt;&gt;"",J392&lt;&gt;"",ISNUMBER(K392),K392&gt;='00_审核入口'!$F$2,OR(H392&lt;&gt;"不适用",F392=0),OR(G392="",AND(ISNUMBER(G392),G392&gt;=0))),"完整","待补证")</f>
        <v>待补证</v>
      </c>
    </row>
    <row r="393" spans="1:14" ht="58" customHeight="1">
      <c r="A393" s="8" t="s">
        <v>228</v>
      </c>
      <c r="B393" s="8" t="s">
        <v>229</v>
      </c>
      <c r="C393" s="8" t="s">
        <v>527</v>
      </c>
      <c r="D393" s="8" t="s">
        <v>528</v>
      </c>
      <c r="E393" s="8"/>
      <c r="F393" s="8"/>
      <c r="G393" s="8"/>
      <c r="H393" s="8" t="s">
        <v>506</v>
      </c>
      <c r="I393" s="8"/>
      <c r="J393" s="8"/>
      <c r="L393" s="9">
        <f>IF(AND(N393="完整",ISNUMBER('03_逐品成本'!E26),'03_逐品成本'!E26&gt;0),ROUND(ROUND(F393*IF(E393="PHP",'03_逐品成本'!E26,1),10),2),"")</f>
        <v/>
      </c>
      <c r="M393" s="9">
        <f>IF(AND(N393="完整",ISNUMBER('03_逐品成本'!E26),'03_逐品成本'!E26&gt;0),ROUND(ROUND(IF(ISNUMBER(G393),G393,F393)*1.15*IF(E393="PHP",'03_逐品成本'!E26*0.95,1),10),2),"")</f>
        <v/>
      </c>
      <c r="N393" s="6" t="str">
        <f>IF(AND(ISNUMBER(F393),F393&gt;=0,OR(E393="PHP",E393="CNY"),OR(H393="已核实",H393="不适用"),I393&lt;&gt;"",J393&lt;&gt;"",ISNUMBER(K393),K393&gt;='00_审核入口'!$F$2,OR(H393&lt;&gt;"不适用",F393=0),OR(G393="",AND(ISNUMBER(G393),G393&gt;=0))),"完整","待补证")</f>
        <v>待补证</v>
      </c>
    </row>
    <row r="394" spans="1:14" ht="58" customHeight="1">
      <c r="A394" s="8" t="s">
        <v>228</v>
      </c>
      <c r="B394" s="8" t="s">
        <v>229</v>
      </c>
      <c r="C394" s="8" t="s">
        <v>529</v>
      </c>
      <c r="D394" s="8" t="s">
        <v>530</v>
      </c>
      <c r="E394" s="8"/>
      <c r="F394" s="8"/>
      <c r="G394" s="8"/>
      <c r="H394" s="8" t="s">
        <v>506</v>
      </c>
      <c r="I394" s="8"/>
      <c r="J394" s="8"/>
      <c r="L394" s="9">
        <f>IF(AND(N394="完整",ISNUMBER('03_逐品成本'!E26),'03_逐品成本'!E26&gt;0),ROUND(ROUND(F394*IF(E394="PHP",'03_逐品成本'!E26,1),10),2),"")</f>
        <v/>
      </c>
      <c r="M394" s="9">
        <f>IF(AND(N394="完整",ISNUMBER('03_逐品成本'!E26),'03_逐品成本'!E26&gt;0),ROUND(ROUND(IF(ISNUMBER(G394),G394,F394)*1*IF(E394="PHP",'03_逐品成本'!E26*0.95,1),10),2),"")</f>
        <v/>
      </c>
      <c r="N394" s="6" t="str">
        <f>IF(AND(ISNUMBER(F394),F394&gt;=0,OR(E394="PHP",E394="CNY"),OR(H394="已核实",H394="不适用",H394="预算"),I394&lt;&gt;"",J394&lt;&gt;"",ISNUMBER(K394),K394&gt;='00_审核入口'!$F$2,OR(H394&lt;&gt;"不适用",F394=0),OR(G394="",AND(ISNUMBER(G394),G394&gt;=0))),"完整","待补证")</f>
        <v>待补证</v>
      </c>
    </row>
    <row r="395" spans="1:14" ht="58" customHeight="1">
      <c r="A395" s="8" t="s">
        <v>228</v>
      </c>
      <c r="B395" s="8" t="s">
        <v>229</v>
      </c>
      <c r="C395" s="8" t="s">
        <v>531</v>
      </c>
      <c r="D395" s="8" t="s">
        <v>532</v>
      </c>
      <c r="E395" s="8"/>
      <c r="F395" s="8"/>
      <c r="G395" s="8"/>
      <c r="H395" s="8" t="s">
        <v>506</v>
      </c>
      <c r="I395" s="8"/>
      <c r="J395" s="8"/>
      <c r="L395" s="9">
        <f>IF(AND(N395="完整",ISNUMBER('03_逐品成本'!E26),'03_逐品成本'!E26&gt;0),ROUND(ROUND(F395*IF(E395="PHP",'03_逐品成本'!E26,1),10),2),"")</f>
        <v/>
      </c>
      <c r="M395" s="9">
        <f>IF(AND(N395="完整",ISNUMBER('03_逐品成本'!E26),'03_逐品成本'!E26&gt;0),ROUND(ROUND(IF(ISNUMBER(G395),G395,F395)*1*IF(E395="PHP",'03_逐品成本'!E26*0.95,1),10),2),"")</f>
        <v/>
      </c>
      <c r="N395" s="6" t="str">
        <f>IF(AND(ISNUMBER(F395),F395&gt;=0,OR(E395="PHP",E395="CNY"),OR(H395="已核实",H395="不适用",H395="预算"),I395&lt;&gt;"",J395&lt;&gt;"",ISNUMBER(K395),K395&gt;='00_审核入口'!$F$2,OR(H395&lt;&gt;"不适用",F395=0),OR(G395="",AND(ISNUMBER(G395),G395&gt;=0))),"完整","待补证")</f>
        <v>待补证</v>
      </c>
    </row>
    <row r="396" spans="1:14" ht="58" customHeight="1">
      <c r="A396" s="8" t="s">
        <v>228</v>
      </c>
      <c r="B396" s="8" t="s">
        <v>229</v>
      </c>
      <c r="C396" s="8" t="s">
        <v>533</v>
      </c>
      <c r="D396" s="8" t="s">
        <v>534</v>
      </c>
      <c r="E396" s="8"/>
      <c r="F396" s="8"/>
      <c r="G396" s="8"/>
      <c r="H396" s="8" t="s">
        <v>506</v>
      </c>
      <c r="I396" s="8"/>
      <c r="J396" s="8"/>
      <c r="L396" s="9">
        <f>IF(AND(N396="完整",ISNUMBER('03_逐品成本'!E26),'03_逐品成本'!E26&gt;0),ROUND(ROUND(F396*IF(E396="PHP",'03_逐品成本'!E26,1),10),2),"")</f>
        <v/>
      </c>
      <c r="M396" s="9">
        <f>IF(AND(N396="完整",ISNUMBER('03_逐品成本'!E26),'03_逐品成本'!E26&gt;0),ROUND(ROUND(IF(ISNUMBER(G396),G396,F396)*1*IF(E396="PHP",'03_逐品成本'!E26*0.95,1),10),2),"")</f>
        <v/>
      </c>
      <c r="N396" s="6" t="str">
        <f>IF(AND(ISNUMBER(F396),F396&gt;=0,OR(E396="PHP",E396="CNY"),OR(H396="已核实",H396="不适用",H396="预算"),I396&lt;&gt;"",J396&lt;&gt;"",ISNUMBER(K396),K396&gt;='00_审核入口'!$F$2,OR(H396&lt;&gt;"不适用",F396=0),OR(G396="",AND(ISNUMBER(G396),G396&gt;=0))),"完整","待补证")</f>
        <v>待补证</v>
      </c>
    </row>
    <row r="397" spans="1:14" ht="58" customHeight="1">
      <c r="A397" s="8" t="s">
        <v>228</v>
      </c>
      <c r="B397" s="8" t="s">
        <v>229</v>
      </c>
      <c r="C397" s="8" t="s">
        <v>535</v>
      </c>
      <c r="D397" s="8" t="s">
        <v>536</v>
      </c>
      <c r="E397" s="8"/>
      <c r="F397" s="8"/>
      <c r="G397" s="8"/>
      <c r="H397" s="8" t="s">
        <v>506</v>
      </c>
      <c r="I397" s="8"/>
      <c r="J397" s="8"/>
      <c r="L397" s="9">
        <f>IF(AND(N397="完整",ISNUMBER('03_逐品成本'!E26),'03_逐品成本'!E26&gt;0),ROUND(ROUND(F397*IF(E397="PHP",'03_逐品成本'!E26,1),10),2),"")</f>
        <v/>
      </c>
      <c r="M397" s="9">
        <f>IF(AND(N397="完整",ISNUMBER('03_逐品成本'!E26),'03_逐品成本'!E26&gt;0),ROUND(ROUND(IF(ISNUMBER(G397),G397,F397)*1*IF(E397="PHP",'03_逐品成本'!E26*0.95,1),10),2),"")</f>
        <v/>
      </c>
      <c r="N397" s="6" t="str">
        <f>IF(AND(ISNUMBER(F397),F397&gt;=0,OR(E397="PHP",E397="CNY"),OR(H397="已核实",H397="不适用"),I397&lt;&gt;"",J397&lt;&gt;"",ISNUMBER(K397),K397&gt;='00_审核入口'!$F$2,OR(H397&lt;&gt;"不适用",F397=0),OR(G397="",AND(ISNUMBER(G397),G397&gt;=0))),"完整","待补证")</f>
        <v>待补证</v>
      </c>
    </row>
    <row r="398" spans="1:14" ht="58" customHeight="1">
      <c r="A398" s="8" t="s">
        <v>228</v>
      </c>
      <c r="B398" s="8" t="s">
        <v>229</v>
      </c>
      <c r="C398" s="8" t="s">
        <v>537</v>
      </c>
      <c r="D398" s="8" t="s">
        <v>538</v>
      </c>
      <c r="E398" s="8"/>
      <c r="F398" s="8"/>
      <c r="G398" s="8"/>
      <c r="H398" s="8" t="s">
        <v>506</v>
      </c>
      <c r="I398" s="8"/>
      <c r="J398" s="8"/>
      <c r="L398" s="9">
        <f>IF(AND(N398="完整",ISNUMBER('03_逐品成本'!E26),'03_逐品成本'!E26&gt;0),ROUND(ROUND(F398*IF(E398="PHP",'03_逐品成本'!E26,1),10),2),"")</f>
        <v/>
      </c>
      <c r="M398" s="9">
        <f>IF(AND(N398="完整",ISNUMBER('03_逐品成本'!E26),'03_逐品成本'!E26&gt;0),ROUND(ROUND(IF(ISNUMBER(G398),G398,F398)*1*IF(E398="PHP",'03_逐品成本'!E26*0.95,1),10),2),"")</f>
        <v/>
      </c>
      <c r="N398" s="6" t="str">
        <f>IF(AND(ISNUMBER(F398),F398&gt;=0,OR(E398="PHP",E398="CNY"),OR(H398="已核实",H398="不适用"),I398&lt;&gt;"",J398&lt;&gt;"",ISNUMBER(K398),K398&gt;='00_审核入口'!$F$2,OR(H398&lt;&gt;"不适用",F398=0),OR(G398="",AND(ISNUMBER(G398),G398&gt;=0))),"完整","待补证")</f>
        <v>待补证</v>
      </c>
    </row>
    <row r="399" spans="1:14" ht="58" customHeight="1">
      <c r="A399" s="8" t="s">
        <v>228</v>
      </c>
      <c r="B399" s="8" t="s">
        <v>229</v>
      </c>
      <c r="C399" s="8" t="s">
        <v>539</v>
      </c>
      <c r="D399" s="8" t="s">
        <v>540</v>
      </c>
      <c r="E399" s="8"/>
      <c r="F399" s="8"/>
      <c r="G399" s="8"/>
      <c r="H399" s="8" t="s">
        <v>506</v>
      </c>
      <c r="I399" s="8"/>
      <c r="J399" s="8"/>
      <c r="L399" s="9">
        <f>IF(AND(N399="完整",ISNUMBER('03_逐品成本'!E26),'03_逐品成本'!E26&gt;0),ROUND(ROUND(F399*IF(E399="PHP",'03_逐品成本'!E26,1),10),2),"")</f>
        <v/>
      </c>
      <c r="M399" s="9">
        <f>IF(AND(N399="完整",ISNUMBER('03_逐品成本'!E26),'03_逐品成本'!E26&gt;0),ROUND(ROUND(IF(ISNUMBER(G399),G399,F399)*1*IF(E399="PHP",'03_逐品成本'!E26*0.95,1),10),2),"")</f>
        <v/>
      </c>
      <c r="N399" s="6" t="str">
        <f>IF(AND(ISNUMBER(F399),F399&gt;=0,OR(E399="PHP",E399="CNY"),OR(H399="已核实",H399="不适用",H399="预算"),I399&lt;&gt;"",J399&lt;&gt;"",ISNUMBER(K399),K399&gt;='00_审核入口'!$F$2,OR(H399&lt;&gt;"不适用",F399=0),OR(G399="",AND(ISNUMBER(G399),G399&gt;=0))),"完整","待补证")</f>
        <v>待补证</v>
      </c>
    </row>
    <row r="400" spans="1:14" ht="58" customHeight="1">
      <c r="A400" s="8" t="s">
        <v>228</v>
      </c>
      <c r="B400" s="8" t="s">
        <v>229</v>
      </c>
      <c r="C400" s="8" t="s">
        <v>541</v>
      </c>
      <c r="D400" s="8" t="s">
        <v>542</v>
      </c>
      <c r="E400" s="8"/>
      <c r="F400" s="8"/>
      <c r="G400" s="8"/>
      <c r="H400" s="8" t="s">
        <v>506</v>
      </c>
      <c r="I400" s="8"/>
      <c r="J400" s="8"/>
      <c r="L400" s="9">
        <f>IF(AND(N400="完整",ISNUMBER('03_逐品成本'!E26),'03_逐品成本'!E26&gt;0),ROUND(ROUND(F400*IF(E400="PHP",'03_逐品成本'!E26,1),10),2),"")</f>
        <v/>
      </c>
      <c r="M400" s="9">
        <f>IF(AND(N400="完整",ISNUMBER('03_逐品成本'!E26),'03_逐品成本'!E26&gt;0),ROUND(ROUND(IF(ISNUMBER(G400),G400,F400)*1*IF(E400="PHP",'03_逐品成本'!E26*0.95,1),10),2),"")</f>
        <v/>
      </c>
      <c r="N400" s="6" t="str">
        <f>IF(AND(ISNUMBER(F400),F400&gt;=0,OR(E400="PHP",E400="CNY"),OR(H400="已核实",H400="不适用",H400="预算"),I400&lt;&gt;"",J400&lt;&gt;"",ISNUMBER(K400),K400&gt;='00_审核入口'!$F$2,OR(H400&lt;&gt;"不适用",F400=0),OR(G400="",AND(ISNUMBER(G400),G400&gt;=0))),"完整","待补证")</f>
        <v>待补证</v>
      </c>
    </row>
  </sheetData>
  <autoFilter ref="A4:N400"/>
  <mergeCells count="2">
    <mergeCell ref="A1:N1"/>
    <mergeCell ref="A2:N3"/>
  </mergeCells>
  <dataValidations count="792">
    <dataValidation type="list" allowBlank="1" showInputMessage="1" showErrorMessage="1" sqref="E5">
      <formula1>"CNY,PHP"</formula1>
    </dataValidation>
    <dataValidation type="list" allowBlank="1" showInputMessage="1" showErrorMessage="1" sqref="H5">
      <formula1>"已核实,不适用"</formula1>
    </dataValidation>
    <dataValidation type="list" allowBlank="1" showInputMessage="1" showErrorMessage="1" sqref="E6">
      <formula1>"CNY,PHP"</formula1>
    </dataValidation>
    <dataValidation type="list" allowBlank="1" showInputMessage="1" showErrorMessage="1" sqref="H6">
      <formula1>"已核实,不适用"</formula1>
    </dataValidation>
    <dataValidation type="list" allowBlank="1" showInputMessage="1" showErrorMessage="1" sqref="E7">
      <formula1>"CNY,PHP"</formula1>
    </dataValidation>
    <dataValidation type="list" allowBlank="1" showInputMessage="1" showErrorMessage="1" sqref="H7">
      <formula1>"已核实,不适用"</formula1>
    </dataValidation>
    <dataValidation type="list" allowBlank="1" showInputMessage="1" showErrorMessage="1" sqref="E8">
      <formula1>"CNY,PHP"</formula1>
    </dataValidation>
    <dataValidation type="list" allowBlank="1" showInputMessage="1" showErrorMessage="1" sqref="H8">
      <formula1>"已核实,不适用"</formula1>
    </dataValidation>
    <dataValidation type="list" allowBlank="1" showInputMessage="1" showErrorMessage="1" sqref="E9">
      <formula1>"CNY,PHP"</formula1>
    </dataValidation>
    <dataValidation type="list" allowBlank="1" showInputMessage="1" showErrorMessage="1" sqref="H9">
      <formula1>"已核实,不适用"</formula1>
    </dataValidation>
    <dataValidation type="list" allowBlank="1" showInputMessage="1" showErrorMessage="1" sqref="E10">
      <formula1>"CNY,PHP"</formula1>
    </dataValidation>
    <dataValidation type="list" allowBlank="1" showInputMessage="1" showErrorMessage="1" sqref="H10">
      <formula1>"已核实,不适用"</formula1>
    </dataValidation>
    <dataValidation type="list" allowBlank="1" showInputMessage="1" showErrorMessage="1" sqref="E11">
      <formula1>"CNY,PHP"</formula1>
    </dataValidation>
    <dataValidation type="list" allowBlank="1" showInputMessage="1" showErrorMessage="1" sqref="H11">
      <formula1>"已核实,不适用"</formula1>
    </dataValidation>
    <dataValidation type="list" allowBlank="1" showInputMessage="1" showErrorMessage="1" sqref="E12">
      <formula1>"CNY,PHP"</formula1>
    </dataValidation>
    <dataValidation type="list" allowBlank="1" showInputMessage="1" showErrorMessage="1" sqref="H12">
      <formula1>"已核实,不适用"</formula1>
    </dataValidation>
    <dataValidation type="list" allowBlank="1" showInputMessage="1" showErrorMessage="1" sqref="E13">
      <formula1>"CNY,PHP"</formula1>
    </dataValidation>
    <dataValidation type="list" allowBlank="1" showInputMessage="1" showErrorMessage="1" sqref="H13">
      <formula1>"已核实,不适用"</formula1>
    </dataValidation>
    <dataValidation type="list" allowBlank="1" showInputMessage="1" showErrorMessage="1" sqref="E14">
      <formula1>"CNY,PHP"</formula1>
    </dataValidation>
    <dataValidation type="list" allowBlank="1" showInputMessage="1" showErrorMessage="1" sqref="H14">
      <formula1>"已核实,不适用"</formula1>
    </dataValidation>
    <dataValidation type="list" allowBlank="1" showInputMessage="1" showErrorMessage="1" sqref="E15">
      <formula1>"CNY,PHP"</formula1>
    </dataValidation>
    <dataValidation type="list" allowBlank="1" showInputMessage="1" showErrorMessage="1" sqref="H15">
      <formula1>"已核实,不适用"</formula1>
    </dataValidation>
    <dataValidation type="list" allowBlank="1" showInputMessage="1" showErrorMessage="1" sqref="E16">
      <formula1>"CNY,PHP"</formula1>
    </dataValidation>
    <dataValidation type="list" allowBlank="1" showInputMessage="1" showErrorMessage="1" sqref="H16">
      <formula1>"已核实,不适用,预算"</formula1>
    </dataValidation>
    <dataValidation type="list" allowBlank="1" showInputMessage="1" showErrorMessage="1" sqref="E17">
      <formula1>"CNY,PHP"</formula1>
    </dataValidation>
    <dataValidation type="list" allowBlank="1" showInputMessage="1" showErrorMessage="1" sqref="H17">
      <formula1>"已核实,不适用,预算"</formula1>
    </dataValidation>
    <dataValidation type="list" allowBlank="1" showInputMessage="1" showErrorMessage="1" sqref="E18">
      <formula1>"CNY,PHP"</formula1>
    </dataValidation>
    <dataValidation type="list" allowBlank="1" showInputMessage="1" showErrorMessage="1" sqref="H18">
      <formula1>"已核实,不适用,预算"</formula1>
    </dataValidation>
    <dataValidation type="list" allowBlank="1" showInputMessage="1" showErrorMessage="1" sqref="E19">
      <formula1>"CNY,PHP"</formula1>
    </dataValidation>
    <dataValidation type="list" allowBlank="1" showInputMessage="1" showErrorMessage="1" sqref="H19">
      <formula1>"已核实,不适用"</formula1>
    </dataValidation>
    <dataValidation type="list" allowBlank="1" showInputMessage="1" showErrorMessage="1" sqref="E20">
      <formula1>"CNY,PHP"</formula1>
    </dataValidation>
    <dataValidation type="list" allowBlank="1" showInputMessage="1" showErrorMessage="1" sqref="H20">
      <formula1>"已核实,不适用"</formula1>
    </dataValidation>
    <dataValidation type="list" allowBlank="1" showInputMessage="1" showErrorMessage="1" sqref="E21">
      <formula1>"CNY,PHP"</formula1>
    </dataValidation>
    <dataValidation type="list" allowBlank="1" showInputMessage="1" showErrorMessage="1" sqref="H21">
      <formula1>"已核实,不适用,预算"</formula1>
    </dataValidation>
    <dataValidation type="list" allowBlank="1" showInputMessage="1" showErrorMessage="1" sqref="E22">
      <formula1>"CNY,PHP"</formula1>
    </dataValidation>
    <dataValidation type="list" allowBlank="1" showInputMessage="1" showErrorMessage="1" sqref="H22">
      <formula1>"已核实,不适用,预算"</formula1>
    </dataValidation>
    <dataValidation type="list" allowBlank="1" showInputMessage="1" showErrorMessage="1" sqref="E23">
      <formula1>"CNY,PHP"</formula1>
    </dataValidation>
    <dataValidation type="list" allowBlank="1" showInputMessage="1" showErrorMessage="1" sqref="H23">
      <formula1>"已核实,不适用"</formula1>
    </dataValidation>
    <dataValidation type="list" allowBlank="1" showInputMessage="1" showErrorMessage="1" sqref="E24">
      <formula1>"CNY,PHP"</formula1>
    </dataValidation>
    <dataValidation type="list" allowBlank="1" showInputMessage="1" showErrorMessage="1" sqref="H24">
      <formula1>"已核实,不适用"</formula1>
    </dataValidation>
    <dataValidation type="list" allowBlank="1" showInputMessage="1" showErrorMessage="1" sqref="E25">
      <formula1>"CNY,PHP"</formula1>
    </dataValidation>
    <dataValidation type="list" allowBlank="1" showInputMessage="1" showErrorMessage="1" sqref="H25">
      <formula1>"已核实,不适用"</formula1>
    </dataValidation>
    <dataValidation type="list" allowBlank="1" showInputMessage="1" showErrorMessage="1" sqref="E26">
      <formula1>"CNY,PHP"</formula1>
    </dataValidation>
    <dataValidation type="list" allowBlank="1" showInputMessage="1" showErrorMessage="1" sqref="H26">
      <formula1>"已核实,不适用"</formula1>
    </dataValidation>
    <dataValidation type="list" allowBlank="1" showInputMessage="1" showErrorMessage="1" sqref="E27">
      <formula1>"CNY,PHP"</formula1>
    </dataValidation>
    <dataValidation type="list" allowBlank="1" showInputMessage="1" showErrorMessage="1" sqref="H27">
      <formula1>"已核实,不适用"</formula1>
    </dataValidation>
    <dataValidation type="list" allowBlank="1" showInputMessage="1" showErrorMessage="1" sqref="E28">
      <formula1>"CNY,PHP"</formula1>
    </dataValidation>
    <dataValidation type="list" allowBlank="1" showInputMessage="1" showErrorMessage="1" sqref="H28">
      <formula1>"已核实,不适用"</formula1>
    </dataValidation>
    <dataValidation type="list" allowBlank="1" showInputMessage="1" showErrorMessage="1" sqref="E29">
      <formula1>"CNY,PHP"</formula1>
    </dataValidation>
    <dataValidation type="list" allowBlank="1" showInputMessage="1" showErrorMessage="1" sqref="H29">
      <formula1>"已核实,不适用"</formula1>
    </dataValidation>
    <dataValidation type="list" allowBlank="1" showInputMessage="1" showErrorMessage="1" sqref="E30">
      <formula1>"CNY,PHP"</formula1>
    </dataValidation>
    <dataValidation type="list" allowBlank="1" showInputMessage="1" showErrorMessage="1" sqref="H30">
      <formula1>"已核实,不适用"</formula1>
    </dataValidation>
    <dataValidation type="list" allowBlank="1" showInputMessage="1" showErrorMessage="1" sqref="E31">
      <formula1>"CNY,PHP"</formula1>
    </dataValidation>
    <dataValidation type="list" allowBlank="1" showInputMessage="1" showErrorMessage="1" sqref="H31">
      <formula1>"已核实,不适用"</formula1>
    </dataValidation>
    <dataValidation type="list" allowBlank="1" showInputMessage="1" showErrorMessage="1" sqref="E32">
      <formula1>"CNY,PHP"</formula1>
    </dataValidation>
    <dataValidation type="list" allowBlank="1" showInputMessage="1" showErrorMessage="1" sqref="H32">
      <formula1>"已核实,不适用"</formula1>
    </dataValidation>
    <dataValidation type="list" allowBlank="1" showInputMessage="1" showErrorMessage="1" sqref="E33">
      <formula1>"CNY,PHP"</formula1>
    </dataValidation>
    <dataValidation type="list" allowBlank="1" showInputMessage="1" showErrorMessage="1" sqref="H33">
      <formula1>"已核实,不适用"</formula1>
    </dataValidation>
    <dataValidation type="list" allowBlank="1" showInputMessage="1" showErrorMessage="1" sqref="E34">
      <formula1>"CNY,PHP"</formula1>
    </dataValidation>
    <dataValidation type="list" allowBlank="1" showInputMessage="1" showErrorMessage="1" sqref="H34">
      <formula1>"已核实,不适用,预算"</formula1>
    </dataValidation>
    <dataValidation type="list" allowBlank="1" showInputMessage="1" showErrorMessage="1" sqref="E35">
      <formula1>"CNY,PHP"</formula1>
    </dataValidation>
    <dataValidation type="list" allowBlank="1" showInputMessage="1" showErrorMessage="1" sqref="H35">
      <formula1>"已核实,不适用,预算"</formula1>
    </dataValidation>
    <dataValidation type="list" allowBlank="1" showInputMessage="1" showErrorMessage="1" sqref="E36">
      <formula1>"CNY,PHP"</formula1>
    </dataValidation>
    <dataValidation type="list" allowBlank="1" showInputMessage="1" showErrorMessage="1" sqref="H36">
      <formula1>"已核实,不适用,预算"</formula1>
    </dataValidation>
    <dataValidation type="list" allowBlank="1" showInputMessage="1" showErrorMessage="1" sqref="E37">
      <formula1>"CNY,PHP"</formula1>
    </dataValidation>
    <dataValidation type="list" allowBlank="1" showInputMessage="1" showErrorMessage="1" sqref="H37">
      <formula1>"已核实,不适用"</formula1>
    </dataValidation>
    <dataValidation type="list" allowBlank="1" showInputMessage="1" showErrorMessage="1" sqref="E38">
      <formula1>"CNY,PHP"</formula1>
    </dataValidation>
    <dataValidation type="list" allowBlank="1" showInputMessage="1" showErrorMessage="1" sqref="H38">
      <formula1>"已核实,不适用"</formula1>
    </dataValidation>
    <dataValidation type="list" allowBlank="1" showInputMessage="1" showErrorMessage="1" sqref="E39">
      <formula1>"CNY,PHP"</formula1>
    </dataValidation>
    <dataValidation type="list" allowBlank="1" showInputMessage="1" showErrorMessage="1" sqref="H39">
      <formula1>"已核实,不适用,预算"</formula1>
    </dataValidation>
    <dataValidation type="list" allowBlank="1" showInputMessage="1" showErrorMessage="1" sqref="E40">
      <formula1>"CNY,PHP"</formula1>
    </dataValidation>
    <dataValidation type="list" allowBlank="1" showInputMessage="1" showErrorMessage="1" sqref="H40">
      <formula1>"已核实,不适用,预算"</formula1>
    </dataValidation>
    <dataValidation type="list" allowBlank="1" showInputMessage="1" showErrorMessage="1" sqref="E41">
      <formula1>"CNY,PHP"</formula1>
    </dataValidation>
    <dataValidation type="list" allowBlank="1" showInputMessage="1" showErrorMessage="1" sqref="H41">
      <formula1>"已核实,不适用"</formula1>
    </dataValidation>
    <dataValidation type="list" allowBlank="1" showInputMessage="1" showErrorMessage="1" sqref="E42">
      <formula1>"CNY,PHP"</formula1>
    </dataValidation>
    <dataValidation type="list" allowBlank="1" showInputMessage="1" showErrorMessage="1" sqref="H42">
      <formula1>"已核实,不适用"</formula1>
    </dataValidation>
    <dataValidation type="list" allowBlank="1" showInputMessage="1" showErrorMessage="1" sqref="E43">
      <formula1>"CNY,PHP"</formula1>
    </dataValidation>
    <dataValidation type="list" allowBlank="1" showInputMessage="1" showErrorMessage="1" sqref="H43">
      <formula1>"已核实,不适用"</formula1>
    </dataValidation>
    <dataValidation type="list" allowBlank="1" showInputMessage="1" showErrorMessage="1" sqref="E44">
      <formula1>"CNY,PHP"</formula1>
    </dataValidation>
    <dataValidation type="list" allowBlank="1" showInputMessage="1" showErrorMessage="1" sqref="H44">
      <formula1>"已核实,不适用"</formula1>
    </dataValidation>
    <dataValidation type="list" allowBlank="1" showInputMessage="1" showErrorMessage="1" sqref="E45">
      <formula1>"CNY,PHP"</formula1>
    </dataValidation>
    <dataValidation type="list" allowBlank="1" showInputMessage="1" showErrorMessage="1" sqref="H45">
      <formula1>"已核实,不适用"</formula1>
    </dataValidation>
    <dataValidation type="list" allowBlank="1" showInputMessage="1" showErrorMessage="1" sqref="E46">
      <formula1>"CNY,PHP"</formula1>
    </dataValidation>
    <dataValidation type="list" allowBlank="1" showInputMessage="1" showErrorMessage="1" sqref="H46">
      <formula1>"已核实,不适用"</formula1>
    </dataValidation>
    <dataValidation type="list" allowBlank="1" showInputMessage="1" showErrorMessage="1" sqref="E47">
      <formula1>"CNY,PHP"</formula1>
    </dataValidation>
    <dataValidation type="list" allowBlank="1" showInputMessage="1" showErrorMessage="1" sqref="H47">
      <formula1>"已核实,不适用"</formula1>
    </dataValidation>
    <dataValidation type="list" allowBlank="1" showInputMessage="1" showErrorMessage="1" sqref="E48">
      <formula1>"CNY,PHP"</formula1>
    </dataValidation>
    <dataValidation type="list" allowBlank="1" showInputMessage="1" showErrorMessage="1" sqref="H48">
      <formula1>"已核实,不适用"</formula1>
    </dataValidation>
    <dataValidation type="list" allowBlank="1" showInputMessage="1" showErrorMessage="1" sqref="E49">
      <formula1>"CNY,PHP"</formula1>
    </dataValidation>
    <dataValidation type="list" allowBlank="1" showInputMessage="1" showErrorMessage="1" sqref="H49">
      <formula1>"已核实,不适用"</formula1>
    </dataValidation>
    <dataValidation type="list" allowBlank="1" showInputMessage="1" showErrorMessage="1" sqref="E50">
      <formula1>"CNY,PHP"</formula1>
    </dataValidation>
    <dataValidation type="list" allowBlank="1" showInputMessage="1" showErrorMessage="1" sqref="H50">
      <formula1>"已核实,不适用"</formula1>
    </dataValidation>
    <dataValidation type="list" allowBlank="1" showInputMessage="1" showErrorMessage="1" sqref="E51">
      <formula1>"CNY,PHP"</formula1>
    </dataValidation>
    <dataValidation type="list" allowBlank="1" showInputMessage="1" showErrorMessage="1" sqref="H51">
      <formula1>"已核实,不适用"</formula1>
    </dataValidation>
    <dataValidation type="list" allowBlank="1" showInputMessage="1" showErrorMessage="1" sqref="E52">
      <formula1>"CNY,PHP"</formula1>
    </dataValidation>
    <dataValidation type="list" allowBlank="1" showInputMessage="1" showErrorMessage="1" sqref="H52">
      <formula1>"已核实,不适用,预算"</formula1>
    </dataValidation>
    <dataValidation type="list" allowBlank="1" showInputMessage="1" showErrorMessage="1" sqref="E53">
      <formula1>"CNY,PHP"</formula1>
    </dataValidation>
    <dataValidation type="list" allowBlank="1" showInputMessage="1" showErrorMessage="1" sqref="H53">
      <formula1>"已核实,不适用,预算"</formula1>
    </dataValidation>
    <dataValidation type="list" allowBlank="1" showInputMessage="1" showErrorMessage="1" sqref="E54">
      <formula1>"CNY,PHP"</formula1>
    </dataValidation>
    <dataValidation type="list" allowBlank="1" showInputMessage="1" showErrorMessage="1" sqref="H54">
      <formula1>"已核实,不适用,预算"</formula1>
    </dataValidation>
    <dataValidation type="list" allowBlank="1" showInputMessage="1" showErrorMessage="1" sqref="E55">
      <formula1>"CNY,PHP"</formula1>
    </dataValidation>
    <dataValidation type="list" allowBlank="1" showInputMessage="1" showErrorMessage="1" sqref="H55">
      <formula1>"已核实,不适用"</formula1>
    </dataValidation>
    <dataValidation type="list" allowBlank="1" showInputMessage="1" showErrorMessage="1" sqref="E56">
      <formula1>"CNY,PHP"</formula1>
    </dataValidation>
    <dataValidation type="list" allowBlank="1" showInputMessage="1" showErrorMessage="1" sqref="H56">
      <formula1>"已核实,不适用"</formula1>
    </dataValidation>
    <dataValidation type="list" allowBlank="1" showInputMessage="1" showErrorMessage="1" sqref="E57">
      <formula1>"CNY,PHP"</formula1>
    </dataValidation>
    <dataValidation type="list" allowBlank="1" showInputMessage="1" showErrorMessage="1" sqref="H57">
      <formula1>"已核实,不适用,预算"</formula1>
    </dataValidation>
    <dataValidation type="list" allowBlank="1" showInputMessage="1" showErrorMessage="1" sqref="E58">
      <formula1>"CNY,PHP"</formula1>
    </dataValidation>
    <dataValidation type="list" allowBlank="1" showInputMessage="1" showErrorMessage="1" sqref="H58">
      <formula1>"已核实,不适用,预算"</formula1>
    </dataValidation>
    <dataValidation type="list" allowBlank="1" showInputMessage="1" showErrorMessage="1" sqref="E59">
      <formula1>"CNY,PHP"</formula1>
    </dataValidation>
    <dataValidation type="list" allowBlank="1" showInputMessage="1" showErrorMessage="1" sqref="H59">
      <formula1>"已核实,不适用"</formula1>
    </dataValidation>
    <dataValidation type="list" allowBlank="1" showInputMessage="1" showErrorMessage="1" sqref="E60">
      <formula1>"CNY,PHP"</formula1>
    </dataValidation>
    <dataValidation type="list" allowBlank="1" showInputMessage="1" showErrorMessage="1" sqref="H60">
      <formula1>"已核实,不适用"</formula1>
    </dataValidation>
    <dataValidation type="list" allowBlank="1" showInputMessage="1" showErrorMessage="1" sqref="E61">
      <formula1>"CNY,PHP"</formula1>
    </dataValidation>
    <dataValidation type="list" allowBlank="1" showInputMessage="1" showErrorMessage="1" sqref="H61">
      <formula1>"已核实,不适用"</formula1>
    </dataValidation>
    <dataValidation type="list" allowBlank="1" showInputMessage="1" showErrorMessage="1" sqref="E62">
      <formula1>"CNY,PHP"</formula1>
    </dataValidation>
    <dataValidation type="list" allowBlank="1" showInputMessage="1" showErrorMessage="1" sqref="H62">
      <formula1>"已核实,不适用"</formula1>
    </dataValidation>
    <dataValidation type="list" allowBlank="1" showInputMessage="1" showErrorMessage="1" sqref="E63">
      <formula1>"CNY,PHP"</formula1>
    </dataValidation>
    <dataValidation type="list" allowBlank="1" showInputMessage="1" showErrorMessage="1" sqref="H63">
      <formula1>"已核实,不适用"</formula1>
    </dataValidation>
    <dataValidation type="list" allowBlank="1" showInputMessage="1" showErrorMessage="1" sqref="E64">
      <formula1>"CNY,PHP"</formula1>
    </dataValidation>
    <dataValidation type="list" allowBlank="1" showInputMessage="1" showErrorMessage="1" sqref="H64">
      <formula1>"已核实,不适用"</formula1>
    </dataValidation>
    <dataValidation type="list" allowBlank="1" showInputMessage="1" showErrorMessage="1" sqref="E65">
      <formula1>"CNY,PHP"</formula1>
    </dataValidation>
    <dataValidation type="list" allowBlank="1" showInputMessage="1" showErrorMessage="1" sqref="H65">
      <formula1>"已核实,不适用"</formula1>
    </dataValidation>
    <dataValidation type="list" allowBlank="1" showInputMessage="1" showErrorMessage="1" sqref="E66">
      <formula1>"CNY,PHP"</formula1>
    </dataValidation>
    <dataValidation type="list" allowBlank="1" showInputMessage="1" showErrorMessage="1" sqref="H66">
      <formula1>"已核实,不适用"</formula1>
    </dataValidation>
    <dataValidation type="list" allowBlank="1" showInputMessage="1" showErrorMessage="1" sqref="E67">
      <formula1>"CNY,PHP"</formula1>
    </dataValidation>
    <dataValidation type="list" allowBlank="1" showInputMessage="1" showErrorMessage="1" sqref="H67">
      <formula1>"已核实,不适用"</formula1>
    </dataValidation>
    <dataValidation type="list" allowBlank="1" showInputMessage="1" showErrorMessage="1" sqref="E68">
      <formula1>"CNY,PHP"</formula1>
    </dataValidation>
    <dataValidation type="list" allowBlank="1" showInputMessage="1" showErrorMessage="1" sqref="H68">
      <formula1>"已核实,不适用"</formula1>
    </dataValidation>
    <dataValidation type="list" allowBlank="1" showInputMessage="1" showErrorMessage="1" sqref="E69">
      <formula1>"CNY,PHP"</formula1>
    </dataValidation>
    <dataValidation type="list" allowBlank="1" showInputMessage="1" showErrorMessage="1" sqref="H69">
      <formula1>"已核实,不适用"</formula1>
    </dataValidation>
    <dataValidation type="list" allowBlank="1" showInputMessage="1" showErrorMessage="1" sqref="E70">
      <formula1>"CNY,PHP"</formula1>
    </dataValidation>
    <dataValidation type="list" allowBlank="1" showInputMessage="1" showErrorMessage="1" sqref="H70">
      <formula1>"已核实,不适用,预算"</formula1>
    </dataValidation>
    <dataValidation type="list" allowBlank="1" showInputMessage="1" showErrorMessage="1" sqref="E71">
      <formula1>"CNY,PHP"</formula1>
    </dataValidation>
    <dataValidation type="list" allowBlank="1" showInputMessage="1" showErrorMessage="1" sqref="H71">
      <formula1>"已核实,不适用,预算"</formula1>
    </dataValidation>
    <dataValidation type="list" allowBlank="1" showInputMessage="1" showErrorMessage="1" sqref="E72">
      <formula1>"CNY,PHP"</formula1>
    </dataValidation>
    <dataValidation type="list" allowBlank="1" showInputMessage="1" showErrorMessage="1" sqref="H72">
      <formula1>"已核实,不适用,预算"</formula1>
    </dataValidation>
    <dataValidation type="list" allowBlank="1" showInputMessage="1" showErrorMessage="1" sqref="E73">
      <formula1>"CNY,PHP"</formula1>
    </dataValidation>
    <dataValidation type="list" allowBlank="1" showInputMessage="1" showErrorMessage="1" sqref="H73">
      <formula1>"已核实,不适用"</formula1>
    </dataValidation>
    <dataValidation type="list" allowBlank="1" showInputMessage="1" showErrorMessage="1" sqref="E74">
      <formula1>"CNY,PHP"</formula1>
    </dataValidation>
    <dataValidation type="list" allowBlank="1" showInputMessage="1" showErrorMessage="1" sqref="H74">
      <formula1>"已核实,不适用"</formula1>
    </dataValidation>
    <dataValidation type="list" allowBlank="1" showInputMessage="1" showErrorMessage="1" sqref="E75">
      <formula1>"CNY,PHP"</formula1>
    </dataValidation>
    <dataValidation type="list" allowBlank="1" showInputMessage="1" showErrorMessage="1" sqref="H75">
      <formula1>"已核实,不适用,预算"</formula1>
    </dataValidation>
    <dataValidation type="list" allowBlank="1" showInputMessage="1" showErrorMessage="1" sqref="E76">
      <formula1>"CNY,PHP"</formula1>
    </dataValidation>
    <dataValidation type="list" allowBlank="1" showInputMessage="1" showErrorMessage="1" sqref="H76">
      <formula1>"已核实,不适用,预算"</formula1>
    </dataValidation>
    <dataValidation type="list" allowBlank="1" showInputMessage="1" showErrorMessage="1" sqref="E77">
      <formula1>"CNY,PHP"</formula1>
    </dataValidation>
    <dataValidation type="list" allowBlank="1" showInputMessage="1" showErrorMessage="1" sqref="H77">
      <formula1>"已核实,不适用"</formula1>
    </dataValidation>
    <dataValidation type="list" allowBlank="1" showInputMessage="1" showErrorMessage="1" sqref="E78">
      <formula1>"CNY,PHP"</formula1>
    </dataValidation>
    <dataValidation type="list" allowBlank="1" showInputMessage="1" showErrorMessage="1" sqref="H78">
      <formula1>"已核实,不适用"</formula1>
    </dataValidation>
    <dataValidation type="list" allowBlank="1" showInputMessage="1" showErrorMessage="1" sqref="E79">
      <formula1>"CNY,PHP"</formula1>
    </dataValidation>
    <dataValidation type="list" allowBlank="1" showInputMessage="1" showErrorMessage="1" sqref="H79">
      <formula1>"已核实,不适用"</formula1>
    </dataValidation>
    <dataValidation type="list" allowBlank="1" showInputMessage="1" showErrorMessage="1" sqref="E80">
      <formula1>"CNY,PHP"</formula1>
    </dataValidation>
    <dataValidation type="list" allowBlank="1" showInputMessage="1" showErrorMessage="1" sqref="H80">
      <formula1>"已核实,不适用"</formula1>
    </dataValidation>
    <dataValidation type="list" allowBlank="1" showInputMessage="1" showErrorMessage="1" sqref="E81">
      <formula1>"CNY,PHP"</formula1>
    </dataValidation>
    <dataValidation type="list" allowBlank="1" showInputMessage="1" showErrorMessage="1" sqref="H81">
      <formula1>"已核实,不适用"</formula1>
    </dataValidation>
    <dataValidation type="list" allowBlank="1" showInputMessage="1" showErrorMessage="1" sqref="E82">
      <formula1>"CNY,PHP"</formula1>
    </dataValidation>
    <dataValidation type="list" allowBlank="1" showInputMessage="1" showErrorMessage="1" sqref="H82">
      <formula1>"已核实,不适用"</formula1>
    </dataValidation>
    <dataValidation type="list" allowBlank="1" showInputMessage="1" showErrorMessage="1" sqref="E83">
      <formula1>"CNY,PHP"</formula1>
    </dataValidation>
    <dataValidation type="list" allowBlank="1" showInputMessage="1" showErrorMessage="1" sqref="H83">
      <formula1>"已核实,不适用"</formula1>
    </dataValidation>
    <dataValidation type="list" allowBlank="1" showInputMessage="1" showErrorMessage="1" sqref="E84">
      <formula1>"CNY,PHP"</formula1>
    </dataValidation>
    <dataValidation type="list" allowBlank="1" showInputMessage="1" showErrorMessage="1" sqref="H84">
      <formula1>"已核实,不适用"</formula1>
    </dataValidation>
    <dataValidation type="list" allowBlank="1" showInputMessage="1" showErrorMessage="1" sqref="E85">
      <formula1>"CNY,PHP"</formula1>
    </dataValidation>
    <dataValidation type="list" allowBlank="1" showInputMessage="1" showErrorMessage="1" sqref="H85">
      <formula1>"已核实,不适用"</formula1>
    </dataValidation>
    <dataValidation type="list" allowBlank="1" showInputMessage="1" showErrorMessage="1" sqref="E86">
      <formula1>"CNY,PHP"</formula1>
    </dataValidation>
    <dataValidation type="list" allowBlank="1" showInputMessage="1" showErrorMessage="1" sqref="H86">
      <formula1>"已核实,不适用"</formula1>
    </dataValidation>
    <dataValidation type="list" allowBlank="1" showInputMessage="1" showErrorMessage="1" sqref="E87">
      <formula1>"CNY,PHP"</formula1>
    </dataValidation>
    <dataValidation type="list" allowBlank="1" showInputMessage="1" showErrorMessage="1" sqref="H87">
      <formula1>"已核实,不适用"</formula1>
    </dataValidation>
    <dataValidation type="list" allowBlank="1" showInputMessage="1" showErrorMessage="1" sqref="E88">
      <formula1>"CNY,PHP"</formula1>
    </dataValidation>
    <dataValidation type="list" allowBlank="1" showInputMessage="1" showErrorMessage="1" sqref="H88">
      <formula1>"已核实,不适用,预算"</formula1>
    </dataValidation>
    <dataValidation type="list" allowBlank="1" showInputMessage="1" showErrorMessage="1" sqref="E89">
      <formula1>"CNY,PHP"</formula1>
    </dataValidation>
    <dataValidation type="list" allowBlank="1" showInputMessage="1" showErrorMessage="1" sqref="H89">
      <formula1>"已核实,不适用,预算"</formula1>
    </dataValidation>
    <dataValidation type="list" allowBlank="1" showInputMessage="1" showErrorMessage="1" sqref="E90">
      <formula1>"CNY,PHP"</formula1>
    </dataValidation>
    <dataValidation type="list" allowBlank="1" showInputMessage="1" showErrorMessage="1" sqref="H90">
      <formula1>"已核实,不适用,预算"</formula1>
    </dataValidation>
    <dataValidation type="list" allowBlank="1" showInputMessage="1" showErrorMessage="1" sqref="E91">
      <formula1>"CNY,PHP"</formula1>
    </dataValidation>
    <dataValidation type="list" allowBlank="1" showInputMessage="1" showErrorMessage="1" sqref="H91">
      <formula1>"已核实,不适用"</formula1>
    </dataValidation>
    <dataValidation type="list" allowBlank="1" showInputMessage="1" showErrorMessage="1" sqref="E92">
      <formula1>"CNY,PHP"</formula1>
    </dataValidation>
    <dataValidation type="list" allowBlank="1" showInputMessage="1" showErrorMessage="1" sqref="H92">
      <formula1>"已核实,不适用"</formula1>
    </dataValidation>
    <dataValidation type="list" allowBlank="1" showInputMessage="1" showErrorMessage="1" sqref="E93">
      <formula1>"CNY,PHP"</formula1>
    </dataValidation>
    <dataValidation type="list" allowBlank="1" showInputMessage="1" showErrorMessage="1" sqref="H93">
      <formula1>"已核实,不适用,预算"</formula1>
    </dataValidation>
    <dataValidation type="list" allowBlank="1" showInputMessage="1" showErrorMessage="1" sqref="E94">
      <formula1>"CNY,PHP"</formula1>
    </dataValidation>
    <dataValidation type="list" allowBlank="1" showInputMessage="1" showErrorMessage="1" sqref="H94">
      <formula1>"已核实,不适用,预算"</formula1>
    </dataValidation>
    <dataValidation type="list" allowBlank="1" showInputMessage="1" showErrorMessage="1" sqref="E95">
      <formula1>"CNY,PHP"</formula1>
    </dataValidation>
    <dataValidation type="list" allowBlank="1" showInputMessage="1" showErrorMessage="1" sqref="H95">
      <formula1>"已核实,不适用"</formula1>
    </dataValidation>
    <dataValidation type="list" allowBlank="1" showInputMessage="1" showErrorMessage="1" sqref="E96">
      <formula1>"CNY,PHP"</formula1>
    </dataValidation>
    <dataValidation type="list" allowBlank="1" showInputMessage="1" showErrorMessage="1" sqref="H96">
      <formula1>"已核实,不适用"</formula1>
    </dataValidation>
    <dataValidation type="list" allowBlank="1" showInputMessage="1" showErrorMessage="1" sqref="E97">
      <formula1>"CNY,PHP"</formula1>
    </dataValidation>
    <dataValidation type="list" allowBlank="1" showInputMessage="1" showErrorMessage="1" sqref="H97">
      <formula1>"已核实,不适用"</formula1>
    </dataValidation>
    <dataValidation type="list" allowBlank="1" showInputMessage="1" showErrorMessage="1" sqref="E98">
      <formula1>"CNY,PHP"</formula1>
    </dataValidation>
    <dataValidation type="list" allowBlank="1" showInputMessage="1" showErrorMessage="1" sqref="H98">
      <formula1>"已核实,不适用"</formula1>
    </dataValidation>
    <dataValidation type="list" allowBlank="1" showInputMessage="1" showErrorMessage="1" sqref="E99">
      <formula1>"CNY,PHP"</formula1>
    </dataValidation>
    <dataValidation type="list" allowBlank="1" showInputMessage="1" showErrorMessage="1" sqref="H99">
      <formula1>"已核实,不适用"</formula1>
    </dataValidation>
    <dataValidation type="list" allowBlank="1" showInputMessage="1" showErrorMessage="1" sqref="E100">
      <formula1>"CNY,PHP"</formula1>
    </dataValidation>
    <dataValidation type="list" allowBlank="1" showInputMessage="1" showErrorMessage="1" sqref="H100">
      <formula1>"已核实,不适用"</formula1>
    </dataValidation>
    <dataValidation type="list" allowBlank="1" showInputMessage="1" showErrorMessage="1" sqref="E101">
      <formula1>"CNY,PHP"</formula1>
    </dataValidation>
    <dataValidation type="list" allowBlank="1" showInputMessage="1" showErrorMessage="1" sqref="H101">
      <formula1>"已核实,不适用"</formula1>
    </dataValidation>
    <dataValidation type="list" allowBlank="1" showInputMessage="1" showErrorMessage="1" sqref="E102">
      <formula1>"CNY,PHP"</formula1>
    </dataValidation>
    <dataValidation type="list" allowBlank="1" showInputMessage="1" showErrorMessage="1" sqref="H102">
      <formula1>"已核实,不适用"</formula1>
    </dataValidation>
    <dataValidation type="list" allowBlank="1" showInputMessage="1" showErrorMessage="1" sqref="E103">
      <formula1>"CNY,PHP"</formula1>
    </dataValidation>
    <dataValidation type="list" allowBlank="1" showInputMessage="1" showErrorMessage="1" sqref="H103">
      <formula1>"已核实,不适用"</formula1>
    </dataValidation>
    <dataValidation type="list" allowBlank="1" showInputMessage="1" showErrorMessage="1" sqref="E104">
      <formula1>"CNY,PHP"</formula1>
    </dataValidation>
    <dataValidation type="list" allowBlank="1" showInputMessage="1" showErrorMessage="1" sqref="H104">
      <formula1>"已核实,不适用"</formula1>
    </dataValidation>
    <dataValidation type="list" allowBlank="1" showInputMessage="1" showErrorMessage="1" sqref="E105">
      <formula1>"CNY,PHP"</formula1>
    </dataValidation>
    <dataValidation type="list" allowBlank="1" showInputMessage="1" showErrorMessage="1" sqref="H105">
      <formula1>"已核实,不适用"</formula1>
    </dataValidation>
    <dataValidation type="list" allowBlank="1" showInputMessage="1" showErrorMessage="1" sqref="E106">
      <formula1>"CNY,PHP"</formula1>
    </dataValidation>
    <dataValidation type="list" allowBlank="1" showInputMessage="1" showErrorMessage="1" sqref="H106">
      <formula1>"已核实,不适用,预算"</formula1>
    </dataValidation>
    <dataValidation type="list" allowBlank="1" showInputMessage="1" showErrorMessage="1" sqref="E107">
      <formula1>"CNY,PHP"</formula1>
    </dataValidation>
    <dataValidation type="list" allowBlank="1" showInputMessage="1" showErrorMessage="1" sqref="H107">
      <formula1>"已核实,不适用,预算"</formula1>
    </dataValidation>
    <dataValidation type="list" allowBlank="1" showInputMessage="1" showErrorMessage="1" sqref="E108">
      <formula1>"CNY,PHP"</formula1>
    </dataValidation>
    <dataValidation type="list" allowBlank="1" showInputMessage="1" showErrorMessage="1" sqref="H108">
      <formula1>"已核实,不适用,预算"</formula1>
    </dataValidation>
    <dataValidation type="list" allowBlank="1" showInputMessage="1" showErrorMessage="1" sqref="E109">
      <formula1>"CNY,PHP"</formula1>
    </dataValidation>
    <dataValidation type="list" allowBlank="1" showInputMessage="1" showErrorMessage="1" sqref="H109">
      <formula1>"已核实,不适用"</formula1>
    </dataValidation>
    <dataValidation type="list" allowBlank="1" showInputMessage="1" showErrorMessage="1" sqref="E110">
      <formula1>"CNY,PHP"</formula1>
    </dataValidation>
    <dataValidation type="list" allowBlank="1" showInputMessage="1" showErrorMessage="1" sqref="H110">
      <formula1>"已核实,不适用"</formula1>
    </dataValidation>
    <dataValidation type="list" allowBlank="1" showInputMessage="1" showErrorMessage="1" sqref="E111">
      <formula1>"CNY,PHP"</formula1>
    </dataValidation>
    <dataValidation type="list" allowBlank="1" showInputMessage="1" showErrorMessage="1" sqref="H111">
      <formula1>"已核实,不适用,预算"</formula1>
    </dataValidation>
    <dataValidation type="list" allowBlank="1" showInputMessage="1" showErrorMessage="1" sqref="E112">
      <formula1>"CNY,PHP"</formula1>
    </dataValidation>
    <dataValidation type="list" allowBlank="1" showInputMessage="1" showErrorMessage="1" sqref="H112">
      <formula1>"已核实,不适用,预算"</formula1>
    </dataValidation>
    <dataValidation type="list" allowBlank="1" showInputMessage="1" showErrorMessage="1" sqref="E113">
      <formula1>"CNY,PHP"</formula1>
    </dataValidation>
    <dataValidation type="list" allowBlank="1" showInputMessage="1" showErrorMessage="1" sqref="H113">
      <formula1>"已核实,不适用"</formula1>
    </dataValidation>
    <dataValidation type="list" allowBlank="1" showInputMessage="1" showErrorMessage="1" sqref="E114">
      <formula1>"CNY,PHP"</formula1>
    </dataValidation>
    <dataValidation type="list" allowBlank="1" showInputMessage="1" showErrorMessage="1" sqref="H114">
      <formula1>"已核实,不适用"</formula1>
    </dataValidation>
    <dataValidation type="list" allowBlank="1" showInputMessage="1" showErrorMessage="1" sqref="E115">
      <formula1>"CNY,PHP"</formula1>
    </dataValidation>
    <dataValidation type="list" allowBlank="1" showInputMessage="1" showErrorMessage="1" sqref="H115">
      <formula1>"已核实,不适用"</formula1>
    </dataValidation>
    <dataValidation type="list" allowBlank="1" showInputMessage="1" showErrorMessage="1" sqref="E116">
      <formula1>"CNY,PHP"</formula1>
    </dataValidation>
    <dataValidation type="list" allowBlank="1" showInputMessage="1" showErrorMessage="1" sqref="H116">
      <formula1>"已核实,不适用"</formula1>
    </dataValidation>
    <dataValidation type="list" allowBlank="1" showInputMessage="1" showErrorMessage="1" sqref="E117">
      <formula1>"CNY,PHP"</formula1>
    </dataValidation>
    <dataValidation type="list" allowBlank="1" showInputMessage="1" showErrorMessage="1" sqref="H117">
      <formula1>"已核实,不适用"</formula1>
    </dataValidation>
    <dataValidation type="list" allowBlank="1" showInputMessage="1" showErrorMessage="1" sqref="E118">
      <formula1>"CNY,PHP"</formula1>
    </dataValidation>
    <dataValidation type="list" allowBlank="1" showInputMessage="1" showErrorMessage="1" sqref="H118">
      <formula1>"已核实,不适用"</formula1>
    </dataValidation>
    <dataValidation type="list" allowBlank="1" showInputMessage="1" showErrorMessage="1" sqref="E119">
      <formula1>"CNY,PHP"</formula1>
    </dataValidation>
    <dataValidation type="list" allowBlank="1" showInputMessage="1" showErrorMessage="1" sqref="H119">
      <formula1>"已核实,不适用"</formula1>
    </dataValidation>
    <dataValidation type="list" allowBlank="1" showInputMessage="1" showErrorMessage="1" sqref="E120">
      <formula1>"CNY,PHP"</formula1>
    </dataValidation>
    <dataValidation type="list" allowBlank="1" showInputMessage="1" showErrorMessage="1" sqref="H120">
      <formula1>"已核实,不适用"</formula1>
    </dataValidation>
    <dataValidation type="list" allowBlank="1" showInputMessage="1" showErrorMessage="1" sqref="E121">
      <formula1>"CNY,PHP"</formula1>
    </dataValidation>
    <dataValidation type="list" allowBlank="1" showInputMessage="1" showErrorMessage="1" sqref="H121">
      <formula1>"已核实,不适用"</formula1>
    </dataValidation>
    <dataValidation type="list" allowBlank="1" showInputMessage="1" showErrorMessage="1" sqref="E122">
      <formula1>"CNY,PHP"</formula1>
    </dataValidation>
    <dataValidation type="list" allowBlank="1" showInputMessage="1" showErrorMessage="1" sqref="H122">
      <formula1>"已核实,不适用"</formula1>
    </dataValidation>
    <dataValidation type="list" allowBlank="1" showInputMessage="1" showErrorMessage="1" sqref="E123">
      <formula1>"CNY,PHP"</formula1>
    </dataValidation>
    <dataValidation type="list" allowBlank="1" showInputMessage="1" showErrorMessage="1" sqref="H123">
      <formula1>"已核实,不适用"</formula1>
    </dataValidation>
    <dataValidation type="list" allowBlank="1" showInputMessage="1" showErrorMessage="1" sqref="E124">
      <formula1>"CNY,PHP"</formula1>
    </dataValidation>
    <dataValidation type="list" allowBlank="1" showInputMessage="1" showErrorMessage="1" sqref="H124">
      <formula1>"已核实,不适用,预算"</formula1>
    </dataValidation>
    <dataValidation type="list" allowBlank="1" showInputMessage="1" showErrorMessage="1" sqref="E125">
      <formula1>"CNY,PHP"</formula1>
    </dataValidation>
    <dataValidation type="list" allowBlank="1" showInputMessage="1" showErrorMessage="1" sqref="H125">
      <formula1>"已核实,不适用,预算"</formula1>
    </dataValidation>
    <dataValidation type="list" allowBlank="1" showInputMessage="1" showErrorMessage="1" sqref="E126">
      <formula1>"CNY,PHP"</formula1>
    </dataValidation>
    <dataValidation type="list" allowBlank="1" showInputMessage="1" showErrorMessage="1" sqref="H126">
      <formula1>"已核实,不适用,预算"</formula1>
    </dataValidation>
    <dataValidation type="list" allowBlank="1" showInputMessage="1" showErrorMessage="1" sqref="E127">
      <formula1>"CNY,PHP"</formula1>
    </dataValidation>
    <dataValidation type="list" allowBlank="1" showInputMessage="1" showErrorMessage="1" sqref="H127">
      <formula1>"已核实,不适用"</formula1>
    </dataValidation>
    <dataValidation type="list" allowBlank="1" showInputMessage="1" showErrorMessage="1" sqref="E128">
      <formula1>"CNY,PHP"</formula1>
    </dataValidation>
    <dataValidation type="list" allowBlank="1" showInputMessage="1" showErrorMessage="1" sqref="H128">
      <formula1>"已核实,不适用"</formula1>
    </dataValidation>
    <dataValidation type="list" allowBlank="1" showInputMessage="1" showErrorMessage="1" sqref="E129">
      <formula1>"CNY,PHP"</formula1>
    </dataValidation>
    <dataValidation type="list" allowBlank="1" showInputMessage="1" showErrorMessage="1" sqref="H129">
      <formula1>"已核实,不适用,预算"</formula1>
    </dataValidation>
    <dataValidation type="list" allowBlank="1" showInputMessage="1" showErrorMessage="1" sqref="E130">
      <formula1>"CNY,PHP"</formula1>
    </dataValidation>
    <dataValidation type="list" allowBlank="1" showInputMessage="1" showErrorMessage="1" sqref="H130">
      <formula1>"已核实,不适用,预算"</formula1>
    </dataValidation>
    <dataValidation type="list" allowBlank="1" showInputMessage="1" showErrorMessage="1" sqref="E131">
      <formula1>"CNY,PHP"</formula1>
    </dataValidation>
    <dataValidation type="list" allowBlank="1" showInputMessage="1" showErrorMessage="1" sqref="H131">
      <formula1>"已核实,不适用"</formula1>
    </dataValidation>
    <dataValidation type="list" allowBlank="1" showInputMessage="1" showErrorMessage="1" sqref="E132">
      <formula1>"CNY,PHP"</formula1>
    </dataValidation>
    <dataValidation type="list" allowBlank="1" showInputMessage="1" showErrorMessage="1" sqref="H132">
      <formula1>"已核实,不适用"</formula1>
    </dataValidation>
    <dataValidation type="list" allowBlank="1" showInputMessage="1" showErrorMessage="1" sqref="E133">
      <formula1>"CNY,PHP"</formula1>
    </dataValidation>
    <dataValidation type="list" allowBlank="1" showInputMessage="1" showErrorMessage="1" sqref="H133">
      <formula1>"已核实,不适用"</formula1>
    </dataValidation>
    <dataValidation type="list" allowBlank="1" showInputMessage="1" showErrorMessage="1" sqref="E134">
      <formula1>"CNY,PHP"</formula1>
    </dataValidation>
    <dataValidation type="list" allowBlank="1" showInputMessage="1" showErrorMessage="1" sqref="H134">
      <formula1>"已核实,不适用"</formula1>
    </dataValidation>
    <dataValidation type="list" allowBlank="1" showInputMessage="1" showErrorMessage="1" sqref="E135">
      <formula1>"CNY,PHP"</formula1>
    </dataValidation>
    <dataValidation type="list" allowBlank="1" showInputMessage="1" showErrorMessage="1" sqref="H135">
      <formula1>"已核实,不适用"</formula1>
    </dataValidation>
    <dataValidation type="list" allowBlank="1" showInputMessage="1" showErrorMessage="1" sqref="E136">
      <formula1>"CNY,PHP"</formula1>
    </dataValidation>
    <dataValidation type="list" allowBlank="1" showInputMessage="1" showErrorMessage="1" sqref="H136">
      <formula1>"已核实,不适用"</formula1>
    </dataValidation>
    <dataValidation type="list" allowBlank="1" showInputMessage="1" showErrorMessage="1" sqref="E137">
      <formula1>"CNY,PHP"</formula1>
    </dataValidation>
    <dataValidation type="list" allowBlank="1" showInputMessage="1" showErrorMessage="1" sqref="H137">
      <formula1>"已核实,不适用"</formula1>
    </dataValidation>
    <dataValidation type="list" allowBlank="1" showInputMessage="1" showErrorMessage="1" sqref="E138">
      <formula1>"CNY,PHP"</formula1>
    </dataValidation>
    <dataValidation type="list" allowBlank="1" showInputMessage="1" showErrorMessage="1" sqref="H138">
      <formula1>"已核实,不适用"</formula1>
    </dataValidation>
    <dataValidation type="list" allowBlank="1" showInputMessage="1" showErrorMessage="1" sqref="E139">
      <formula1>"CNY,PHP"</formula1>
    </dataValidation>
    <dataValidation type="list" allowBlank="1" showInputMessage="1" showErrorMessage="1" sqref="H139">
      <formula1>"已核实,不适用"</formula1>
    </dataValidation>
    <dataValidation type="list" allowBlank="1" showInputMessage="1" showErrorMessage="1" sqref="E140">
      <formula1>"CNY,PHP"</formula1>
    </dataValidation>
    <dataValidation type="list" allowBlank="1" showInputMessage="1" showErrorMessage="1" sqref="H140">
      <formula1>"已核实,不适用"</formula1>
    </dataValidation>
    <dataValidation type="list" allowBlank="1" showInputMessage="1" showErrorMessage="1" sqref="E141">
      <formula1>"CNY,PHP"</formula1>
    </dataValidation>
    <dataValidation type="list" allowBlank="1" showInputMessage="1" showErrorMessage="1" sqref="H141">
      <formula1>"已核实,不适用"</formula1>
    </dataValidation>
    <dataValidation type="list" allowBlank="1" showInputMessage="1" showErrorMessage="1" sqref="E142">
      <formula1>"CNY,PHP"</formula1>
    </dataValidation>
    <dataValidation type="list" allowBlank="1" showInputMessage="1" showErrorMessage="1" sqref="H142">
      <formula1>"已核实,不适用,预算"</formula1>
    </dataValidation>
    <dataValidation type="list" allowBlank="1" showInputMessage="1" showErrorMessage="1" sqref="E143">
      <formula1>"CNY,PHP"</formula1>
    </dataValidation>
    <dataValidation type="list" allowBlank="1" showInputMessage="1" showErrorMessage="1" sqref="H143">
      <formula1>"已核实,不适用,预算"</formula1>
    </dataValidation>
    <dataValidation type="list" allowBlank="1" showInputMessage="1" showErrorMessage="1" sqref="E144">
      <formula1>"CNY,PHP"</formula1>
    </dataValidation>
    <dataValidation type="list" allowBlank="1" showInputMessage="1" showErrorMessage="1" sqref="H144">
      <formula1>"已核实,不适用,预算"</formula1>
    </dataValidation>
    <dataValidation type="list" allowBlank="1" showInputMessage="1" showErrorMessage="1" sqref="E145">
      <formula1>"CNY,PHP"</formula1>
    </dataValidation>
    <dataValidation type="list" allowBlank="1" showInputMessage="1" showErrorMessage="1" sqref="H145">
      <formula1>"已核实,不适用"</formula1>
    </dataValidation>
    <dataValidation type="list" allowBlank="1" showInputMessage="1" showErrorMessage="1" sqref="E146">
      <formula1>"CNY,PHP"</formula1>
    </dataValidation>
    <dataValidation type="list" allowBlank="1" showInputMessage="1" showErrorMessage="1" sqref="H146">
      <formula1>"已核实,不适用"</formula1>
    </dataValidation>
    <dataValidation type="list" allowBlank="1" showInputMessage="1" showErrorMessage="1" sqref="E147">
      <formula1>"CNY,PHP"</formula1>
    </dataValidation>
    <dataValidation type="list" allowBlank="1" showInputMessage="1" showErrorMessage="1" sqref="H147">
      <formula1>"已核实,不适用,预算"</formula1>
    </dataValidation>
    <dataValidation type="list" allowBlank="1" showInputMessage="1" showErrorMessage="1" sqref="E148">
      <formula1>"CNY,PHP"</formula1>
    </dataValidation>
    <dataValidation type="list" allowBlank="1" showInputMessage="1" showErrorMessage="1" sqref="H148">
      <formula1>"已核实,不适用,预算"</formula1>
    </dataValidation>
    <dataValidation type="list" allowBlank="1" showInputMessage="1" showErrorMessage="1" sqref="E149">
      <formula1>"CNY,PHP"</formula1>
    </dataValidation>
    <dataValidation type="list" allowBlank="1" showInputMessage="1" showErrorMessage="1" sqref="H149">
      <formula1>"已核实,不适用"</formula1>
    </dataValidation>
    <dataValidation type="list" allowBlank="1" showInputMessage="1" showErrorMessage="1" sqref="E150">
      <formula1>"CNY,PHP"</formula1>
    </dataValidation>
    <dataValidation type="list" allowBlank="1" showInputMessage="1" showErrorMessage="1" sqref="H150">
      <formula1>"已核实,不适用"</formula1>
    </dataValidation>
    <dataValidation type="list" allowBlank="1" showInputMessage="1" showErrorMessage="1" sqref="E151">
      <formula1>"CNY,PHP"</formula1>
    </dataValidation>
    <dataValidation type="list" allowBlank="1" showInputMessage="1" showErrorMessage="1" sqref="H151">
      <formula1>"已核实,不适用"</formula1>
    </dataValidation>
    <dataValidation type="list" allowBlank="1" showInputMessage="1" showErrorMessage="1" sqref="E152">
      <formula1>"CNY,PHP"</formula1>
    </dataValidation>
    <dataValidation type="list" allowBlank="1" showInputMessage="1" showErrorMessage="1" sqref="H152">
      <formula1>"已核实,不适用"</formula1>
    </dataValidation>
    <dataValidation type="list" allowBlank="1" showInputMessage="1" showErrorMessage="1" sqref="E153">
      <formula1>"CNY,PHP"</formula1>
    </dataValidation>
    <dataValidation type="list" allowBlank="1" showInputMessage="1" showErrorMessage="1" sqref="H153">
      <formula1>"已核实,不适用"</formula1>
    </dataValidation>
    <dataValidation type="list" allowBlank="1" showInputMessage="1" showErrorMessage="1" sqref="E154">
      <formula1>"CNY,PHP"</formula1>
    </dataValidation>
    <dataValidation type="list" allowBlank="1" showInputMessage="1" showErrorMessage="1" sqref="H154">
      <formula1>"已核实,不适用"</formula1>
    </dataValidation>
    <dataValidation type="list" allowBlank="1" showInputMessage="1" showErrorMessage="1" sqref="E155">
      <formula1>"CNY,PHP"</formula1>
    </dataValidation>
    <dataValidation type="list" allowBlank="1" showInputMessage="1" showErrorMessage="1" sqref="H155">
      <formula1>"已核实,不适用"</formula1>
    </dataValidation>
    <dataValidation type="list" allowBlank="1" showInputMessage="1" showErrorMessage="1" sqref="E156">
      <formula1>"CNY,PHP"</formula1>
    </dataValidation>
    <dataValidation type="list" allowBlank="1" showInputMessage="1" showErrorMessage="1" sqref="H156">
      <formula1>"已核实,不适用"</formula1>
    </dataValidation>
    <dataValidation type="list" allowBlank="1" showInputMessage="1" showErrorMessage="1" sqref="E157">
      <formula1>"CNY,PHP"</formula1>
    </dataValidation>
    <dataValidation type="list" allowBlank="1" showInputMessage="1" showErrorMessage="1" sqref="H157">
      <formula1>"已核实,不适用"</formula1>
    </dataValidation>
    <dataValidation type="list" allowBlank="1" showInputMessage="1" showErrorMessage="1" sqref="E158">
      <formula1>"CNY,PHP"</formula1>
    </dataValidation>
    <dataValidation type="list" allowBlank="1" showInputMessage="1" showErrorMessage="1" sqref="H158">
      <formula1>"已核实,不适用"</formula1>
    </dataValidation>
    <dataValidation type="list" allowBlank="1" showInputMessage="1" showErrorMessage="1" sqref="E159">
      <formula1>"CNY,PHP"</formula1>
    </dataValidation>
    <dataValidation type="list" allowBlank="1" showInputMessage="1" showErrorMessage="1" sqref="H159">
      <formula1>"已核实,不适用"</formula1>
    </dataValidation>
    <dataValidation type="list" allowBlank="1" showInputMessage="1" showErrorMessage="1" sqref="E160">
      <formula1>"CNY,PHP"</formula1>
    </dataValidation>
    <dataValidation type="list" allowBlank="1" showInputMessage="1" showErrorMessage="1" sqref="H160">
      <formula1>"已核实,不适用,预算"</formula1>
    </dataValidation>
    <dataValidation type="list" allowBlank="1" showInputMessage="1" showErrorMessage="1" sqref="E161">
      <formula1>"CNY,PHP"</formula1>
    </dataValidation>
    <dataValidation type="list" allowBlank="1" showInputMessage="1" showErrorMessage="1" sqref="H161">
      <formula1>"已核实,不适用,预算"</formula1>
    </dataValidation>
    <dataValidation type="list" allowBlank="1" showInputMessage="1" showErrorMessage="1" sqref="E162">
      <formula1>"CNY,PHP"</formula1>
    </dataValidation>
    <dataValidation type="list" allowBlank="1" showInputMessage="1" showErrorMessage="1" sqref="H162">
      <formula1>"已核实,不适用,预算"</formula1>
    </dataValidation>
    <dataValidation type="list" allowBlank="1" showInputMessage="1" showErrorMessage="1" sqref="E163">
      <formula1>"CNY,PHP"</formula1>
    </dataValidation>
    <dataValidation type="list" allowBlank="1" showInputMessage="1" showErrorMessage="1" sqref="H163">
      <formula1>"已核实,不适用"</formula1>
    </dataValidation>
    <dataValidation type="list" allowBlank="1" showInputMessage="1" showErrorMessage="1" sqref="E164">
      <formula1>"CNY,PHP"</formula1>
    </dataValidation>
    <dataValidation type="list" allowBlank="1" showInputMessage="1" showErrorMessage="1" sqref="H164">
      <formula1>"已核实,不适用"</formula1>
    </dataValidation>
    <dataValidation type="list" allowBlank="1" showInputMessage="1" showErrorMessage="1" sqref="E165">
      <formula1>"CNY,PHP"</formula1>
    </dataValidation>
    <dataValidation type="list" allowBlank="1" showInputMessage="1" showErrorMessage="1" sqref="H165">
      <formula1>"已核实,不适用,预算"</formula1>
    </dataValidation>
    <dataValidation type="list" allowBlank="1" showInputMessage="1" showErrorMessage="1" sqref="E166">
      <formula1>"CNY,PHP"</formula1>
    </dataValidation>
    <dataValidation type="list" allowBlank="1" showInputMessage="1" showErrorMessage="1" sqref="H166">
      <formula1>"已核实,不适用,预算"</formula1>
    </dataValidation>
    <dataValidation type="list" allowBlank="1" showInputMessage="1" showErrorMessage="1" sqref="E167">
      <formula1>"CNY,PHP"</formula1>
    </dataValidation>
    <dataValidation type="list" allowBlank="1" showInputMessage="1" showErrorMessage="1" sqref="H167">
      <formula1>"已核实,不适用"</formula1>
    </dataValidation>
    <dataValidation type="list" allowBlank="1" showInputMessage="1" showErrorMessage="1" sqref="E168">
      <formula1>"CNY,PHP"</formula1>
    </dataValidation>
    <dataValidation type="list" allowBlank="1" showInputMessage="1" showErrorMessage="1" sqref="H168">
      <formula1>"已核实,不适用"</formula1>
    </dataValidation>
    <dataValidation type="list" allowBlank="1" showInputMessage="1" showErrorMessage="1" sqref="E169">
      <formula1>"CNY,PHP"</formula1>
    </dataValidation>
    <dataValidation type="list" allowBlank="1" showInputMessage="1" showErrorMessage="1" sqref="H169">
      <formula1>"已核实,不适用"</formula1>
    </dataValidation>
    <dataValidation type="list" allowBlank="1" showInputMessage="1" showErrorMessage="1" sqref="E170">
      <formula1>"CNY,PHP"</formula1>
    </dataValidation>
    <dataValidation type="list" allowBlank="1" showInputMessage="1" showErrorMessage="1" sqref="H170">
      <formula1>"已核实,不适用"</formula1>
    </dataValidation>
    <dataValidation type="list" allowBlank="1" showInputMessage="1" showErrorMessage="1" sqref="E171">
      <formula1>"CNY,PHP"</formula1>
    </dataValidation>
    <dataValidation type="list" allowBlank="1" showInputMessage="1" showErrorMessage="1" sqref="H171">
      <formula1>"已核实,不适用"</formula1>
    </dataValidation>
    <dataValidation type="list" allowBlank="1" showInputMessage="1" showErrorMessage="1" sqref="E172">
      <formula1>"CNY,PHP"</formula1>
    </dataValidation>
    <dataValidation type="list" allowBlank="1" showInputMessage="1" showErrorMessage="1" sqref="H172">
      <formula1>"已核实,不适用"</formula1>
    </dataValidation>
    <dataValidation type="list" allowBlank="1" showInputMessage="1" showErrorMessage="1" sqref="E173">
      <formula1>"CNY,PHP"</formula1>
    </dataValidation>
    <dataValidation type="list" allowBlank="1" showInputMessage="1" showErrorMessage="1" sqref="H173">
      <formula1>"已核实,不适用"</formula1>
    </dataValidation>
    <dataValidation type="list" allowBlank="1" showInputMessage="1" showErrorMessage="1" sqref="E174">
      <formula1>"CNY,PHP"</formula1>
    </dataValidation>
    <dataValidation type="list" allowBlank="1" showInputMessage="1" showErrorMessage="1" sqref="H174">
      <formula1>"已核实,不适用"</formula1>
    </dataValidation>
    <dataValidation type="list" allowBlank="1" showInputMessage="1" showErrorMessage="1" sqref="E175">
      <formula1>"CNY,PHP"</formula1>
    </dataValidation>
    <dataValidation type="list" allowBlank="1" showInputMessage="1" showErrorMessage="1" sqref="H175">
      <formula1>"已核实,不适用"</formula1>
    </dataValidation>
    <dataValidation type="list" allowBlank="1" showInputMessage="1" showErrorMessage="1" sqref="E176">
      <formula1>"CNY,PHP"</formula1>
    </dataValidation>
    <dataValidation type="list" allowBlank="1" showInputMessage="1" showErrorMessage="1" sqref="H176">
      <formula1>"已核实,不适用"</formula1>
    </dataValidation>
    <dataValidation type="list" allowBlank="1" showInputMessage="1" showErrorMessage="1" sqref="E177">
      <formula1>"CNY,PHP"</formula1>
    </dataValidation>
    <dataValidation type="list" allowBlank="1" showInputMessage="1" showErrorMessage="1" sqref="H177">
      <formula1>"已核实,不适用"</formula1>
    </dataValidation>
    <dataValidation type="list" allowBlank="1" showInputMessage="1" showErrorMessage="1" sqref="E178">
      <formula1>"CNY,PHP"</formula1>
    </dataValidation>
    <dataValidation type="list" allowBlank="1" showInputMessage="1" showErrorMessage="1" sqref="H178">
      <formula1>"已核实,不适用,预算"</formula1>
    </dataValidation>
    <dataValidation type="list" allowBlank="1" showInputMessage="1" showErrorMessage="1" sqref="E179">
      <formula1>"CNY,PHP"</formula1>
    </dataValidation>
    <dataValidation type="list" allowBlank="1" showInputMessage="1" showErrorMessage="1" sqref="H179">
      <formula1>"已核实,不适用,预算"</formula1>
    </dataValidation>
    <dataValidation type="list" allowBlank="1" showInputMessage="1" showErrorMessage="1" sqref="E180">
      <formula1>"CNY,PHP"</formula1>
    </dataValidation>
    <dataValidation type="list" allowBlank="1" showInputMessage="1" showErrorMessage="1" sqref="H180">
      <formula1>"已核实,不适用,预算"</formula1>
    </dataValidation>
    <dataValidation type="list" allowBlank="1" showInputMessage="1" showErrorMessage="1" sqref="E181">
      <formula1>"CNY,PHP"</formula1>
    </dataValidation>
    <dataValidation type="list" allowBlank="1" showInputMessage="1" showErrorMessage="1" sqref="H181">
      <formula1>"已核实,不适用"</formula1>
    </dataValidation>
    <dataValidation type="list" allowBlank="1" showInputMessage="1" showErrorMessage="1" sqref="E182">
      <formula1>"CNY,PHP"</formula1>
    </dataValidation>
    <dataValidation type="list" allowBlank="1" showInputMessage="1" showErrorMessage="1" sqref="H182">
      <formula1>"已核实,不适用"</formula1>
    </dataValidation>
    <dataValidation type="list" allowBlank="1" showInputMessage="1" showErrorMessage="1" sqref="E183">
      <formula1>"CNY,PHP"</formula1>
    </dataValidation>
    <dataValidation type="list" allowBlank="1" showInputMessage="1" showErrorMessage="1" sqref="H183">
      <formula1>"已核实,不适用,预算"</formula1>
    </dataValidation>
    <dataValidation type="list" allowBlank="1" showInputMessage="1" showErrorMessage="1" sqref="E184">
      <formula1>"CNY,PHP"</formula1>
    </dataValidation>
    <dataValidation type="list" allowBlank="1" showInputMessage="1" showErrorMessage="1" sqref="H184">
      <formula1>"已核实,不适用,预算"</formula1>
    </dataValidation>
    <dataValidation type="list" allowBlank="1" showInputMessage="1" showErrorMessage="1" sqref="E185">
      <formula1>"CNY,PHP"</formula1>
    </dataValidation>
    <dataValidation type="list" allowBlank="1" showInputMessage="1" showErrorMessage="1" sqref="H185">
      <formula1>"已核实,不适用"</formula1>
    </dataValidation>
    <dataValidation type="list" allowBlank="1" showInputMessage="1" showErrorMessage="1" sqref="E186">
      <formula1>"CNY,PHP"</formula1>
    </dataValidation>
    <dataValidation type="list" allowBlank="1" showInputMessage="1" showErrorMessage="1" sqref="H186">
      <formula1>"已核实,不适用"</formula1>
    </dataValidation>
    <dataValidation type="list" allowBlank="1" showInputMessage="1" showErrorMessage="1" sqref="E187">
      <formula1>"CNY,PHP"</formula1>
    </dataValidation>
    <dataValidation type="list" allowBlank="1" showInputMessage="1" showErrorMessage="1" sqref="H187">
      <formula1>"已核实,不适用"</formula1>
    </dataValidation>
    <dataValidation type="list" allowBlank="1" showInputMessage="1" showErrorMessage="1" sqref="E188">
      <formula1>"CNY,PHP"</formula1>
    </dataValidation>
    <dataValidation type="list" allowBlank="1" showInputMessage="1" showErrorMessage="1" sqref="H188">
      <formula1>"已核实,不适用"</formula1>
    </dataValidation>
    <dataValidation type="list" allowBlank="1" showInputMessage="1" showErrorMessage="1" sqref="E189">
      <formula1>"CNY,PHP"</formula1>
    </dataValidation>
    <dataValidation type="list" allowBlank="1" showInputMessage="1" showErrorMessage="1" sqref="H189">
      <formula1>"已核实,不适用"</formula1>
    </dataValidation>
    <dataValidation type="list" allowBlank="1" showInputMessage="1" showErrorMessage="1" sqref="E190">
      <formula1>"CNY,PHP"</formula1>
    </dataValidation>
    <dataValidation type="list" allowBlank="1" showInputMessage="1" showErrorMessage="1" sqref="H190">
      <formula1>"已核实,不适用"</formula1>
    </dataValidation>
    <dataValidation type="list" allowBlank="1" showInputMessage="1" showErrorMessage="1" sqref="E191">
      <formula1>"CNY,PHP"</formula1>
    </dataValidation>
    <dataValidation type="list" allowBlank="1" showInputMessage="1" showErrorMessage="1" sqref="H191">
      <formula1>"已核实,不适用"</formula1>
    </dataValidation>
    <dataValidation type="list" allowBlank="1" showInputMessage="1" showErrorMessage="1" sqref="E192">
      <formula1>"CNY,PHP"</formula1>
    </dataValidation>
    <dataValidation type="list" allowBlank="1" showInputMessage="1" showErrorMessage="1" sqref="H192">
      <formula1>"已核实,不适用"</formula1>
    </dataValidation>
    <dataValidation type="list" allowBlank="1" showInputMessage="1" showErrorMessage="1" sqref="E193">
      <formula1>"CNY,PHP"</formula1>
    </dataValidation>
    <dataValidation type="list" allowBlank="1" showInputMessage="1" showErrorMessage="1" sqref="H193">
      <formula1>"已核实,不适用"</formula1>
    </dataValidation>
    <dataValidation type="list" allowBlank="1" showInputMessage="1" showErrorMessage="1" sqref="E194">
      <formula1>"CNY,PHP"</formula1>
    </dataValidation>
    <dataValidation type="list" allowBlank="1" showInputMessage="1" showErrorMessage="1" sqref="H194">
      <formula1>"已核实,不适用"</formula1>
    </dataValidation>
    <dataValidation type="list" allowBlank="1" showInputMessage="1" showErrorMessage="1" sqref="E195">
      <formula1>"CNY,PHP"</formula1>
    </dataValidation>
    <dataValidation type="list" allowBlank="1" showInputMessage="1" showErrorMessage="1" sqref="H195">
      <formula1>"已核实,不适用"</formula1>
    </dataValidation>
    <dataValidation type="list" allowBlank="1" showInputMessage="1" showErrorMessage="1" sqref="E196">
      <formula1>"CNY,PHP"</formula1>
    </dataValidation>
    <dataValidation type="list" allowBlank="1" showInputMessage="1" showErrorMessage="1" sqref="H196">
      <formula1>"已核实,不适用,预算"</formula1>
    </dataValidation>
    <dataValidation type="list" allowBlank="1" showInputMessage="1" showErrorMessage="1" sqref="E197">
      <formula1>"CNY,PHP"</formula1>
    </dataValidation>
    <dataValidation type="list" allowBlank="1" showInputMessage="1" showErrorMessage="1" sqref="H197">
      <formula1>"已核实,不适用,预算"</formula1>
    </dataValidation>
    <dataValidation type="list" allowBlank="1" showInputMessage="1" showErrorMessage="1" sqref="E198">
      <formula1>"CNY,PHP"</formula1>
    </dataValidation>
    <dataValidation type="list" allowBlank="1" showInputMessage="1" showErrorMessage="1" sqref="H198">
      <formula1>"已核实,不适用,预算"</formula1>
    </dataValidation>
    <dataValidation type="list" allowBlank="1" showInputMessage="1" showErrorMessage="1" sqref="E199">
      <formula1>"CNY,PHP"</formula1>
    </dataValidation>
    <dataValidation type="list" allowBlank="1" showInputMessage="1" showErrorMessage="1" sqref="H199">
      <formula1>"已核实,不适用"</formula1>
    </dataValidation>
    <dataValidation type="list" allowBlank="1" showInputMessage="1" showErrorMessage="1" sqref="E200">
      <formula1>"CNY,PHP"</formula1>
    </dataValidation>
    <dataValidation type="list" allowBlank="1" showInputMessage="1" showErrorMessage="1" sqref="H200">
      <formula1>"已核实,不适用"</formula1>
    </dataValidation>
    <dataValidation type="list" allowBlank="1" showInputMessage="1" showErrorMessage="1" sqref="E201">
      <formula1>"CNY,PHP"</formula1>
    </dataValidation>
    <dataValidation type="list" allowBlank="1" showInputMessage="1" showErrorMessage="1" sqref="H201">
      <formula1>"已核实,不适用,预算"</formula1>
    </dataValidation>
    <dataValidation type="list" allowBlank="1" showInputMessage="1" showErrorMessage="1" sqref="E202">
      <formula1>"CNY,PHP"</formula1>
    </dataValidation>
    <dataValidation type="list" allowBlank="1" showInputMessage="1" showErrorMessage="1" sqref="H202">
      <formula1>"已核实,不适用,预算"</formula1>
    </dataValidation>
    <dataValidation type="list" allowBlank="1" showInputMessage="1" showErrorMessage="1" sqref="E203">
      <formula1>"CNY,PHP"</formula1>
    </dataValidation>
    <dataValidation type="list" allowBlank="1" showInputMessage="1" showErrorMessage="1" sqref="H203">
      <formula1>"已核实,不适用"</formula1>
    </dataValidation>
    <dataValidation type="list" allowBlank="1" showInputMessage="1" showErrorMessage="1" sqref="E204">
      <formula1>"CNY,PHP"</formula1>
    </dataValidation>
    <dataValidation type="list" allowBlank="1" showInputMessage="1" showErrorMessage="1" sqref="H204">
      <formula1>"已核实,不适用"</formula1>
    </dataValidation>
    <dataValidation type="list" allowBlank="1" showInputMessage="1" showErrorMessage="1" sqref="E205">
      <formula1>"CNY,PHP"</formula1>
    </dataValidation>
    <dataValidation type="list" allowBlank="1" showInputMessage="1" showErrorMessage="1" sqref="H205">
      <formula1>"已核实,不适用"</formula1>
    </dataValidation>
    <dataValidation type="list" allowBlank="1" showInputMessage="1" showErrorMessage="1" sqref="E206">
      <formula1>"CNY,PHP"</formula1>
    </dataValidation>
    <dataValidation type="list" allowBlank="1" showInputMessage="1" showErrorMessage="1" sqref="H206">
      <formula1>"已核实,不适用"</formula1>
    </dataValidation>
    <dataValidation type="list" allowBlank="1" showInputMessage="1" showErrorMessage="1" sqref="E207">
      <formula1>"CNY,PHP"</formula1>
    </dataValidation>
    <dataValidation type="list" allowBlank="1" showInputMessage="1" showErrorMessage="1" sqref="H207">
      <formula1>"已核实,不适用"</formula1>
    </dataValidation>
    <dataValidation type="list" allowBlank="1" showInputMessage="1" showErrorMessage="1" sqref="E208">
      <formula1>"CNY,PHP"</formula1>
    </dataValidation>
    <dataValidation type="list" allowBlank="1" showInputMessage="1" showErrorMessage="1" sqref="H208">
      <formula1>"已核实,不适用"</formula1>
    </dataValidation>
    <dataValidation type="list" allowBlank="1" showInputMessage="1" showErrorMessage="1" sqref="E209">
      <formula1>"CNY,PHP"</formula1>
    </dataValidation>
    <dataValidation type="list" allowBlank="1" showInputMessage="1" showErrorMessage="1" sqref="H209">
      <formula1>"已核实,不适用"</formula1>
    </dataValidation>
    <dataValidation type="list" allowBlank="1" showInputMessage="1" showErrorMessage="1" sqref="E210">
      <formula1>"CNY,PHP"</formula1>
    </dataValidation>
    <dataValidation type="list" allowBlank="1" showInputMessage="1" showErrorMessage="1" sqref="H210">
      <formula1>"已核实,不适用"</formula1>
    </dataValidation>
    <dataValidation type="list" allowBlank="1" showInputMessage="1" showErrorMessage="1" sqref="E211">
      <formula1>"CNY,PHP"</formula1>
    </dataValidation>
    <dataValidation type="list" allowBlank="1" showInputMessage="1" showErrorMessage="1" sqref="H211">
      <formula1>"已核实,不适用"</formula1>
    </dataValidation>
    <dataValidation type="list" allowBlank="1" showInputMessage="1" showErrorMessage="1" sqref="E212">
      <formula1>"CNY,PHP"</formula1>
    </dataValidation>
    <dataValidation type="list" allowBlank="1" showInputMessage="1" showErrorMessage="1" sqref="H212">
      <formula1>"已核实,不适用"</formula1>
    </dataValidation>
    <dataValidation type="list" allowBlank="1" showInputMessage="1" showErrorMessage="1" sqref="E213">
      <formula1>"CNY,PHP"</formula1>
    </dataValidation>
    <dataValidation type="list" allowBlank="1" showInputMessage="1" showErrorMessage="1" sqref="H213">
      <formula1>"已核实,不适用"</formula1>
    </dataValidation>
    <dataValidation type="list" allowBlank="1" showInputMessage="1" showErrorMessage="1" sqref="E214">
      <formula1>"CNY,PHP"</formula1>
    </dataValidation>
    <dataValidation type="list" allowBlank="1" showInputMessage="1" showErrorMessage="1" sqref="H214">
      <formula1>"已核实,不适用,预算"</formula1>
    </dataValidation>
    <dataValidation type="list" allowBlank="1" showInputMessage="1" showErrorMessage="1" sqref="E215">
      <formula1>"CNY,PHP"</formula1>
    </dataValidation>
    <dataValidation type="list" allowBlank="1" showInputMessage="1" showErrorMessage="1" sqref="H215">
      <formula1>"已核实,不适用,预算"</formula1>
    </dataValidation>
    <dataValidation type="list" allowBlank="1" showInputMessage="1" showErrorMessage="1" sqref="E216">
      <formula1>"CNY,PHP"</formula1>
    </dataValidation>
    <dataValidation type="list" allowBlank="1" showInputMessage="1" showErrorMessage="1" sqref="H216">
      <formula1>"已核实,不适用,预算"</formula1>
    </dataValidation>
    <dataValidation type="list" allowBlank="1" showInputMessage="1" showErrorMessage="1" sqref="E217">
      <formula1>"CNY,PHP"</formula1>
    </dataValidation>
    <dataValidation type="list" allowBlank="1" showInputMessage="1" showErrorMessage="1" sqref="H217">
      <formula1>"已核实,不适用"</formula1>
    </dataValidation>
    <dataValidation type="list" allowBlank="1" showInputMessage="1" showErrorMessage="1" sqref="E218">
      <formula1>"CNY,PHP"</formula1>
    </dataValidation>
    <dataValidation type="list" allowBlank="1" showInputMessage="1" showErrorMessage="1" sqref="H218">
      <formula1>"已核实,不适用"</formula1>
    </dataValidation>
    <dataValidation type="list" allowBlank="1" showInputMessage="1" showErrorMessage="1" sqref="E219">
      <formula1>"CNY,PHP"</formula1>
    </dataValidation>
    <dataValidation type="list" allowBlank="1" showInputMessage="1" showErrorMessage="1" sqref="H219">
      <formula1>"已核实,不适用,预算"</formula1>
    </dataValidation>
    <dataValidation type="list" allowBlank="1" showInputMessage="1" showErrorMessage="1" sqref="E220">
      <formula1>"CNY,PHP"</formula1>
    </dataValidation>
    <dataValidation type="list" allowBlank="1" showInputMessage="1" showErrorMessage="1" sqref="H220">
      <formula1>"已核实,不适用,预算"</formula1>
    </dataValidation>
    <dataValidation type="list" allowBlank="1" showInputMessage="1" showErrorMessage="1" sqref="E221">
      <formula1>"CNY,PHP"</formula1>
    </dataValidation>
    <dataValidation type="list" allowBlank="1" showInputMessage="1" showErrorMessage="1" sqref="H221">
      <formula1>"已核实,不适用"</formula1>
    </dataValidation>
    <dataValidation type="list" allowBlank="1" showInputMessage="1" showErrorMessage="1" sqref="E222">
      <formula1>"CNY,PHP"</formula1>
    </dataValidation>
    <dataValidation type="list" allowBlank="1" showInputMessage="1" showErrorMessage="1" sqref="H222">
      <formula1>"已核实,不适用"</formula1>
    </dataValidation>
    <dataValidation type="list" allowBlank="1" showInputMessage="1" showErrorMessage="1" sqref="E223">
      <formula1>"CNY,PHP"</formula1>
    </dataValidation>
    <dataValidation type="list" allowBlank="1" showInputMessage="1" showErrorMessage="1" sqref="H223">
      <formula1>"已核实,不适用"</formula1>
    </dataValidation>
    <dataValidation type="list" allowBlank="1" showInputMessage="1" showErrorMessage="1" sqref="E224">
      <formula1>"CNY,PHP"</formula1>
    </dataValidation>
    <dataValidation type="list" allowBlank="1" showInputMessage="1" showErrorMessage="1" sqref="H224">
      <formula1>"已核实,不适用"</formula1>
    </dataValidation>
    <dataValidation type="list" allowBlank="1" showInputMessage="1" showErrorMessage="1" sqref="E225">
      <formula1>"CNY,PHP"</formula1>
    </dataValidation>
    <dataValidation type="list" allowBlank="1" showInputMessage="1" showErrorMessage="1" sqref="H225">
      <formula1>"已核实,不适用"</formula1>
    </dataValidation>
    <dataValidation type="list" allowBlank="1" showInputMessage="1" showErrorMessage="1" sqref="E226">
      <formula1>"CNY,PHP"</formula1>
    </dataValidation>
    <dataValidation type="list" allowBlank="1" showInputMessage="1" showErrorMessage="1" sqref="H226">
      <formula1>"已核实,不适用"</formula1>
    </dataValidation>
    <dataValidation type="list" allowBlank="1" showInputMessage="1" showErrorMessage="1" sqref="E227">
      <formula1>"CNY,PHP"</formula1>
    </dataValidation>
    <dataValidation type="list" allowBlank="1" showInputMessage="1" showErrorMessage="1" sqref="H227">
      <formula1>"已核实,不适用"</formula1>
    </dataValidation>
    <dataValidation type="list" allowBlank="1" showInputMessage="1" showErrorMessage="1" sqref="E228">
      <formula1>"CNY,PHP"</formula1>
    </dataValidation>
    <dataValidation type="list" allowBlank="1" showInputMessage="1" showErrorMessage="1" sqref="H228">
      <formula1>"已核实,不适用"</formula1>
    </dataValidation>
    <dataValidation type="list" allowBlank="1" showInputMessage="1" showErrorMessage="1" sqref="E229">
      <formula1>"CNY,PHP"</formula1>
    </dataValidation>
    <dataValidation type="list" allowBlank="1" showInputMessage="1" showErrorMessage="1" sqref="H229">
      <formula1>"已核实,不适用"</formula1>
    </dataValidation>
    <dataValidation type="list" allowBlank="1" showInputMessage="1" showErrorMessage="1" sqref="E230">
      <formula1>"CNY,PHP"</formula1>
    </dataValidation>
    <dataValidation type="list" allowBlank="1" showInputMessage="1" showErrorMessage="1" sqref="H230">
      <formula1>"已核实,不适用"</formula1>
    </dataValidation>
    <dataValidation type="list" allowBlank="1" showInputMessage="1" showErrorMessage="1" sqref="E231">
      <formula1>"CNY,PHP"</formula1>
    </dataValidation>
    <dataValidation type="list" allowBlank="1" showInputMessage="1" showErrorMessage="1" sqref="H231">
      <formula1>"已核实,不适用"</formula1>
    </dataValidation>
    <dataValidation type="list" allowBlank="1" showInputMessage="1" showErrorMessage="1" sqref="E232">
      <formula1>"CNY,PHP"</formula1>
    </dataValidation>
    <dataValidation type="list" allowBlank="1" showInputMessage="1" showErrorMessage="1" sqref="H232">
      <formula1>"已核实,不适用,预算"</formula1>
    </dataValidation>
    <dataValidation type="list" allowBlank="1" showInputMessage="1" showErrorMessage="1" sqref="E233">
      <formula1>"CNY,PHP"</formula1>
    </dataValidation>
    <dataValidation type="list" allowBlank="1" showInputMessage="1" showErrorMessage="1" sqref="H233">
      <formula1>"已核实,不适用,预算"</formula1>
    </dataValidation>
    <dataValidation type="list" allowBlank="1" showInputMessage="1" showErrorMessage="1" sqref="E234">
      <formula1>"CNY,PHP"</formula1>
    </dataValidation>
    <dataValidation type="list" allowBlank="1" showInputMessage="1" showErrorMessage="1" sqref="H234">
      <formula1>"已核实,不适用,预算"</formula1>
    </dataValidation>
    <dataValidation type="list" allowBlank="1" showInputMessage="1" showErrorMessage="1" sqref="E235">
      <formula1>"CNY,PHP"</formula1>
    </dataValidation>
    <dataValidation type="list" allowBlank="1" showInputMessage="1" showErrorMessage="1" sqref="H235">
      <formula1>"已核实,不适用"</formula1>
    </dataValidation>
    <dataValidation type="list" allowBlank="1" showInputMessage="1" showErrorMessage="1" sqref="E236">
      <formula1>"CNY,PHP"</formula1>
    </dataValidation>
    <dataValidation type="list" allowBlank="1" showInputMessage="1" showErrorMessage="1" sqref="H236">
      <formula1>"已核实,不适用"</formula1>
    </dataValidation>
    <dataValidation type="list" allowBlank="1" showInputMessage="1" showErrorMessage="1" sqref="E237">
      <formula1>"CNY,PHP"</formula1>
    </dataValidation>
    <dataValidation type="list" allowBlank="1" showInputMessage="1" showErrorMessage="1" sqref="H237">
      <formula1>"已核实,不适用,预算"</formula1>
    </dataValidation>
    <dataValidation type="list" allowBlank="1" showInputMessage="1" showErrorMessage="1" sqref="E238">
      <formula1>"CNY,PHP"</formula1>
    </dataValidation>
    <dataValidation type="list" allowBlank="1" showInputMessage="1" showErrorMessage="1" sqref="H238">
      <formula1>"已核实,不适用,预算"</formula1>
    </dataValidation>
    <dataValidation type="list" allowBlank="1" showInputMessage="1" showErrorMessage="1" sqref="E239">
      <formula1>"CNY,PHP"</formula1>
    </dataValidation>
    <dataValidation type="list" allowBlank="1" showInputMessage="1" showErrorMessage="1" sqref="H239">
      <formula1>"已核实,不适用"</formula1>
    </dataValidation>
    <dataValidation type="list" allowBlank="1" showInputMessage="1" showErrorMessage="1" sqref="E240">
      <formula1>"CNY,PHP"</formula1>
    </dataValidation>
    <dataValidation type="list" allowBlank="1" showInputMessage="1" showErrorMessage="1" sqref="H240">
      <formula1>"已核实,不适用"</formula1>
    </dataValidation>
    <dataValidation type="list" allowBlank="1" showInputMessage="1" showErrorMessage="1" sqref="E241">
      <formula1>"CNY,PHP"</formula1>
    </dataValidation>
    <dataValidation type="list" allowBlank="1" showInputMessage="1" showErrorMessage="1" sqref="H241">
      <formula1>"已核实,不适用"</formula1>
    </dataValidation>
    <dataValidation type="list" allowBlank="1" showInputMessage="1" showErrorMessage="1" sqref="E242">
      <formula1>"CNY,PHP"</formula1>
    </dataValidation>
    <dataValidation type="list" allowBlank="1" showInputMessage="1" showErrorMessage="1" sqref="H242">
      <formula1>"已核实,不适用"</formula1>
    </dataValidation>
    <dataValidation type="list" allowBlank="1" showInputMessage="1" showErrorMessage="1" sqref="E243">
      <formula1>"CNY,PHP"</formula1>
    </dataValidation>
    <dataValidation type="list" allowBlank="1" showInputMessage="1" showErrorMessage="1" sqref="H243">
      <formula1>"已核实,不适用"</formula1>
    </dataValidation>
    <dataValidation type="list" allowBlank="1" showInputMessage="1" showErrorMessage="1" sqref="E244">
      <formula1>"CNY,PHP"</formula1>
    </dataValidation>
    <dataValidation type="list" allowBlank="1" showInputMessage="1" showErrorMessage="1" sqref="H244">
      <formula1>"已核实,不适用"</formula1>
    </dataValidation>
    <dataValidation type="list" allowBlank="1" showInputMessage="1" showErrorMessage="1" sqref="E245">
      <formula1>"CNY,PHP"</formula1>
    </dataValidation>
    <dataValidation type="list" allowBlank="1" showInputMessage="1" showErrorMessage="1" sqref="H245">
      <formula1>"已核实,不适用"</formula1>
    </dataValidation>
    <dataValidation type="list" allowBlank="1" showInputMessage="1" showErrorMessage="1" sqref="E246">
      <formula1>"CNY,PHP"</formula1>
    </dataValidation>
    <dataValidation type="list" allowBlank="1" showInputMessage="1" showErrorMessage="1" sqref="H246">
      <formula1>"已核实,不适用"</formula1>
    </dataValidation>
    <dataValidation type="list" allowBlank="1" showInputMessage="1" showErrorMessage="1" sqref="E247">
      <formula1>"CNY,PHP"</formula1>
    </dataValidation>
    <dataValidation type="list" allowBlank="1" showInputMessage="1" showErrorMessage="1" sqref="H247">
      <formula1>"已核实,不适用"</formula1>
    </dataValidation>
    <dataValidation type="list" allowBlank="1" showInputMessage="1" showErrorMessage="1" sqref="E248">
      <formula1>"CNY,PHP"</formula1>
    </dataValidation>
    <dataValidation type="list" allowBlank="1" showInputMessage="1" showErrorMessage="1" sqref="H248">
      <formula1>"已核实,不适用"</formula1>
    </dataValidation>
    <dataValidation type="list" allowBlank="1" showInputMessage="1" showErrorMessage="1" sqref="E249">
      <formula1>"CNY,PHP"</formula1>
    </dataValidation>
    <dataValidation type="list" allowBlank="1" showInputMessage="1" showErrorMessage="1" sqref="H249">
      <formula1>"已核实,不适用"</formula1>
    </dataValidation>
    <dataValidation type="list" allowBlank="1" showInputMessage="1" showErrorMessage="1" sqref="E250">
      <formula1>"CNY,PHP"</formula1>
    </dataValidation>
    <dataValidation type="list" allowBlank="1" showInputMessage="1" showErrorMessage="1" sqref="H250">
      <formula1>"已核实,不适用,预算"</formula1>
    </dataValidation>
    <dataValidation type="list" allowBlank="1" showInputMessage="1" showErrorMessage="1" sqref="E251">
      <formula1>"CNY,PHP"</formula1>
    </dataValidation>
    <dataValidation type="list" allowBlank="1" showInputMessage="1" showErrorMessage="1" sqref="H251">
      <formula1>"已核实,不适用,预算"</formula1>
    </dataValidation>
    <dataValidation type="list" allowBlank="1" showInputMessage="1" showErrorMessage="1" sqref="E252">
      <formula1>"CNY,PHP"</formula1>
    </dataValidation>
    <dataValidation type="list" allowBlank="1" showInputMessage="1" showErrorMessage="1" sqref="H252">
      <formula1>"已核实,不适用,预算"</formula1>
    </dataValidation>
    <dataValidation type="list" allowBlank="1" showInputMessage="1" showErrorMessage="1" sqref="E253">
      <formula1>"CNY,PHP"</formula1>
    </dataValidation>
    <dataValidation type="list" allowBlank="1" showInputMessage="1" showErrorMessage="1" sqref="H253">
      <formula1>"已核实,不适用"</formula1>
    </dataValidation>
    <dataValidation type="list" allowBlank="1" showInputMessage="1" showErrorMessage="1" sqref="E254">
      <formula1>"CNY,PHP"</formula1>
    </dataValidation>
    <dataValidation type="list" allowBlank="1" showInputMessage="1" showErrorMessage="1" sqref="H254">
      <formula1>"已核实,不适用"</formula1>
    </dataValidation>
    <dataValidation type="list" allowBlank="1" showInputMessage="1" showErrorMessage="1" sqref="E255">
      <formula1>"CNY,PHP"</formula1>
    </dataValidation>
    <dataValidation type="list" allowBlank="1" showInputMessage="1" showErrorMessage="1" sqref="H255">
      <formula1>"已核实,不适用,预算"</formula1>
    </dataValidation>
    <dataValidation type="list" allowBlank="1" showInputMessage="1" showErrorMessage="1" sqref="E256">
      <formula1>"CNY,PHP"</formula1>
    </dataValidation>
    <dataValidation type="list" allowBlank="1" showInputMessage="1" showErrorMessage="1" sqref="H256">
      <formula1>"已核实,不适用,预算"</formula1>
    </dataValidation>
    <dataValidation type="list" allowBlank="1" showInputMessage="1" showErrorMessage="1" sqref="E257">
      <formula1>"CNY,PHP"</formula1>
    </dataValidation>
    <dataValidation type="list" allowBlank="1" showInputMessage="1" showErrorMessage="1" sqref="H257">
      <formula1>"已核实,不适用"</formula1>
    </dataValidation>
    <dataValidation type="list" allowBlank="1" showInputMessage="1" showErrorMessage="1" sqref="E258">
      <formula1>"CNY,PHP"</formula1>
    </dataValidation>
    <dataValidation type="list" allowBlank="1" showInputMessage="1" showErrorMessage="1" sqref="H258">
      <formula1>"已核实,不适用"</formula1>
    </dataValidation>
    <dataValidation type="list" allowBlank="1" showInputMessage="1" showErrorMessage="1" sqref="E259">
      <formula1>"CNY,PHP"</formula1>
    </dataValidation>
    <dataValidation type="list" allowBlank="1" showInputMessage="1" showErrorMessage="1" sqref="H259">
      <formula1>"已核实,不适用"</formula1>
    </dataValidation>
    <dataValidation type="list" allowBlank="1" showInputMessage="1" showErrorMessage="1" sqref="E260">
      <formula1>"CNY,PHP"</formula1>
    </dataValidation>
    <dataValidation type="list" allowBlank="1" showInputMessage="1" showErrorMessage="1" sqref="H260">
      <formula1>"已核实,不适用"</formula1>
    </dataValidation>
    <dataValidation type="list" allowBlank="1" showInputMessage="1" showErrorMessage="1" sqref="E261">
      <formula1>"CNY,PHP"</formula1>
    </dataValidation>
    <dataValidation type="list" allowBlank="1" showInputMessage="1" showErrorMessage="1" sqref="H261">
      <formula1>"已核实,不适用"</formula1>
    </dataValidation>
    <dataValidation type="list" allowBlank="1" showInputMessage="1" showErrorMessage="1" sqref="E262">
      <formula1>"CNY,PHP"</formula1>
    </dataValidation>
    <dataValidation type="list" allowBlank="1" showInputMessage="1" showErrorMessage="1" sqref="H262">
      <formula1>"已核实,不适用"</formula1>
    </dataValidation>
    <dataValidation type="list" allowBlank="1" showInputMessage="1" showErrorMessage="1" sqref="E263">
      <formula1>"CNY,PHP"</formula1>
    </dataValidation>
    <dataValidation type="list" allowBlank="1" showInputMessage="1" showErrorMessage="1" sqref="H263">
      <formula1>"已核实,不适用"</formula1>
    </dataValidation>
    <dataValidation type="list" allowBlank="1" showInputMessage="1" showErrorMessage="1" sqref="E264">
      <formula1>"CNY,PHP"</formula1>
    </dataValidation>
    <dataValidation type="list" allowBlank="1" showInputMessage="1" showErrorMessage="1" sqref="H264">
      <formula1>"已核实,不适用"</formula1>
    </dataValidation>
    <dataValidation type="list" allowBlank="1" showInputMessage="1" showErrorMessage="1" sqref="E265">
      <formula1>"CNY,PHP"</formula1>
    </dataValidation>
    <dataValidation type="list" allowBlank="1" showInputMessage="1" showErrorMessage="1" sqref="H265">
      <formula1>"已核实,不适用"</formula1>
    </dataValidation>
    <dataValidation type="list" allowBlank="1" showInputMessage="1" showErrorMessage="1" sqref="E266">
      <formula1>"CNY,PHP"</formula1>
    </dataValidation>
    <dataValidation type="list" allowBlank="1" showInputMessage="1" showErrorMessage="1" sqref="H266">
      <formula1>"已核实,不适用"</formula1>
    </dataValidation>
    <dataValidation type="list" allowBlank="1" showInputMessage="1" showErrorMessage="1" sqref="E267">
      <formula1>"CNY,PHP"</formula1>
    </dataValidation>
    <dataValidation type="list" allowBlank="1" showInputMessage="1" showErrorMessage="1" sqref="H267">
      <formula1>"已核实,不适用"</formula1>
    </dataValidation>
    <dataValidation type="list" allowBlank="1" showInputMessage="1" showErrorMessage="1" sqref="E268">
      <formula1>"CNY,PHP"</formula1>
    </dataValidation>
    <dataValidation type="list" allowBlank="1" showInputMessage="1" showErrorMessage="1" sqref="H268">
      <formula1>"已核实,不适用,预算"</formula1>
    </dataValidation>
    <dataValidation type="list" allowBlank="1" showInputMessage="1" showErrorMessage="1" sqref="E269">
      <formula1>"CNY,PHP"</formula1>
    </dataValidation>
    <dataValidation type="list" allowBlank="1" showInputMessage="1" showErrorMessage="1" sqref="H269">
      <formula1>"已核实,不适用,预算"</formula1>
    </dataValidation>
    <dataValidation type="list" allowBlank="1" showInputMessage="1" showErrorMessage="1" sqref="E270">
      <formula1>"CNY,PHP"</formula1>
    </dataValidation>
    <dataValidation type="list" allowBlank="1" showInputMessage="1" showErrorMessage="1" sqref="H270">
      <formula1>"已核实,不适用,预算"</formula1>
    </dataValidation>
    <dataValidation type="list" allowBlank="1" showInputMessage="1" showErrorMessage="1" sqref="E271">
      <formula1>"CNY,PHP"</formula1>
    </dataValidation>
    <dataValidation type="list" allowBlank="1" showInputMessage="1" showErrorMessage="1" sqref="H271">
      <formula1>"已核实,不适用"</formula1>
    </dataValidation>
    <dataValidation type="list" allowBlank="1" showInputMessage="1" showErrorMessage="1" sqref="E272">
      <formula1>"CNY,PHP"</formula1>
    </dataValidation>
    <dataValidation type="list" allowBlank="1" showInputMessage="1" showErrorMessage="1" sqref="H272">
      <formula1>"已核实,不适用"</formula1>
    </dataValidation>
    <dataValidation type="list" allowBlank="1" showInputMessage="1" showErrorMessage="1" sqref="E273">
      <formula1>"CNY,PHP"</formula1>
    </dataValidation>
    <dataValidation type="list" allowBlank="1" showInputMessage="1" showErrorMessage="1" sqref="H273">
      <formula1>"已核实,不适用,预算"</formula1>
    </dataValidation>
    <dataValidation type="list" allowBlank="1" showInputMessage="1" showErrorMessage="1" sqref="E274">
      <formula1>"CNY,PHP"</formula1>
    </dataValidation>
    <dataValidation type="list" allowBlank="1" showInputMessage="1" showErrorMessage="1" sqref="H274">
      <formula1>"已核实,不适用,预算"</formula1>
    </dataValidation>
    <dataValidation type="list" allowBlank="1" showInputMessage="1" showErrorMessage="1" sqref="E275">
      <formula1>"CNY,PHP"</formula1>
    </dataValidation>
    <dataValidation type="list" allowBlank="1" showInputMessage="1" showErrorMessage="1" sqref="H275">
      <formula1>"已核实,不适用"</formula1>
    </dataValidation>
    <dataValidation type="list" allowBlank="1" showInputMessage="1" showErrorMessage="1" sqref="E276">
      <formula1>"CNY,PHP"</formula1>
    </dataValidation>
    <dataValidation type="list" allowBlank="1" showInputMessage="1" showErrorMessage="1" sqref="H276">
      <formula1>"已核实,不适用"</formula1>
    </dataValidation>
    <dataValidation type="list" allowBlank="1" showInputMessage="1" showErrorMessage="1" sqref="E277">
      <formula1>"CNY,PHP"</formula1>
    </dataValidation>
    <dataValidation type="list" allowBlank="1" showInputMessage="1" showErrorMessage="1" sqref="H277">
      <formula1>"已核实,不适用"</formula1>
    </dataValidation>
    <dataValidation type="list" allowBlank="1" showInputMessage="1" showErrorMessage="1" sqref="E278">
      <formula1>"CNY,PHP"</formula1>
    </dataValidation>
    <dataValidation type="list" allowBlank="1" showInputMessage="1" showErrorMessage="1" sqref="H278">
      <formula1>"已核实,不适用"</formula1>
    </dataValidation>
    <dataValidation type="list" allowBlank="1" showInputMessage="1" showErrorMessage="1" sqref="E279">
      <formula1>"CNY,PHP"</formula1>
    </dataValidation>
    <dataValidation type="list" allowBlank="1" showInputMessage="1" showErrorMessage="1" sqref="H279">
      <formula1>"已核实,不适用"</formula1>
    </dataValidation>
    <dataValidation type="list" allowBlank="1" showInputMessage="1" showErrorMessage="1" sqref="E280">
      <formula1>"CNY,PHP"</formula1>
    </dataValidation>
    <dataValidation type="list" allowBlank="1" showInputMessage="1" showErrorMessage="1" sqref="H280">
      <formula1>"已核实,不适用"</formula1>
    </dataValidation>
    <dataValidation type="list" allowBlank="1" showInputMessage="1" showErrorMessage="1" sqref="E281">
      <formula1>"CNY,PHP"</formula1>
    </dataValidation>
    <dataValidation type="list" allowBlank="1" showInputMessage="1" showErrorMessage="1" sqref="H281">
      <formula1>"已核实,不适用"</formula1>
    </dataValidation>
    <dataValidation type="list" allowBlank="1" showInputMessage="1" showErrorMessage="1" sqref="E282">
      <formula1>"CNY,PHP"</formula1>
    </dataValidation>
    <dataValidation type="list" allowBlank="1" showInputMessage="1" showErrorMessage="1" sqref="H282">
      <formula1>"已核实,不适用"</formula1>
    </dataValidation>
    <dataValidation type="list" allowBlank="1" showInputMessage="1" showErrorMessage="1" sqref="E283">
      <formula1>"CNY,PHP"</formula1>
    </dataValidation>
    <dataValidation type="list" allowBlank="1" showInputMessage="1" showErrorMessage="1" sqref="H283">
      <formula1>"已核实,不适用"</formula1>
    </dataValidation>
    <dataValidation type="list" allowBlank="1" showInputMessage="1" showErrorMessage="1" sqref="E284">
      <formula1>"CNY,PHP"</formula1>
    </dataValidation>
    <dataValidation type="list" allowBlank="1" showInputMessage="1" showErrorMessage="1" sqref="H284">
      <formula1>"已核实,不适用"</formula1>
    </dataValidation>
    <dataValidation type="list" allowBlank="1" showInputMessage="1" showErrorMessage="1" sqref="E285">
      <formula1>"CNY,PHP"</formula1>
    </dataValidation>
    <dataValidation type="list" allowBlank="1" showInputMessage="1" showErrorMessage="1" sqref="H285">
      <formula1>"已核实,不适用"</formula1>
    </dataValidation>
    <dataValidation type="list" allowBlank="1" showInputMessage="1" showErrorMessage="1" sqref="E286">
      <formula1>"CNY,PHP"</formula1>
    </dataValidation>
    <dataValidation type="list" allowBlank="1" showInputMessage="1" showErrorMessage="1" sqref="H286">
      <formula1>"已核实,不适用,预算"</formula1>
    </dataValidation>
    <dataValidation type="list" allowBlank="1" showInputMessage="1" showErrorMessage="1" sqref="E287">
      <formula1>"CNY,PHP"</formula1>
    </dataValidation>
    <dataValidation type="list" allowBlank="1" showInputMessage="1" showErrorMessage="1" sqref="H287">
      <formula1>"已核实,不适用,预算"</formula1>
    </dataValidation>
    <dataValidation type="list" allowBlank="1" showInputMessage="1" showErrorMessage="1" sqref="E288">
      <formula1>"CNY,PHP"</formula1>
    </dataValidation>
    <dataValidation type="list" allowBlank="1" showInputMessage="1" showErrorMessage="1" sqref="H288">
      <formula1>"已核实,不适用,预算"</formula1>
    </dataValidation>
    <dataValidation type="list" allowBlank="1" showInputMessage="1" showErrorMessage="1" sqref="E289">
      <formula1>"CNY,PHP"</formula1>
    </dataValidation>
    <dataValidation type="list" allowBlank="1" showInputMessage="1" showErrorMessage="1" sqref="H289">
      <formula1>"已核实,不适用"</formula1>
    </dataValidation>
    <dataValidation type="list" allowBlank="1" showInputMessage="1" showErrorMessage="1" sqref="E290">
      <formula1>"CNY,PHP"</formula1>
    </dataValidation>
    <dataValidation type="list" allowBlank="1" showInputMessage="1" showErrorMessage="1" sqref="H290">
      <formula1>"已核实,不适用"</formula1>
    </dataValidation>
    <dataValidation type="list" allowBlank="1" showInputMessage="1" showErrorMessage="1" sqref="E291">
      <formula1>"CNY,PHP"</formula1>
    </dataValidation>
    <dataValidation type="list" allowBlank="1" showInputMessage="1" showErrorMessage="1" sqref="H291">
      <formula1>"已核实,不适用,预算"</formula1>
    </dataValidation>
    <dataValidation type="list" allowBlank="1" showInputMessage="1" showErrorMessage="1" sqref="E292">
      <formula1>"CNY,PHP"</formula1>
    </dataValidation>
    <dataValidation type="list" allowBlank="1" showInputMessage="1" showErrorMessage="1" sqref="H292">
      <formula1>"已核实,不适用,预算"</formula1>
    </dataValidation>
    <dataValidation type="list" allowBlank="1" showInputMessage="1" showErrorMessage="1" sqref="E293">
      <formula1>"CNY,PHP"</formula1>
    </dataValidation>
    <dataValidation type="list" allowBlank="1" showInputMessage="1" showErrorMessage="1" sqref="H293">
      <formula1>"已核实,不适用"</formula1>
    </dataValidation>
    <dataValidation type="list" allowBlank="1" showInputMessage="1" showErrorMessage="1" sqref="E294">
      <formula1>"CNY,PHP"</formula1>
    </dataValidation>
    <dataValidation type="list" allowBlank="1" showInputMessage="1" showErrorMessage="1" sqref="H294">
      <formula1>"已核实,不适用"</formula1>
    </dataValidation>
    <dataValidation type="list" allowBlank="1" showInputMessage="1" showErrorMessage="1" sqref="E295">
      <formula1>"CNY,PHP"</formula1>
    </dataValidation>
    <dataValidation type="list" allowBlank="1" showInputMessage="1" showErrorMessage="1" sqref="H295">
      <formula1>"已核实,不适用"</formula1>
    </dataValidation>
    <dataValidation type="list" allowBlank="1" showInputMessage="1" showErrorMessage="1" sqref="E296">
      <formula1>"CNY,PHP"</formula1>
    </dataValidation>
    <dataValidation type="list" allowBlank="1" showInputMessage="1" showErrorMessage="1" sqref="H296">
      <formula1>"已核实,不适用"</formula1>
    </dataValidation>
    <dataValidation type="list" allowBlank="1" showInputMessage="1" showErrorMessage="1" sqref="E297">
      <formula1>"CNY,PHP"</formula1>
    </dataValidation>
    <dataValidation type="list" allowBlank="1" showInputMessage="1" showErrorMessage="1" sqref="H297">
      <formula1>"已核实,不适用"</formula1>
    </dataValidation>
    <dataValidation type="list" allowBlank="1" showInputMessage="1" showErrorMessage="1" sqref="E298">
      <formula1>"CNY,PHP"</formula1>
    </dataValidation>
    <dataValidation type="list" allowBlank="1" showInputMessage="1" showErrorMessage="1" sqref="H298">
      <formula1>"已核实,不适用"</formula1>
    </dataValidation>
    <dataValidation type="list" allowBlank="1" showInputMessage="1" showErrorMessage="1" sqref="E299">
      <formula1>"CNY,PHP"</formula1>
    </dataValidation>
    <dataValidation type="list" allowBlank="1" showInputMessage="1" showErrorMessage="1" sqref="H299">
      <formula1>"已核实,不适用"</formula1>
    </dataValidation>
    <dataValidation type="list" allowBlank="1" showInputMessage="1" showErrorMessage="1" sqref="E300">
      <formula1>"CNY,PHP"</formula1>
    </dataValidation>
    <dataValidation type="list" allowBlank="1" showInputMessage="1" showErrorMessage="1" sqref="H300">
      <formula1>"已核实,不适用"</formula1>
    </dataValidation>
    <dataValidation type="list" allowBlank="1" showInputMessage="1" showErrorMessage="1" sqref="E301">
      <formula1>"CNY,PHP"</formula1>
    </dataValidation>
    <dataValidation type="list" allowBlank="1" showInputMessage="1" showErrorMessage="1" sqref="H301">
      <formula1>"已核实,不适用"</formula1>
    </dataValidation>
    <dataValidation type="list" allowBlank="1" showInputMessage="1" showErrorMessage="1" sqref="E302">
      <formula1>"CNY,PHP"</formula1>
    </dataValidation>
    <dataValidation type="list" allowBlank="1" showInputMessage="1" showErrorMessage="1" sqref="H302">
      <formula1>"已核实,不适用"</formula1>
    </dataValidation>
    <dataValidation type="list" allowBlank="1" showInputMessage="1" showErrorMessage="1" sqref="E303">
      <formula1>"CNY,PHP"</formula1>
    </dataValidation>
    <dataValidation type="list" allowBlank="1" showInputMessage="1" showErrorMessage="1" sqref="H303">
      <formula1>"已核实,不适用"</formula1>
    </dataValidation>
    <dataValidation type="list" allowBlank="1" showInputMessage="1" showErrorMessage="1" sqref="E304">
      <formula1>"CNY,PHP"</formula1>
    </dataValidation>
    <dataValidation type="list" allowBlank="1" showInputMessage="1" showErrorMessage="1" sqref="H304">
      <formula1>"已核实,不适用,预算"</formula1>
    </dataValidation>
    <dataValidation type="list" allowBlank="1" showInputMessage="1" showErrorMessage="1" sqref="E305">
      <formula1>"CNY,PHP"</formula1>
    </dataValidation>
    <dataValidation type="list" allowBlank="1" showInputMessage="1" showErrorMessage="1" sqref="H305">
      <formula1>"已核实,不适用,预算"</formula1>
    </dataValidation>
    <dataValidation type="list" allowBlank="1" showInputMessage="1" showErrorMessage="1" sqref="E306">
      <formula1>"CNY,PHP"</formula1>
    </dataValidation>
    <dataValidation type="list" allowBlank="1" showInputMessage="1" showErrorMessage="1" sqref="H306">
      <formula1>"已核实,不适用,预算"</formula1>
    </dataValidation>
    <dataValidation type="list" allowBlank="1" showInputMessage="1" showErrorMessage="1" sqref="E307">
      <formula1>"CNY,PHP"</formula1>
    </dataValidation>
    <dataValidation type="list" allowBlank="1" showInputMessage="1" showErrorMessage="1" sqref="H307">
      <formula1>"已核实,不适用"</formula1>
    </dataValidation>
    <dataValidation type="list" allowBlank="1" showInputMessage="1" showErrorMessage="1" sqref="E308">
      <formula1>"CNY,PHP"</formula1>
    </dataValidation>
    <dataValidation type="list" allowBlank="1" showInputMessage="1" showErrorMessage="1" sqref="H308">
      <formula1>"已核实,不适用"</formula1>
    </dataValidation>
    <dataValidation type="list" allowBlank="1" showInputMessage="1" showErrorMessage="1" sqref="E309">
      <formula1>"CNY,PHP"</formula1>
    </dataValidation>
    <dataValidation type="list" allowBlank="1" showInputMessage="1" showErrorMessage="1" sqref="H309">
      <formula1>"已核实,不适用,预算"</formula1>
    </dataValidation>
    <dataValidation type="list" allowBlank="1" showInputMessage="1" showErrorMessage="1" sqref="E310">
      <formula1>"CNY,PHP"</formula1>
    </dataValidation>
    <dataValidation type="list" allowBlank="1" showInputMessage="1" showErrorMessage="1" sqref="H310">
      <formula1>"已核实,不适用,预算"</formula1>
    </dataValidation>
    <dataValidation type="list" allowBlank="1" showInputMessage="1" showErrorMessage="1" sqref="E311">
      <formula1>"CNY,PHP"</formula1>
    </dataValidation>
    <dataValidation type="list" allowBlank="1" showInputMessage="1" showErrorMessage="1" sqref="H311">
      <formula1>"已核实,不适用"</formula1>
    </dataValidation>
    <dataValidation type="list" allowBlank="1" showInputMessage="1" showErrorMessage="1" sqref="E312">
      <formula1>"CNY,PHP"</formula1>
    </dataValidation>
    <dataValidation type="list" allowBlank="1" showInputMessage="1" showErrorMessage="1" sqref="H312">
      <formula1>"已核实,不适用"</formula1>
    </dataValidation>
    <dataValidation type="list" allowBlank="1" showInputMessage="1" showErrorMessage="1" sqref="E313">
      <formula1>"CNY,PHP"</formula1>
    </dataValidation>
    <dataValidation type="list" allowBlank="1" showInputMessage="1" showErrorMessage="1" sqref="H313">
      <formula1>"已核实,不适用"</formula1>
    </dataValidation>
    <dataValidation type="list" allowBlank="1" showInputMessage="1" showErrorMessage="1" sqref="E314">
      <formula1>"CNY,PHP"</formula1>
    </dataValidation>
    <dataValidation type="list" allowBlank="1" showInputMessage="1" showErrorMessage="1" sqref="H314">
      <formula1>"已核实,不适用"</formula1>
    </dataValidation>
    <dataValidation type="list" allowBlank="1" showInputMessage="1" showErrorMessage="1" sqref="E315">
      <formula1>"CNY,PHP"</formula1>
    </dataValidation>
    <dataValidation type="list" allowBlank="1" showInputMessage="1" showErrorMessage="1" sqref="H315">
      <formula1>"已核实,不适用"</formula1>
    </dataValidation>
    <dataValidation type="list" allowBlank="1" showInputMessage="1" showErrorMessage="1" sqref="E316">
      <formula1>"CNY,PHP"</formula1>
    </dataValidation>
    <dataValidation type="list" allowBlank="1" showInputMessage="1" showErrorMessage="1" sqref="H316">
      <formula1>"已核实,不适用"</formula1>
    </dataValidation>
    <dataValidation type="list" allowBlank="1" showInputMessage="1" showErrorMessage="1" sqref="E317">
      <formula1>"CNY,PHP"</formula1>
    </dataValidation>
    <dataValidation type="list" allowBlank="1" showInputMessage="1" showErrorMessage="1" sqref="H317">
      <formula1>"已核实,不适用"</formula1>
    </dataValidation>
    <dataValidation type="list" allowBlank="1" showInputMessage="1" showErrorMessage="1" sqref="E318">
      <formula1>"CNY,PHP"</formula1>
    </dataValidation>
    <dataValidation type="list" allowBlank="1" showInputMessage="1" showErrorMessage="1" sqref="H318">
      <formula1>"已核实,不适用"</formula1>
    </dataValidation>
    <dataValidation type="list" allowBlank="1" showInputMessage="1" showErrorMessage="1" sqref="E319">
      <formula1>"CNY,PHP"</formula1>
    </dataValidation>
    <dataValidation type="list" allowBlank="1" showInputMessage="1" showErrorMessage="1" sqref="H319">
      <formula1>"已核实,不适用"</formula1>
    </dataValidation>
    <dataValidation type="list" allowBlank="1" showInputMessage="1" showErrorMessage="1" sqref="E320">
      <formula1>"CNY,PHP"</formula1>
    </dataValidation>
    <dataValidation type="list" allowBlank="1" showInputMessage="1" showErrorMessage="1" sqref="H320">
      <formula1>"已核实,不适用"</formula1>
    </dataValidation>
    <dataValidation type="list" allowBlank="1" showInputMessage="1" showErrorMessage="1" sqref="E321">
      <formula1>"CNY,PHP"</formula1>
    </dataValidation>
    <dataValidation type="list" allowBlank="1" showInputMessage="1" showErrorMessage="1" sqref="H321">
      <formula1>"已核实,不适用"</formula1>
    </dataValidation>
    <dataValidation type="list" allowBlank="1" showInputMessage="1" showErrorMessage="1" sqref="E322">
      <formula1>"CNY,PHP"</formula1>
    </dataValidation>
    <dataValidation type="list" allowBlank="1" showInputMessage="1" showErrorMessage="1" sqref="H322">
      <formula1>"已核实,不适用,预算"</formula1>
    </dataValidation>
    <dataValidation type="list" allowBlank="1" showInputMessage="1" showErrorMessage="1" sqref="E323">
      <formula1>"CNY,PHP"</formula1>
    </dataValidation>
    <dataValidation type="list" allowBlank="1" showInputMessage="1" showErrorMessage="1" sqref="H323">
      <formula1>"已核实,不适用,预算"</formula1>
    </dataValidation>
    <dataValidation type="list" allowBlank="1" showInputMessage="1" showErrorMessage="1" sqref="E324">
      <formula1>"CNY,PHP"</formula1>
    </dataValidation>
    <dataValidation type="list" allowBlank="1" showInputMessage="1" showErrorMessage="1" sqref="H324">
      <formula1>"已核实,不适用,预算"</formula1>
    </dataValidation>
    <dataValidation type="list" allowBlank="1" showInputMessage="1" showErrorMessage="1" sqref="E325">
      <formula1>"CNY,PHP"</formula1>
    </dataValidation>
    <dataValidation type="list" allowBlank="1" showInputMessage="1" showErrorMessage="1" sqref="H325">
      <formula1>"已核实,不适用"</formula1>
    </dataValidation>
    <dataValidation type="list" allowBlank="1" showInputMessage="1" showErrorMessage="1" sqref="E326">
      <formula1>"CNY,PHP"</formula1>
    </dataValidation>
    <dataValidation type="list" allowBlank="1" showInputMessage="1" showErrorMessage="1" sqref="H326">
      <formula1>"已核实,不适用"</formula1>
    </dataValidation>
    <dataValidation type="list" allowBlank="1" showInputMessage="1" showErrorMessage="1" sqref="E327">
      <formula1>"CNY,PHP"</formula1>
    </dataValidation>
    <dataValidation type="list" allowBlank="1" showInputMessage="1" showErrorMessage="1" sqref="H327">
      <formula1>"已核实,不适用,预算"</formula1>
    </dataValidation>
    <dataValidation type="list" allowBlank="1" showInputMessage="1" showErrorMessage="1" sqref="E328">
      <formula1>"CNY,PHP"</formula1>
    </dataValidation>
    <dataValidation type="list" allowBlank="1" showInputMessage="1" showErrorMessage="1" sqref="H328">
      <formula1>"已核实,不适用,预算"</formula1>
    </dataValidation>
    <dataValidation type="list" allowBlank="1" showInputMessage="1" showErrorMessage="1" sqref="E329">
      <formula1>"CNY,PHP"</formula1>
    </dataValidation>
    <dataValidation type="list" allowBlank="1" showInputMessage="1" showErrorMessage="1" sqref="H329">
      <formula1>"已核实,不适用"</formula1>
    </dataValidation>
    <dataValidation type="list" allowBlank="1" showInputMessage="1" showErrorMessage="1" sqref="E330">
      <formula1>"CNY,PHP"</formula1>
    </dataValidation>
    <dataValidation type="list" allowBlank="1" showInputMessage="1" showErrorMessage="1" sqref="H330">
      <formula1>"已核实,不适用"</formula1>
    </dataValidation>
    <dataValidation type="list" allowBlank="1" showInputMessage="1" showErrorMessage="1" sqref="E331">
      <formula1>"CNY,PHP"</formula1>
    </dataValidation>
    <dataValidation type="list" allowBlank="1" showInputMessage="1" showErrorMessage="1" sqref="H331">
      <formula1>"已核实,不适用"</formula1>
    </dataValidation>
    <dataValidation type="list" allowBlank="1" showInputMessage="1" showErrorMessage="1" sqref="E332">
      <formula1>"CNY,PHP"</formula1>
    </dataValidation>
    <dataValidation type="list" allowBlank="1" showInputMessage="1" showErrorMessage="1" sqref="H332">
      <formula1>"已核实,不适用"</formula1>
    </dataValidation>
    <dataValidation type="list" allowBlank="1" showInputMessage="1" showErrorMessage="1" sqref="E333">
      <formula1>"CNY,PHP"</formula1>
    </dataValidation>
    <dataValidation type="list" allowBlank="1" showInputMessage="1" showErrorMessage="1" sqref="H333">
      <formula1>"已核实,不适用"</formula1>
    </dataValidation>
    <dataValidation type="list" allowBlank="1" showInputMessage="1" showErrorMessage="1" sqref="E334">
      <formula1>"CNY,PHP"</formula1>
    </dataValidation>
    <dataValidation type="list" allowBlank="1" showInputMessage="1" showErrorMessage="1" sqref="H334">
      <formula1>"已核实,不适用"</formula1>
    </dataValidation>
    <dataValidation type="list" allowBlank="1" showInputMessage="1" showErrorMessage="1" sqref="E335">
      <formula1>"CNY,PHP"</formula1>
    </dataValidation>
    <dataValidation type="list" allowBlank="1" showInputMessage="1" showErrorMessage="1" sqref="H335">
      <formula1>"已核实,不适用"</formula1>
    </dataValidation>
    <dataValidation type="list" allowBlank="1" showInputMessage="1" showErrorMessage="1" sqref="E336">
      <formula1>"CNY,PHP"</formula1>
    </dataValidation>
    <dataValidation type="list" allowBlank="1" showInputMessage="1" showErrorMessage="1" sqref="H336">
      <formula1>"已核实,不适用"</formula1>
    </dataValidation>
    <dataValidation type="list" allowBlank="1" showInputMessage="1" showErrorMessage="1" sqref="E337">
      <formula1>"CNY,PHP"</formula1>
    </dataValidation>
    <dataValidation type="list" allowBlank="1" showInputMessage="1" showErrorMessage="1" sqref="H337">
      <formula1>"已核实,不适用"</formula1>
    </dataValidation>
    <dataValidation type="list" allowBlank="1" showInputMessage="1" showErrorMessage="1" sqref="E338">
      <formula1>"CNY,PHP"</formula1>
    </dataValidation>
    <dataValidation type="list" allowBlank="1" showInputMessage="1" showErrorMessage="1" sqref="H338">
      <formula1>"已核实,不适用"</formula1>
    </dataValidation>
    <dataValidation type="list" allowBlank="1" showInputMessage="1" showErrorMessage="1" sqref="E339">
      <formula1>"CNY,PHP"</formula1>
    </dataValidation>
    <dataValidation type="list" allowBlank="1" showInputMessage="1" showErrorMessage="1" sqref="H339">
      <formula1>"已核实,不适用"</formula1>
    </dataValidation>
    <dataValidation type="list" allowBlank="1" showInputMessage="1" showErrorMessage="1" sqref="E340">
      <formula1>"CNY,PHP"</formula1>
    </dataValidation>
    <dataValidation type="list" allowBlank="1" showInputMessage="1" showErrorMessage="1" sqref="H340">
      <formula1>"已核实,不适用,预算"</formula1>
    </dataValidation>
    <dataValidation type="list" allowBlank="1" showInputMessage="1" showErrorMessage="1" sqref="E341">
      <formula1>"CNY,PHP"</formula1>
    </dataValidation>
    <dataValidation type="list" allowBlank="1" showInputMessage="1" showErrorMessage="1" sqref="H341">
      <formula1>"已核实,不适用,预算"</formula1>
    </dataValidation>
    <dataValidation type="list" allowBlank="1" showInputMessage="1" showErrorMessage="1" sqref="E342">
      <formula1>"CNY,PHP"</formula1>
    </dataValidation>
    <dataValidation type="list" allowBlank="1" showInputMessage="1" showErrorMessage="1" sqref="H342">
      <formula1>"已核实,不适用,预算"</formula1>
    </dataValidation>
    <dataValidation type="list" allowBlank="1" showInputMessage="1" showErrorMessage="1" sqref="E343">
      <formula1>"CNY,PHP"</formula1>
    </dataValidation>
    <dataValidation type="list" allowBlank="1" showInputMessage="1" showErrorMessage="1" sqref="H343">
      <formula1>"已核实,不适用"</formula1>
    </dataValidation>
    <dataValidation type="list" allowBlank="1" showInputMessage="1" showErrorMessage="1" sqref="E344">
      <formula1>"CNY,PHP"</formula1>
    </dataValidation>
    <dataValidation type="list" allowBlank="1" showInputMessage="1" showErrorMessage="1" sqref="H344">
      <formula1>"已核实,不适用"</formula1>
    </dataValidation>
    <dataValidation type="list" allowBlank="1" showInputMessage="1" showErrorMessage="1" sqref="E345">
      <formula1>"CNY,PHP"</formula1>
    </dataValidation>
    <dataValidation type="list" allowBlank="1" showInputMessage="1" showErrorMessage="1" sqref="H345">
      <formula1>"已核实,不适用,预算"</formula1>
    </dataValidation>
    <dataValidation type="list" allowBlank="1" showInputMessage="1" showErrorMessage="1" sqref="E346">
      <formula1>"CNY,PHP"</formula1>
    </dataValidation>
    <dataValidation type="list" allowBlank="1" showInputMessage="1" showErrorMessage="1" sqref="H346">
      <formula1>"已核实,不适用,预算"</formula1>
    </dataValidation>
    <dataValidation type="list" allowBlank="1" showInputMessage="1" showErrorMessage="1" sqref="E347">
      <formula1>"CNY,PHP"</formula1>
    </dataValidation>
    <dataValidation type="list" allowBlank="1" showInputMessage="1" showErrorMessage="1" sqref="H347">
      <formula1>"已核实,不适用"</formula1>
    </dataValidation>
    <dataValidation type="list" allowBlank="1" showInputMessage="1" showErrorMessage="1" sqref="E348">
      <formula1>"CNY,PHP"</formula1>
    </dataValidation>
    <dataValidation type="list" allowBlank="1" showInputMessage="1" showErrorMessage="1" sqref="H348">
      <formula1>"已核实,不适用"</formula1>
    </dataValidation>
    <dataValidation type="list" allowBlank="1" showInputMessage="1" showErrorMessage="1" sqref="E349">
      <formula1>"CNY,PHP"</formula1>
    </dataValidation>
    <dataValidation type="list" allowBlank="1" showInputMessage="1" showErrorMessage="1" sqref="H349">
      <formula1>"已核实,不适用"</formula1>
    </dataValidation>
    <dataValidation type="list" allowBlank="1" showInputMessage="1" showErrorMessage="1" sqref="E350">
      <formula1>"CNY,PHP"</formula1>
    </dataValidation>
    <dataValidation type="list" allowBlank="1" showInputMessage="1" showErrorMessage="1" sqref="H350">
      <formula1>"已核实,不适用"</formula1>
    </dataValidation>
    <dataValidation type="list" allowBlank="1" showInputMessage="1" showErrorMessage="1" sqref="E351">
      <formula1>"CNY,PHP"</formula1>
    </dataValidation>
    <dataValidation type="list" allowBlank="1" showInputMessage="1" showErrorMessage="1" sqref="H351">
      <formula1>"已核实,不适用"</formula1>
    </dataValidation>
    <dataValidation type="list" allowBlank="1" showInputMessage="1" showErrorMessage="1" sqref="E352">
      <formula1>"CNY,PHP"</formula1>
    </dataValidation>
    <dataValidation type="list" allowBlank="1" showInputMessage="1" showErrorMessage="1" sqref="H352">
      <formula1>"已核实,不适用"</formula1>
    </dataValidation>
    <dataValidation type="list" allowBlank="1" showInputMessage="1" showErrorMessage="1" sqref="E353">
      <formula1>"CNY,PHP"</formula1>
    </dataValidation>
    <dataValidation type="list" allowBlank="1" showInputMessage="1" showErrorMessage="1" sqref="H353">
      <formula1>"已核实,不适用"</formula1>
    </dataValidation>
    <dataValidation type="list" allowBlank="1" showInputMessage="1" showErrorMessage="1" sqref="E354">
      <formula1>"CNY,PHP"</formula1>
    </dataValidation>
    <dataValidation type="list" allowBlank="1" showInputMessage="1" showErrorMessage="1" sqref="H354">
      <formula1>"已核实,不适用"</formula1>
    </dataValidation>
    <dataValidation type="list" allowBlank="1" showInputMessage="1" showErrorMessage="1" sqref="E355">
      <formula1>"CNY,PHP"</formula1>
    </dataValidation>
    <dataValidation type="list" allowBlank="1" showInputMessage="1" showErrorMessage="1" sqref="H355">
      <formula1>"已核实,不适用"</formula1>
    </dataValidation>
    <dataValidation type="list" allowBlank="1" showInputMessage="1" showErrorMessage="1" sqref="E356">
      <formula1>"CNY,PHP"</formula1>
    </dataValidation>
    <dataValidation type="list" allowBlank="1" showInputMessage="1" showErrorMessage="1" sqref="H356">
      <formula1>"已核实,不适用"</formula1>
    </dataValidation>
    <dataValidation type="list" allowBlank="1" showInputMessage="1" showErrorMessage="1" sqref="E357">
      <formula1>"CNY,PHP"</formula1>
    </dataValidation>
    <dataValidation type="list" allowBlank="1" showInputMessage="1" showErrorMessage="1" sqref="H357">
      <formula1>"已核实,不适用"</formula1>
    </dataValidation>
    <dataValidation type="list" allowBlank="1" showInputMessage="1" showErrorMessage="1" sqref="E358">
      <formula1>"CNY,PHP"</formula1>
    </dataValidation>
    <dataValidation type="list" allowBlank="1" showInputMessage="1" showErrorMessage="1" sqref="H358">
      <formula1>"已核实,不适用,预算"</formula1>
    </dataValidation>
    <dataValidation type="list" allowBlank="1" showInputMessage="1" showErrorMessage="1" sqref="E359">
      <formula1>"CNY,PHP"</formula1>
    </dataValidation>
    <dataValidation type="list" allowBlank="1" showInputMessage="1" showErrorMessage="1" sqref="H359">
      <formula1>"已核实,不适用,预算"</formula1>
    </dataValidation>
    <dataValidation type="list" allowBlank="1" showInputMessage="1" showErrorMessage="1" sqref="E360">
      <formula1>"CNY,PHP"</formula1>
    </dataValidation>
    <dataValidation type="list" allowBlank="1" showInputMessage="1" showErrorMessage="1" sqref="H360">
      <formula1>"已核实,不适用,预算"</formula1>
    </dataValidation>
    <dataValidation type="list" allowBlank="1" showInputMessage="1" showErrorMessage="1" sqref="E361">
      <formula1>"CNY,PHP"</formula1>
    </dataValidation>
    <dataValidation type="list" allowBlank="1" showInputMessage="1" showErrorMessage="1" sqref="H361">
      <formula1>"已核实,不适用"</formula1>
    </dataValidation>
    <dataValidation type="list" allowBlank="1" showInputMessage="1" showErrorMessage="1" sqref="E362">
      <formula1>"CNY,PHP"</formula1>
    </dataValidation>
    <dataValidation type="list" allowBlank="1" showInputMessage="1" showErrorMessage="1" sqref="H362">
      <formula1>"已核实,不适用"</formula1>
    </dataValidation>
    <dataValidation type="list" allowBlank="1" showInputMessage="1" showErrorMessage="1" sqref="E363">
      <formula1>"CNY,PHP"</formula1>
    </dataValidation>
    <dataValidation type="list" allowBlank="1" showInputMessage="1" showErrorMessage="1" sqref="H363">
      <formula1>"已核实,不适用,预算"</formula1>
    </dataValidation>
    <dataValidation type="list" allowBlank="1" showInputMessage="1" showErrorMessage="1" sqref="E364">
      <formula1>"CNY,PHP"</formula1>
    </dataValidation>
    <dataValidation type="list" allowBlank="1" showInputMessage="1" showErrorMessage="1" sqref="H364">
      <formula1>"已核实,不适用,预算"</formula1>
    </dataValidation>
    <dataValidation type="list" allowBlank="1" showInputMessage="1" showErrorMessage="1" sqref="E365">
      <formula1>"CNY,PHP"</formula1>
    </dataValidation>
    <dataValidation type="list" allowBlank="1" showInputMessage="1" showErrorMessage="1" sqref="H365">
      <formula1>"已核实,不适用"</formula1>
    </dataValidation>
    <dataValidation type="list" allowBlank="1" showInputMessage="1" showErrorMessage="1" sqref="E366">
      <formula1>"CNY,PHP"</formula1>
    </dataValidation>
    <dataValidation type="list" allowBlank="1" showInputMessage="1" showErrorMessage="1" sqref="H366">
      <formula1>"已核实,不适用"</formula1>
    </dataValidation>
    <dataValidation type="list" allowBlank="1" showInputMessage="1" showErrorMessage="1" sqref="E367">
      <formula1>"CNY,PHP"</formula1>
    </dataValidation>
    <dataValidation type="list" allowBlank="1" showInputMessage="1" showErrorMessage="1" sqref="H367">
      <formula1>"已核实,不适用"</formula1>
    </dataValidation>
    <dataValidation type="list" allowBlank="1" showInputMessage="1" showErrorMessage="1" sqref="E368">
      <formula1>"CNY,PHP"</formula1>
    </dataValidation>
    <dataValidation type="list" allowBlank="1" showInputMessage="1" showErrorMessage="1" sqref="H368">
      <formula1>"已核实,不适用"</formula1>
    </dataValidation>
    <dataValidation type="list" allowBlank="1" showInputMessage="1" showErrorMessage="1" sqref="E369">
      <formula1>"CNY,PHP"</formula1>
    </dataValidation>
    <dataValidation type="list" allowBlank="1" showInputMessage="1" showErrorMessage="1" sqref="H369">
      <formula1>"已核实,不适用"</formula1>
    </dataValidation>
    <dataValidation type="list" allowBlank="1" showInputMessage="1" showErrorMessage="1" sqref="E370">
      <formula1>"CNY,PHP"</formula1>
    </dataValidation>
    <dataValidation type="list" allowBlank="1" showInputMessage="1" showErrorMessage="1" sqref="H370">
      <formula1>"已核实,不适用"</formula1>
    </dataValidation>
    <dataValidation type="list" allowBlank="1" showInputMessage="1" showErrorMessage="1" sqref="E371">
      <formula1>"CNY,PHP"</formula1>
    </dataValidation>
    <dataValidation type="list" allowBlank="1" showInputMessage="1" showErrorMessage="1" sqref="H371">
      <formula1>"已核实,不适用"</formula1>
    </dataValidation>
    <dataValidation type="list" allowBlank="1" showInputMessage="1" showErrorMessage="1" sqref="E372">
      <formula1>"CNY,PHP"</formula1>
    </dataValidation>
    <dataValidation type="list" allowBlank="1" showInputMessage="1" showErrorMessage="1" sqref="H372">
      <formula1>"已核实,不适用"</formula1>
    </dataValidation>
    <dataValidation type="list" allowBlank="1" showInputMessage="1" showErrorMessage="1" sqref="E373">
      <formula1>"CNY,PHP"</formula1>
    </dataValidation>
    <dataValidation type="list" allowBlank="1" showInputMessage="1" showErrorMessage="1" sqref="H373">
      <formula1>"已核实,不适用"</formula1>
    </dataValidation>
    <dataValidation type="list" allowBlank="1" showInputMessage="1" showErrorMessage="1" sqref="E374">
      <formula1>"CNY,PHP"</formula1>
    </dataValidation>
    <dataValidation type="list" allowBlank="1" showInputMessage="1" showErrorMessage="1" sqref="H374">
      <formula1>"已核实,不适用"</formula1>
    </dataValidation>
    <dataValidation type="list" allowBlank="1" showInputMessage="1" showErrorMessage="1" sqref="E375">
      <formula1>"CNY,PHP"</formula1>
    </dataValidation>
    <dataValidation type="list" allowBlank="1" showInputMessage="1" showErrorMessage="1" sqref="H375">
      <formula1>"已核实,不适用"</formula1>
    </dataValidation>
    <dataValidation type="list" allowBlank="1" showInputMessage="1" showErrorMessage="1" sqref="E376">
      <formula1>"CNY,PHP"</formula1>
    </dataValidation>
    <dataValidation type="list" allowBlank="1" showInputMessage="1" showErrorMessage="1" sqref="H376">
      <formula1>"已核实,不适用,预算"</formula1>
    </dataValidation>
    <dataValidation type="list" allowBlank="1" showInputMessage="1" showErrorMessage="1" sqref="E377">
      <formula1>"CNY,PHP"</formula1>
    </dataValidation>
    <dataValidation type="list" allowBlank="1" showInputMessage="1" showErrorMessage="1" sqref="H377">
      <formula1>"已核实,不适用,预算"</formula1>
    </dataValidation>
    <dataValidation type="list" allowBlank="1" showInputMessage="1" showErrorMessage="1" sqref="E378">
      <formula1>"CNY,PHP"</formula1>
    </dataValidation>
    <dataValidation type="list" allowBlank="1" showInputMessage="1" showErrorMessage="1" sqref="H378">
      <formula1>"已核实,不适用,预算"</formula1>
    </dataValidation>
    <dataValidation type="list" allowBlank="1" showInputMessage="1" showErrorMessage="1" sqref="E379">
      <formula1>"CNY,PHP"</formula1>
    </dataValidation>
    <dataValidation type="list" allowBlank="1" showInputMessage="1" showErrorMessage="1" sqref="H379">
      <formula1>"已核实,不适用"</formula1>
    </dataValidation>
    <dataValidation type="list" allowBlank="1" showInputMessage="1" showErrorMessage="1" sqref="E380">
      <formula1>"CNY,PHP"</formula1>
    </dataValidation>
    <dataValidation type="list" allowBlank="1" showInputMessage="1" showErrorMessage="1" sqref="H380">
      <formula1>"已核实,不适用"</formula1>
    </dataValidation>
    <dataValidation type="list" allowBlank="1" showInputMessage="1" showErrorMessage="1" sqref="E381">
      <formula1>"CNY,PHP"</formula1>
    </dataValidation>
    <dataValidation type="list" allowBlank="1" showInputMessage="1" showErrorMessage="1" sqref="H381">
      <formula1>"已核实,不适用,预算"</formula1>
    </dataValidation>
    <dataValidation type="list" allowBlank="1" showInputMessage="1" showErrorMessage="1" sqref="E382">
      <formula1>"CNY,PHP"</formula1>
    </dataValidation>
    <dataValidation type="list" allowBlank="1" showInputMessage="1" showErrorMessage="1" sqref="H382">
      <formula1>"已核实,不适用,预算"</formula1>
    </dataValidation>
    <dataValidation type="list" allowBlank="1" showInputMessage="1" showErrorMessage="1" sqref="E383">
      <formula1>"CNY,PHP"</formula1>
    </dataValidation>
    <dataValidation type="list" allowBlank="1" showInputMessage="1" showErrorMessage="1" sqref="H383">
      <formula1>"已核实,不适用"</formula1>
    </dataValidation>
    <dataValidation type="list" allowBlank="1" showInputMessage="1" showErrorMessage="1" sqref="E384">
      <formula1>"CNY,PHP"</formula1>
    </dataValidation>
    <dataValidation type="list" allowBlank="1" showInputMessage="1" showErrorMessage="1" sqref="H384">
      <formula1>"已核实,不适用"</formula1>
    </dataValidation>
    <dataValidation type="list" allowBlank="1" showInputMessage="1" showErrorMessage="1" sqref="E385">
      <formula1>"CNY,PHP"</formula1>
    </dataValidation>
    <dataValidation type="list" allowBlank="1" showInputMessage="1" showErrorMessage="1" sqref="H385">
      <formula1>"已核实,不适用"</formula1>
    </dataValidation>
    <dataValidation type="list" allowBlank="1" showInputMessage="1" showErrorMessage="1" sqref="E386">
      <formula1>"CNY,PHP"</formula1>
    </dataValidation>
    <dataValidation type="list" allowBlank="1" showInputMessage="1" showErrorMessage="1" sqref="H386">
      <formula1>"已核实,不适用"</formula1>
    </dataValidation>
    <dataValidation type="list" allowBlank="1" showInputMessage="1" showErrorMessage="1" sqref="E387">
      <formula1>"CNY,PHP"</formula1>
    </dataValidation>
    <dataValidation type="list" allowBlank="1" showInputMessage="1" showErrorMessage="1" sqref="H387">
      <formula1>"已核实,不适用"</formula1>
    </dataValidation>
    <dataValidation type="list" allowBlank="1" showInputMessage="1" showErrorMessage="1" sqref="E388">
      <formula1>"CNY,PHP"</formula1>
    </dataValidation>
    <dataValidation type="list" allowBlank="1" showInputMessage="1" showErrorMessage="1" sqref="H388">
      <formula1>"已核实,不适用"</formula1>
    </dataValidation>
    <dataValidation type="list" allowBlank="1" showInputMessage="1" showErrorMessage="1" sqref="E389">
      <formula1>"CNY,PHP"</formula1>
    </dataValidation>
    <dataValidation type="list" allowBlank="1" showInputMessage="1" showErrorMessage="1" sqref="H389">
      <formula1>"已核实,不适用"</formula1>
    </dataValidation>
    <dataValidation type="list" allowBlank="1" showInputMessage="1" showErrorMessage="1" sqref="E390">
      <formula1>"CNY,PHP"</formula1>
    </dataValidation>
    <dataValidation type="list" allowBlank="1" showInputMessage="1" showErrorMessage="1" sqref="H390">
      <formula1>"已核实,不适用"</formula1>
    </dataValidation>
    <dataValidation type="list" allowBlank="1" showInputMessage="1" showErrorMessage="1" sqref="E391">
      <formula1>"CNY,PHP"</formula1>
    </dataValidation>
    <dataValidation type="list" allowBlank="1" showInputMessage="1" showErrorMessage="1" sqref="H391">
      <formula1>"已核实,不适用"</formula1>
    </dataValidation>
    <dataValidation type="list" allowBlank="1" showInputMessage="1" showErrorMessage="1" sqref="E392">
      <formula1>"CNY,PHP"</formula1>
    </dataValidation>
    <dataValidation type="list" allowBlank="1" showInputMessage="1" showErrorMessage="1" sqref="H392">
      <formula1>"已核实,不适用"</formula1>
    </dataValidation>
    <dataValidation type="list" allowBlank="1" showInputMessage="1" showErrorMessage="1" sqref="E393">
      <formula1>"CNY,PHP"</formula1>
    </dataValidation>
    <dataValidation type="list" allowBlank="1" showInputMessage="1" showErrorMessage="1" sqref="H393">
      <formula1>"已核实,不适用"</formula1>
    </dataValidation>
    <dataValidation type="list" allowBlank="1" showInputMessage="1" showErrorMessage="1" sqref="E394">
      <formula1>"CNY,PHP"</formula1>
    </dataValidation>
    <dataValidation type="list" allowBlank="1" showInputMessage="1" showErrorMessage="1" sqref="H394">
      <formula1>"已核实,不适用,预算"</formula1>
    </dataValidation>
    <dataValidation type="list" allowBlank="1" showInputMessage="1" showErrorMessage="1" sqref="E395">
      <formula1>"CNY,PHP"</formula1>
    </dataValidation>
    <dataValidation type="list" allowBlank="1" showInputMessage="1" showErrorMessage="1" sqref="H395">
      <formula1>"已核实,不适用,预算"</formula1>
    </dataValidation>
    <dataValidation type="list" allowBlank="1" showInputMessage="1" showErrorMessage="1" sqref="E396">
      <formula1>"CNY,PHP"</formula1>
    </dataValidation>
    <dataValidation type="list" allowBlank="1" showInputMessage="1" showErrorMessage="1" sqref="H396">
      <formula1>"已核实,不适用,预算"</formula1>
    </dataValidation>
    <dataValidation type="list" allowBlank="1" showInputMessage="1" showErrorMessage="1" sqref="E397">
      <formula1>"CNY,PHP"</formula1>
    </dataValidation>
    <dataValidation type="list" allowBlank="1" showInputMessage="1" showErrorMessage="1" sqref="H397">
      <formula1>"已核实,不适用"</formula1>
    </dataValidation>
    <dataValidation type="list" allowBlank="1" showInputMessage="1" showErrorMessage="1" sqref="E398">
      <formula1>"CNY,PHP"</formula1>
    </dataValidation>
    <dataValidation type="list" allowBlank="1" showInputMessage="1" showErrorMessage="1" sqref="H398">
      <formula1>"已核实,不适用"</formula1>
    </dataValidation>
    <dataValidation type="list" allowBlank="1" showInputMessage="1" showErrorMessage="1" sqref="E399">
      <formula1>"CNY,PHP"</formula1>
    </dataValidation>
    <dataValidation type="list" allowBlank="1" showInputMessage="1" showErrorMessage="1" sqref="H399">
      <formula1>"已核实,不适用,预算"</formula1>
    </dataValidation>
    <dataValidation type="list" allowBlank="1" showInputMessage="1" showErrorMessage="1" sqref="E400">
      <formula1>"CNY,PHP"</formula1>
    </dataValidation>
    <dataValidation type="list" allowBlank="1" showInputMessage="1" showErrorMessage="1" sqref="H400">
      <formula1>"已核实,不适用,预算"</formula1>
    </dataValidation>
  </dataValidations>
  <pageMargins left="0.7" right="0.7" top="0.75" bottom="0.75" header="0.3" footer="0.3"/>
  <pageSetup paperSize="9" fitToHeight="0" orientation="landscape"/>
  <headerFooter>
    <oddFooter>&amp;L菲律宾选品 · 证据审核&amp;R&amp;P / &amp;N</oddFooter>
  </headerFooter>
</worksheet>
</file>

<file path=xl/worksheets/sheet6.xml><?xml version="1.0" encoding="utf-8"?>
<worksheet xmlns="http://schemas.openxmlformats.org/spreadsheetml/2006/main" xmlns:r="http://schemas.openxmlformats.org/officeDocument/2006/relationships">
  <sheetPr>
    <pageSetUpPr fitToPage="1"/>
  </sheetPr>
  <dimension ref="A1:E14"/>
  <sheetViews>
    <sheetView showGridLines="0" zoomScale="85" zoomScaleNormal="85"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28.7109375" customWidth="1"/>
    <col min="2" max="2" width="90.7109375" customWidth="1"/>
    <col min="3" max="3" width="28.7109375" customWidth="1"/>
    <col min="4" max="4" width="55.7109375" customWidth="1"/>
    <col min="5" max="5" width="60.7109375" customWidth="1"/>
  </cols>
  <sheetData>
    <row r="1" spans="1:5" ht="38" customHeight="1">
      <c r="A1" s="1" t="s">
        <v>543</v>
      </c>
      <c r="B1" s="1"/>
      <c r="C1" s="1"/>
      <c r="D1" s="1"/>
      <c r="E1" s="1"/>
    </row>
    <row r="2" spans="1:5" ht="26" customHeight="1">
      <c r="A2" s="2" t="s">
        <v>544</v>
      </c>
      <c r="B2" s="2"/>
      <c r="C2" s="2"/>
      <c r="D2" s="2"/>
      <c r="E2" s="2"/>
    </row>
    <row r="3" spans="1:5" ht="22" customHeight="1">
      <c r="A3" s="2"/>
      <c r="B3" s="2"/>
      <c r="C3" s="2"/>
      <c r="D3" s="2"/>
      <c r="E3" s="2"/>
    </row>
    <row r="4" spans="1:5" ht="34" customHeight="1">
      <c r="A4" s="4" t="s">
        <v>545</v>
      </c>
      <c r="B4" s="4" t="s">
        <v>546</v>
      </c>
      <c r="C4" s="4" t="s">
        <v>547</v>
      </c>
      <c r="D4" s="4" t="s">
        <v>501</v>
      </c>
      <c r="E4" s="4" t="s">
        <v>548</v>
      </c>
    </row>
    <row r="5" spans="1:5" ht="80" customHeight="1">
      <c r="A5" s="5" t="s">
        <v>549</v>
      </c>
      <c r="B5" s="5" t="s">
        <v>550</v>
      </c>
      <c r="C5" s="5" t="s">
        <v>551</v>
      </c>
      <c r="D5" s="5" t="s">
        <v>552</v>
      </c>
      <c r="E5" s="5" t="s">
        <v>553</v>
      </c>
    </row>
    <row r="6" spans="1:5" ht="80" customHeight="1">
      <c r="A6" s="5" t="s">
        <v>554</v>
      </c>
      <c r="B6" s="5" t="s">
        <v>555</v>
      </c>
      <c r="C6" s="5" t="s">
        <v>551</v>
      </c>
      <c r="D6" s="5" t="s">
        <v>556</v>
      </c>
      <c r="E6" s="5" t="s">
        <v>557</v>
      </c>
    </row>
    <row r="7" spans="1:5" ht="80" customHeight="1">
      <c r="A7" s="5" t="s">
        <v>558</v>
      </c>
      <c r="B7" s="5" t="s">
        <v>559</v>
      </c>
      <c r="C7" s="5" t="s">
        <v>560</v>
      </c>
      <c r="D7" s="5" t="s">
        <v>561</v>
      </c>
      <c r="E7" s="5" t="s">
        <v>562</v>
      </c>
    </row>
    <row r="8" spans="1:5" ht="80" customHeight="1">
      <c r="A8" s="5" t="s">
        <v>563</v>
      </c>
      <c r="B8" s="5" t="s">
        <v>564</v>
      </c>
      <c r="C8" s="5" t="s">
        <v>565</v>
      </c>
      <c r="D8" s="5" t="s">
        <v>566</v>
      </c>
      <c r="E8" s="5" t="s">
        <v>567</v>
      </c>
    </row>
    <row r="9" spans="1:5" ht="80" customHeight="1">
      <c r="A9" s="5" t="s">
        <v>568</v>
      </c>
      <c r="B9" s="5" t="s">
        <v>569</v>
      </c>
      <c r="C9" s="5" t="s">
        <v>570</v>
      </c>
      <c r="D9" s="5" t="s">
        <v>571</v>
      </c>
      <c r="E9" s="5" t="s">
        <v>572</v>
      </c>
    </row>
    <row r="10" spans="1:5" ht="80" customHeight="1">
      <c r="A10" s="5" t="s">
        <v>573</v>
      </c>
      <c r="B10" s="5" t="s">
        <v>574</v>
      </c>
      <c r="C10" s="5" t="s">
        <v>575</v>
      </c>
      <c r="D10" s="5" t="s">
        <v>576</v>
      </c>
      <c r="E10" s="5" t="s">
        <v>577</v>
      </c>
    </row>
    <row r="11" spans="1:5" ht="80" customHeight="1">
      <c r="A11" s="5" t="s">
        <v>578</v>
      </c>
      <c r="B11" s="5" t="s">
        <v>579</v>
      </c>
      <c r="C11" s="5" t="s">
        <v>580</v>
      </c>
      <c r="D11" s="5" t="s">
        <v>581</v>
      </c>
      <c r="E11" s="5" t="s">
        <v>582</v>
      </c>
    </row>
    <row r="12" spans="1:5" ht="80" customHeight="1">
      <c r="A12" s="5" t="s">
        <v>583</v>
      </c>
      <c r="B12" s="5" t="s">
        <v>584</v>
      </c>
      <c r="C12" s="5" t="s">
        <v>585</v>
      </c>
      <c r="D12" s="5" t="s">
        <v>586</v>
      </c>
      <c r="E12" s="5" t="s">
        <v>587</v>
      </c>
    </row>
    <row r="13" spans="1:5" ht="80" customHeight="1">
      <c r="A13" s="5" t="s">
        <v>588</v>
      </c>
      <c r="B13" s="5" t="s">
        <v>589</v>
      </c>
      <c r="C13" s="5" t="s">
        <v>590</v>
      </c>
      <c r="D13" s="5" t="s">
        <v>591</v>
      </c>
      <c r="E13" s="5" t="s">
        <v>592</v>
      </c>
    </row>
    <row r="14" spans="1:5" ht="80" customHeight="1">
      <c r="A14" s="5" t="s">
        <v>593</v>
      </c>
      <c r="B14" s="5" t="s">
        <v>594</v>
      </c>
      <c r="C14" s="5" t="s">
        <v>595</v>
      </c>
      <c r="D14" s="5" t="s">
        <v>596</v>
      </c>
      <c r="E14" s="5" t="s">
        <v>597</v>
      </c>
    </row>
  </sheetData>
  <autoFilter ref="A4:E14"/>
  <mergeCells count="2">
    <mergeCell ref="A1:E1"/>
    <mergeCell ref="A2:E3"/>
  </mergeCells>
  <pageMargins left="0.7" right="0.7" top="0.75" bottom="0.75" header="0.3" footer="0.3"/>
  <pageSetup paperSize="9" fitToHeight="0" orientation="landscape"/>
  <headerFooter>
    <oddFooter>&amp;L菲律宾选品 · 证据审核&amp;R&amp;P / &amp;N</oddFooter>
  </headerFooter>
</worksheet>
</file>

<file path=xl/worksheets/sheet7.xml><?xml version="1.0" encoding="utf-8"?>
<worksheet xmlns="http://schemas.openxmlformats.org/spreadsheetml/2006/main" xmlns:r="http://schemas.openxmlformats.org/officeDocument/2006/relationships">
  <sheetPr>
    <pageSetUpPr fitToPage="1"/>
  </sheetPr>
  <dimension ref="A1:L604"/>
  <sheetViews>
    <sheetView showGridLines="0" zoomScale="85" zoomScaleNormal="85"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22.7109375" customWidth="1"/>
    <col min="2" max="2" width="25.7109375" customWidth="1"/>
    <col min="3" max="3" width="22.7109375" customWidth="1"/>
    <col min="4" max="4" width="60.7109375" customWidth="1"/>
    <col min="5" max="5" width="35.7109375" customWidth="1"/>
    <col min="6" max="10" width="22.7109375" customWidth="1"/>
    <col min="11" max="11" width="50.7109375" customWidth="1"/>
    <col min="12" max="12" width="65.7109375" customWidth="1"/>
  </cols>
  <sheetData>
    <row r="1" spans="1:12" ht="38" customHeight="1">
      <c r="A1" s="1" t="s">
        <v>598</v>
      </c>
      <c r="B1" s="1"/>
      <c r="C1" s="1"/>
      <c r="D1" s="1"/>
      <c r="E1" s="1"/>
      <c r="F1" s="1"/>
      <c r="G1" s="1"/>
      <c r="H1" s="1"/>
      <c r="I1" s="1"/>
      <c r="J1" s="1"/>
      <c r="K1" s="1"/>
      <c r="L1" s="1"/>
    </row>
    <row r="2" spans="1:12" ht="26" customHeight="1">
      <c r="A2" s="2" t="s">
        <v>599</v>
      </c>
      <c r="B2" s="2"/>
      <c r="C2" s="2"/>
      <c r="D2" s="2"/>
      <c r="E2" s="2"/>
      <c r="F2" s="2"/>
      <c r="G2" s="2"/>
      <c r="H2" s="2"/>
      <c r="I2" s="2"/>
      <c r="J2" s="2"/>
      <c r="K2" s="2"/>
      <c r="L2" s="2"/>
    </row>
    <row r="3" spans="1:12" ht="22" customHeight="1">
      <c r="A3" s="2"/>
      <c r="B3" s="2"/>
      <c r="C3" s="2"/>
      <c r="D3" s="2"/>
      <c r="E3" s="2"/>
      <c r="F3" s="2"/>
      <c r="G3" s="2"/>
      <c r="H3" s="2"/>
      <c r="I3" s="2"/>
      <c r="J3" s="2"/>
      <c r="K3" s="2"/>
      <c r="L3" s="2"/>
    </row>
    <row r="4" spans="1:12" ht="34" customHeight="1">
      <c r="A4" s="4" t="s">
        <v>600</v>
      </c>
      <c r="B4" s="4" t="s">
        <v>601</v>
      </c>
      <c r="C4" s="4" t="s">
        <v>602</v>
      </c>
      <c r="D4" s="4" t="s">
        <v>603</v>
      </c>
      <c r="E4" s="4" t="s">
        <v>604</v>
      </c>
      <c r="F4" s="4" t="s">
        <v>605</v>
      </c>
      <c r="G4" s="4" t="s">
        <v>606</v>
      </c>
      <c r="H4" s="4" t="s">
        <v>607</v>
      </c>
      <c r="I4" s="4" t="s">
        <v>608</v>
      </c>
      <c r="J4" s="4" t="s">
        <v>609</v>
      </c>
      <c r="K4" s="4" t="s">
        <v>610</v>
      </c>
      <c r="L4" s="4" t="s">
        <v>244</v>
      </c>
    </row>
    <row r="5" spans="1:12" ht="65" customHeight="1">
      <c r="A5" s="5" t="s">
        <v>611</v>
      </c>
      <c r="B5" s="5" t="s">
        <v>612</v>
      </c>
      <c r="C5" s="5" t="s">
        <v>613</v>
      </c>
      <c r="D5" s="5" t="s">
        <v>614</v>
      </c>
      <c r="E5" s="5" t="s">
        <v>615</v>
      </c>
      <c r="F5" s="5">
        <v>0.08</v>
      </c>
      <c r="G5" s="5">
        <v>1</v>
      </c>
      <c r="H5" s="5" t="s">
        <v>616</v>
      </c>
      <c r="I5" s="5">
        <v>94269943</v>
      </c>
      <c r="J5" s="5" t="s">
        <v>617</v>
      </c>
      <c r="K5" s="7" t="s">
        <v>618</v>
      </c>
      <c r="L5" s="5" t="s">
        <v>619</v>
      </c>
    </row>
    <row r="6" spans="1:12" ht="65" customHeight="1">
      <c r="A6" s="5" t="s">
        <v>611</v>
      </c>
      <c r="B6" s="5" t="s">
        <v>612</v>
      </c>
      <c r="C6" s="5" t="s">
        <v>620</v>
      </c>
      <c r="D6" s="5" t="s">
        <v>621</v>
      </c>
      <c r="E6" s="5" t="s">
        <v>622</v>
      </c>
      <c r="F6" s="5">
        <v>3.4</v>
      </c>
      <c r="G6" s="5">
        <v>2</v>
      </c>
      <c r="H6" s="5" t="s">
        <v>623</v>
      </c>
      <c r="I6" s="5">
        <v>85486</v>
      </c>
      <c r="J6" s="5" t="s">
        <v>617</v>
      </c>
      <c r="K6" s="7" t="s">
        <v>624</v>
      </c>
      <c r="L6" s="5" t="s">
        <v>625</v>
      </c>
    </row>
    <row r="7" spans="1:12" ht="65" customHeight="1">
      <c r="A7" s="5" t="s">
        <v>611</v>
      </c>
      <c r="B7" s="5" t="s">
        <v>612</v>
      </c>
      <c r="C7" s="5" t="s">
        <v>626</v>
      </c>
      <c r="D7" s="5" t="s">
        <v>627</v>
      </c>
      <c r="E7" s="5" t="s">
        <v>628</v>
      </c>
      <c r="F7" s="5">
        <v>0.9</v>
      </c>
      <c r="G7" s="5">
        <v>200</v>
      </c>
      <c r="H7" s="5" t="s">
        <v>616</v>
      </c>
      <c r="I7" s="5">
        <v>962040</v>
      </c>
      <c r="J7" s="5" t="s">
        <v>617</v>
      </c>
      <c r="K7" s="7" t="s">
        <v>629</v>
      </c>
      <c r="L7" s="5" t="s">
        <v>630</v>
      </c>
    </row>
    <row r="8" spans="1:12" ht="65" customHeight="1">
      <c r="A8" s="5" t="s">
        <v>611</v>
      </c>
      <c r="B8" s="5" t="s">
        <v>612</v>
      </c>
      <c r="C8" s="5" t="s">
        <v>631</v>
      </c>
      <c r="D8" s="5" t="s">
        <v>632</v>
      </c>
      <c r="E8" s="5" t="s">
        <v>633</v>
      </c>
      <c r="F8" s="5">
        <v>4.73</v>
      </c>
      <c r="G8" s="5">
        <v>5</v>
      </c>
      <c r="H8" s="5" t="s">
        <v>623</v>
      </c>
      <c r="I8" s="5">
        <v>3292</v>
      </c>
      <c r="J8" s="5" t="s">
        <v>617</v>
      </c>
      <c r="K8" s="7" t="s">
        <v>634</v>
      </c>
      <c r="L8" s="5" t="s">
        <v>635</v>
      </c>
    </row>
    <row r="9" spans="1:12" ht="65" customHeight="1">
      <c r="A9" s="5" t="s">
        <v>611</v>
      </c>
      <c r="B9" s="5" t="s">
        <v>612</v>
      </c>
      <c r="C9" s="5" t="s">
        <v>636</v>
      </c>
      <c r="D9" s="5" t="s">
        <v>637</v>
      </c>
      <c r="E9" s="5" t="s">
        <v>638</v>
      </c>
      <c r="F9" s="5">
        <v>0.01</v>
      </c>
      <c r="G9" s="5">
        <v>1</v>
      </c>
      <c r="H9" s="5" t="s">
        <v>616</v>
      </c>
      <c r="I9" s="5">
        <v>18483009</v>
      </c>
      <c r="J9" s="5" t="s">
        <v>617</v>
      </c>
      <c r="K9" s="7" t="s">
        <v>639</v>
      </c>
      <c r="L9" s="5" t="s">
        <v>640</v>
      </c>
    </row>
    <row r="10" spans="1:12" ht="65" customHeight="1">
      <c r="A10" s="5" t="s">
        <v>611</v>
      </c>
      <c r="B10" s="5" t="s">
        <v>612</v>
      </c>
      <c r="C10" s="5" t="s">
        <v>641</v>
      </c>
      <c r="D10" s="5" t="s">
        <v>642</v>
      </c>
      <c r="E10" s="5" t="s">
        <v>643</v>
      </c>
      <c r="F10" s="5">
        <v>0.6</v>
      </c>
      <c r="G10" s="5">
        <v>1</v>
      </c>
      <c r="H10" s="5" t="s">
        <v>623</v>
      </c>
      <c r="I10" s="5">
        <v>783544</v>
      </c>
      <c r="J10" s="5" t="s">
        <v>617</v>
      </c>
      <c r="K10" s="7" t="s">
        <v>62</v>
      </c>
      <c r="L10" s="5" t="s">
        <v>268</v>
      </c>
    </row>
    <row r="11" spans="1:12" ht="65" customHeight="1">
      <c r="A11" s="5" t="s">
        <v>611</v>
      </c>
      <c r="B11" s="5" t="s">
        <v>612</v>
      </c>
      <c r="C11" s="5" t="s">
        <v>644</v>
      </c>
      <c r="D11" s="5" t="s">
        <v>645</v>
      </c>
      <c r="E11" s="5" t="s">
        <v>646</v>
      </c>
      <c r="F11" s="5">
        <v>1.58</v>
      </c>
      <c r="G11" s="5">
        <v>1</v>
      </c>
      <c r="H11" s="5" t="s">
        <v>623</v>
      </c>
      <c r="I11" s="5">
        <v>253769</v>
      </c>
      <c r="J11" s="5" t="s">
        <v>617</v>
      </c>
      <c r="K11" s="7" t="s">
        <v>647</v>
      </c>
      <c r="L11" s="5" t="s">
        <v>648</v>
      </c>
    </row>
    <row r="12" spans="1:12" ht="65" customHeight="1">
      <c r="A12" s="5" t="s">
        <v>611</v>
      </c>
      <c r="B12" s="5" t="s">
        <v>612</v>
      </c>
      <c r="C12" s="5" t="s">
        <v>649</v>
      </c>
      <c r="D12" s="5" t="s">
        <v>650</v>
      </c>
      <c r="E12" s="5" t="s">
        <v>651</v>
      </c>
      <c r="F12" s="5">
        <v>1.1</v>
      </c>
      <c r="G12" s="5">
        <v>1</v>
      </c>
      <c r="H12" s="5" t="s">
        <v>623</v>
      </c>
      <c r="I12" s="5">
        <v>127117930</v>
      </c>
      <c r="J12" s="5" t="s">
        <v>617</v>
      </c>
      <c r="K12" s="7" t="s">
        <v>652</v>
      </c>
      <c r="L12" s="5" t="s">
        <v>653</v>
      </c>
    </row>
    <row r="13" spans="1:12" ht="65" customHeight="1">
      <c r="A13" s="5" t="s">
        <v>611</v>
      </c>
      <c r="B13" s="5" t="s">
        <v>612</v>
      </c>
      <c r="C13" s="5" t="s">
        <v>654</v>
      </c>
      <c r="D13" s="5" t="s">
        <v>655</v>
      </c>
      <c r="E13" s="5" t="s">
        <v>656</v>
      </c>
      <c r="F13" s="5">
        <v>0</v>
      </c>
      <c r="G13" s="5">
        <v>1</v>
      </c>
      <c r="H13" s="5" t="s">
        <v>616</v>
      </c>
      <c r="I13" s="5">
        <v>0</v>
      </c>
      <c r="J13" s="5" t="s">
        <v>657</v>
      </c>
      <c r="K13" s="7" t="s">
        <v>658</v>
      </c>
      <c r="L13" s="5" t="s">
        <v>659</v>
      </c>
    </row>
    <row r="14" spans="1:12" ht="65" customHeight="1">
      <c r="A14" s="5" t="s">
        <v>611</v>
      </c>
      <c r="B14" s="5" t="s">
        <v>612</v>
      </c>
      <c r="C14" s="5" t="s">
        <v>660</v>
      </c>
      <c r="D14" s="5" t="s">
        <v>661</v>
      </c>
      <c r="E14" s="5" t="s">
        <v>662</v>
      </c>
      <c r="F14" s="5">
        <v>0</v>
      </c>
      <c r="G14" s="5">
        <v>0</v>
      </c>
      <c r="H14" s="5" t="s">
        <v>616</v>
      </c>
      <c r="I14" s="5">
        <v>0</v>
      </c>
      <c r="J14" s="5" t="s">
        <v>657</v>
      </c>
      <c r="K14" s="7" t="s">
        <v>663</v>
      </c>
      <c r="L14" s="5" t="s">
        <v>664</v>
      </c>
    </row>
    <row r="15" spans="1:12" ht="65" customHeight="1">
      <c r="A15" s="5" t="s">
        <v>611</v>
      </c>
      <c r="B15" s="5" t="s">
        <v>612</v>
      </c>
      <c r="C15" s="5" t="s">
        <v>665</v>
      </c>
      <c r="D15" s="5" t="s">
        <v>666</v>
      </c>
      <c r="E15" s="5" t="s">
        <v>667</v>
      </c>
      <c r="F15" s="5">
        <v>0</v>
      </c>
      <c r="G15" s="5">
        <v>1</v>
      </c>
      <c r="H15" s="5" t="s">
        <v>616</v>
      </c>
      <c r="I15" s="5">
        <v>0</v>
      </c>
      <c r="J15" s="5" t="s">
        <v>657</v>
      </c>
      <c r="K15" s="7" t="s">
        <v>668</v>
      </c>
      <c r="L15" s="5" t="s">
        <v>669</v>
      </c>
    </row>
    <row r="16" spans="1:12" ht="65" customHeight="1">
      <c r="A16" s="5" t="s">
        <v>611</v>
      </c>
      <c r="B16" s="5" t="s">
        <v>612</v>
      </c>
      <c r="C16" s="5" t="s">
        <v>670</v>
      </c>
      <c r="D16" s="5" t="s">
        <v>671</v>
      </c>
      <c r="E16" s="5" t="s">
        <v>672</v>
      </c>
      <c r="F16" s="5">
        <v>1.5</v>
      </c>
      <c r="G16" s="5">
        <v>1</v>
      </c>
      <c r="H16" s="5" t="s">
        <v>616</v>
      </c>
      <c r="I16" s="5">
        <v>6477433</v>
      </c>
      <c r="J16" s="5" t="s">
        <v>617</v>
      </c>
      <c r="K16" s="7" t="s">
        <v>673</v>
      </c>
      <c r="L16" s="5" t="s">
        <v>674</v>
      </c>
    </row>
    <row r="17" spans="1:12" ht="65" customHeight="1">
      <c r="A17" s="5" t="s">
        <v>611</v>
      </c>
      <c r="B17" s="5" t="s">
        <v>612</v>
      </c>
      <c r="C17" s="5" t="s">
        <v>675</v>
      </c>
      <c r="D17" s="5" t="s">
        <v>676</v>
      </c>
      <c r="E17" s="5" t="s">
        <v>677</v>
      </c>
      <c r="F17" s="5">
        <v>0</v>
      </c>
      <c r="G17" s="5">
        <v>1</v>
      </c>
      <c r="H17" s="5" t="s">
        <v>616</v>
      </c>
      <c r="I17" s="5">
        <v>0</v>
      </c>
      <c r="J17" s="5" t="s">
        <v>657</v>
      </c>
      <c r="K17" s="7" t="s">
        <v>678</v>
      </c>
      <c r="L17" s="5" t="s">
        <v>679</v>
      </c>
    </row>
    <row r="18" spans="1:12" ht="65" customHeight="1">
      <c r="A18" s="5" t="s">
        <v>611</v>
      </c>
      <c r="B18" s="5" t="s">
        <v>612</v>
      </c>
      <c r="C18" s="5" t="s">
        <v>680</v>
      </c>
      <c r="D18" s="5" t="s">
        <v>681</v>
      </c>
      <c r="E18" s="5" t="s">
        <v>682</v>
      </c>
      <c r="F18" s="5">
        <v>0</v>
      </c>
      <c r="G18" s="5">
        <v>1</v>
      </c>
      <c r="H18" s="5" t="s">
        <v>616</v>
      </c>
      <c r="I18" s="5">
        <v>0</v>
      </c>
      <c r="J18" s="5" t="s">
        <v>657</v>
      </c>
      <c r="K18" s="7" t="s">
        <v>683</v>
      </c>
      <c r="L18" s="5" t="s">
        <v>684</v>
      </c>
    </row>
    <row r="19" spans="1:12" ht="65" customHeight="1">
      <c r="A19" s="5" t="s">
        <v>611</v>
      </c>
      <c r="B19" s="5" t="s">
        <v>612</v>
      </c>
      <c r="C19" s="5" t="s">
        <v>685</v>
      </c>
      <c r="D19" s="5" t="s">
        <v>686</v>
      </c>
      <c r="E19" s="5" t="s">
        <v>687</v>
      </c>
      <c r="F19" s="5">
        <v>1</v>
      </c>
      <c r="G19" s="5">
        <v>1</v>
      </c>
      <c r="H19" s="5" t="s">
        <v>616</v>
      </c>
      <c r="I19" s="5">
        <v>6515111</v>
      </c>
      <c r="J19" s="5" t="s">
        <v>617</v>
      </c>
      <c r="K19" s="7" t="s">
        <v>688</v>
      </c>
      <c r="L19" s="5" t="s">
        <v>689</v>
      </c>
    </row>
    <row r="20" spans="1:12" ht="65" customHeight="1">
      <c r="A20" s="5" t="s">
        <v>611</v>
      </c>
      <c r="B20" s="5" t="s">
        <v>612</v>
      </c>
      <c r="C20" s="5" t="s">
        <v>690</v>
      </c>
      <c r="D20" s="5" t="s">
        <v>691</v>
      </c>
      <c r="E20" s="5" t="s">
        <v>692</v>
      </c>
      <c r="F20" s="5">
        <v>0</v>
      </c>
      <c r="G20" s="5">
        <v>0</v>
      </c>
      <c r="H20" s="5" t="s">
        <v>616</v>
      </c>
      <c r="I20" s="5">
        <v>0</v>
      </c>
      <c r="J20" s="5" t="s">
        <v>657</v>
      </c>
      <c r="K20" s="7" t="s">
        <v>693</v>
      </c>
      <c r="L20" s="5" t="s">
        <v>694</v>
      </c>
    </row>
    <row r="21" spans="1:12" ht="65" customHeight="1">
      <c r="A21" s="5" t="s">
        <v>611</v>
      </c>
      <c r="B21" s="5" t="s">
        <v>612</v>
      </c>
      <c r="C21" s="5" t="s">
        <v>695</v>
      </c>
      <c r="D21" s="5" t="s">
        <v>696</v>
      </c>
      <c r="E21" s="5" t="s">
        <v>697</v>
      </c>
      <c r="F21" s="5">
        <v>0.6</v>
      </c>
      <c r="G21" s="5">
        <v>2</v>
      </c>
      <c r="H21" s="5" t="s">
        <v>623</v>
      </c>
      <c r="I21" s="5">
        <v>545255</v>
      </c>
      <c r="J21" s="5" t="s">
        <v>617</v>
      </c>
      <c r="K21" s="7" t="s">
        <v>698</v>
      </c>
      <c r="L21" s="5" t="s">
        <v>699</v>
      </c>
    </row>
    <row r="22" spans="1:12" ht="65" customHeight="1">
      <c r="A22" s="5" t="s">
        <v>611</v>
      </c>
      <c r="B22" s="5" t="s">
        <v>612</v>
      </c>
      <c r="C22" s="5" t="s">
        <v>700</v>
      </c>
      <c r="D22" s="5" t="s">
        <v>701</v>
      </c>
      <c r="E22" s="6"/>
      <c r="F22" s="5">
        <v>0</v>
      </c>
      <c r="G22" s="5">
        <v>0</v>
      </c>
      <c r="H22" s="5" t="s">
        <v>616</v>
      </c>
      <c r="I22" s="5">
        <v>0</v>
      </c>
      <c r="J22" s="5" t="s">
        <v>657</v>
      </c>
      <c r="K22" s="7" t="s">
        <v>702</v>
      </c>
      <c r="L22" s="5" t="s">
        <v>703</v>
      </c>
    </row>
    <row r="23" spans="1:12" ht="65" customHeight="1">
      <c r="A23" s="5" t="s">
        <v>611</v>
      </c>
      <c r="B23" s="5" t="s">
        <v>612</v>
      </c>
      <c r="C23" s="5" t="s">
        <v>704</v>
      </c>
      <c r="D23" s="5" t="s">
        <v>705</v>
      </c>
      <c r="E23" s="5" t="s">
        <v>706</v>
      </c>
      <c r="F23" s="5">
        <v>0.6</v>
      </c>
      <c r="G23" s="5">
        <v>5</v>
      </c>
      <c r="H23" s="5" t="s">
        <v>623</v>
      </c>
      <c r="I23" s="5">
        <v>4043533</v>
      </c>
      <c r="J23" s="5" t="s">
        <v>617</v>
      </c>
      <c r="K23" s="7" t="s">
        <v>707</v>
      </c>
      <c r="L23" s="5" t="s">
        <v>708</v>
      </c>
    </row>
    <row r="24" spans="1:12" ht="65" customHeight="1">
      <c r="A24" s="5" t="s">
        <v>611</v>
      </c>
      <c r="B24" s="5" t="s">
        <v>612</v>
      </c>
      <c r="C24" s="5" t="s">
        <v>709</v>
      </c>
      <c r="D24" s="5" t="s">
        <v>710</v>
      </c>
      <c r="E24" s="5" t="s">
        <v>711</v>
      </c>
      <c r="F24" s="5">
        <v>0</v>
      </c>
      <c r="G24" s="5">
        <v>1</v>
      </c>
      <c r="H24" s="5" t="s">
        <v>616</v>
      </c>
      <c r="I24" s="5">
        <v>0</v>
      </c>
      <c r="J24" s="5" t="s">
        <v>657</v>
      </c>
      <c r="K24" s="7" t="s">
        <v>712</v>
      </c>
      <c r="L24" s="5" t="s">
        <v>713</v>
      </c>
    </row>
    <row r="25" spans="1:12" ht="65" customHeight="1">
      <c r="A25" s="5" t="s">
        <v>611</v>
      </c>
      <c r="B25" s="5" t="s">
        <v>612</v>
      </c>
      <c r="C25" s="5" t="s">
        <v>714</v>
      </c>
      <c r="D25" s="5" t="s">
        <v>715</v>
      </c>
      <c r="E25" s="5" t="s">
        <v>716</v>
      </c>
      <c r="F25" s="5">
        <v>0</v>
      </c>
      <c r="G25" s="5">
        <v>1</v>
      </c>
      <c r="H25" s="5" t="s">
        <v>616</v>
      </c>
      <c r="I25" s="5">
        <v>0</v>
      </c>
      <c r="J25" s="5" t="s">
        <v>657</v>
      </c>
      <c r="K25" s="7" t="s">
        <v>717</v>
      </c>
      <c r="L25" s="5" t="s">
        <v>718</v>
      </c>
    </row>
    <row r="26" spans="1:12" ht="65" customHeight="1">
      <c r="A26" s="5" t="s">
        <v>611</v>
      </c>
      <c r="B26" s="5" t="s">
        <v>612</v>
      </c>
      <c r="C26" s="5" t="s">
        <v>719</v>
      </c>
      <c r="D26" s="5" t="s">
        <v>720</v>
      </c>
      <c r="E26" s="5" t="s">
        <v>721</v>
      </c>
      <c r="F26" s="5">
        <v>0</v>
      </c>
      <c r="G26" s="5">
        <v>1</v>
      </c>
      <c r="H26" s="5" t="s">
        <v>616</v>
      </c>
      <c r="I26" s="5">
        <v>0</v>
      </c>
      <c r="J26" s="5" t="s">
        <v>657</v>
      </c>
      <c r="K26" s="7" t="s">
        <v>722</v>
      </c>
      <c r="L26" s="5" t="s">
        <v>723</v>
      </c>
    </row>
    <row r="27" spans="1:12" ht="65" customHeight="1">
      <c r="A27" s="5" t="s">
        <v>611</v>
      </c>
      <c r="B27" s="5" t="s">
        <v>612</v>
      </c>
      <c r="C27" s="5" t="s">
        <v>724</v>
      </c>
      <c r="D27" s="5" t="s">
        <v>725</v>
      </c>
      <c r="E27" s="5" t="s">
        <v>726</v>
      </c>
      <c r="F27" s="5">
        <v>0</v>
      </c>
      <c r="G27" s="5">
        <v>1</v>
      </c>
      <c r="H27" s="5" t="s">
        <v>616</v>
      </c>
      <c r="I27" s="5">
        <v>0</v>
      </c>
      <c r="J27" s="5" t="s">
        <v>657</v>
      </c>
      <c r="K27" s="7" t="s">
        <v>727</v>
      </c>
      <c r="L27" s="5" t="s">
        <v>728</v>
      </c>
    </row>
    <row r="28" spans="1:12" ht="65" customHeight="1">
      <c r="A28" s="5" t="s">
        <v>611</v>
      </c>
      <c r="B28" s="5" t="s">
        <v>612</v>
      </c>
      <c r="C28" s="5" t="s">
        <v>729</v>
      </c>
      <c r="D28" s="5" t="s">
        <v>730</v>
      </c>
      <c r="E28" s="5" t="s">
        <v>731</v>
      </c>
      <c r="F28" s="5">
        <v>0</v>
      </c>
      <c r="G28" s="5">
        <v>2</v>
      </c>
      <c r="H28" s="5" t="s">
        <v>616</v>
      </c>
      <c r="I28" s="5">
        <v>0</v>
      </c>
      <c r="J28" s="5" t="s">
        <v>657</v>
      </c>
      <c r="K28" s="7" t="s">
        <v>732</v>
      </c>
      <c r="L28" s="5" t="s">
        <v>733</v>
      </c>
    </row>
    <row r="29" spans="1:12" ht="65" customHeight="1">
      <c r="A29" s="5" t="s">
        <v>611</v>
      </c>
      <c r="B29" s="5" t="s">
        <v>612</v>
      </c>
      <c r="C29" s="5" t="s">
        <v>734</v>
      </c>
      <c r="D29" s="5" t="s">
        <v>735</v>
      </c>
      <c r="E29" s="5" t="s">
        <v>736</v>
      </c>
      <c r="F29" s="5">
        <v>0.6</v>
      </c>
      <c r="G29" s="5">
        <v>1</v>
      </c>
      <c r="H29" s="5" t="s">
        <v>623</v>
      </c>
      <c r="I29" s="5">
        <v>10228962</v>
      </c>
      <c r="J29" s="5" t="s">
        <v>617</v>
      </c>
      <c r="K29" s="7" t="s">
        <v>737</v>
      </c>
      <c r="L29" s="5" t="s">
        <v>738</v>
      </c>
    </row>
    <row r="30" spans="1:12" ht="65" customHeight="1">
      <c r="A30" s="5" t="s">
        <v>611</v>
      </c>
      <c r="B30" s="5" t="s">
        <v>612</v>
      </c>
      <c r="C30" s="5" t="s">
        <v>739</v>
      </c>
      <c r="D30" s="5" t="s">
        <v>740</v>
      </c>
      <c r="E30" s="5" t="s">
        <v>741</v>
      </c>
      <c r="F30" s="5">
        <v>0</v>
      </c>
      <c r="G30" s="5">
        <v>1</v>
      </c>
      <c r="H30" s="5" t="s">
        <v>616</v>
      </c>
      <c r="I30" s="5">
        <v>0</v>
      </c>
      <c r="J30" s="5" t="s">
        <v>657</v>
      </c>
      <c r="K30" s="7" t="s">
        <v>742</v>
      </c>
      <c r="L30" s="5" t="s">
        <v>743</v>
      </c>
    </row>
    <row r="31" spans="1:12" ht="65" customHeight="1">
      <c r="A31" s="5" t="s">
        <v>611</v>
      </c>
      <c r="B31" s="5" t="s">
        <v>612</v>
      </c>
      <c r="C31" s="5" t="s">
        <v>744</v>
      </c>
      <c r="D31" s="5" t="s">
        <v>745</v>
      </c>
      <c r="E31" s="5" t="s">
        <v>746</v>
      </c>
      <c r="F31" s="5">
        <v>0</v>
      </c>
      <c r="G31" s="5">
        <v>1</v>
      </c>
      <c r="H31" s="5" t="s">
        <v>616</v>
      </c>
      <c r="I31" s="5">
        <v>0</v>
      </c>
      <c r="J31" s="5" t="s">
        <v>657</v>
      </c>
      <c r="K31" s="7" t="s">
        <v>747</v>
      </c>
      <c r="L31" s="5" t="s">
        <v>748</v>
      </c>
    </row>
    <row r="32" spans="1:12" ht="65" customHeight="1">
      <c r="A32" s="5" t="s">
        <v>611</v>
      </c>
      <c r="B32" s="5" t="s">
        <v>612</v>
      </c>
      <c r="C32" s="5" t="s">
        <v>749</v>
      </c>
      <c r="D32" s="5" t="s">
        <v>750</v>
      </c>
      <c r="E32" s="5" t="s">
        <v>751</v>
      </c>
      <c r="F32" s="5">
        <v>0</v>
      </c>
      <c r="G32" s="5">
        <v>1</v>
      </c>
      <c r="H32" s="5" t="s">
        <v>616</v>
      </c>
      <c r="I32" s="5">
        <v>0</v>
      </c>
      <c r="J32" s="5" t="s">
        <v>657</v>
      </c>
      <c r="K32" s="7" t="s">
        <v>752</v>
      </c>
      <c r="L32" s="5" t="s">
        <v>753</v>
      </c>
    </row>
    <row r="33" spans="1:12" ht="65" customHeight="1">
      <c r="A33" s="5" t="s">
        <v>611</v>
      </c>
      <c r="B33" s="5" t="s">
        <v>612</v>
      </c>
      <c r="C33" s="5" t="s">
        <v>754</v>
      </c>
      <c r="D33" s="5" t="s">
        <v>755</v>
      </c>
      <c r="E33" s="5" t="s">
        <v>756</v>
      </c>
      <c r="F33" s="5">
        <v>1.05</v>
      </c>
      <c r="G33" s="5">
        <v>2</v>
      </c>
      <c r="H33" s="5" t="s">
        <v>616</v>
      </c>
      <c r="I33" s="5">
        <v>0</v>
      </c>
      <c r="J33" s="5" t="s">
        <v>617</v>
      </c>
      <c r="K33" s="7" t="s">
        <v>757</v>
      </c>
      <c r="L33" s="5" t="s">
        <v>758</v>
      </c>
    </row>
    <row r="34" spans="1:12" ht="65" customHeight="1">
      <c r="A34" s="5" t="s">
        <v>611</v>
      </c>
      <c r="B34" s="5" t="s">
        <v>612</v>
      </c>
      <c r="C34" s="5" t="s">
        <v>759</v>
      </c>
      <c r="D34" s="5" t="s">
        <v>760</v>
      </c>
      <c r="E34" s="5" t="s">
        <v>761</v>
      </c>
      <c r="F34" s="5">
        <v>0</v>
      </c>
      <c r="G34" s="5">
        <v>0</v>
      </c>
      <c r="H34" s="5" t="s">
        <v>616</v>
      </c>
      <c r="I34" s="5">
        <v>0</v>
      </c>
      <c r="J34" s="5" t="s">
        <v>657</v>
      </c>
      <c r="K34" s="7" t="s">
        <v>762</v>
      </c>
      <c r="L34" s="5" t="s">
        <v>763</v>
      </c>
    </row>
    <row r="35" spans="1:12" ht="65" customHeight="1">
      <c r="A35" s="5" t="s">
        <v>611</v>
      </c>
      <c r="B35" s="5" t="s">
        <v>612</v>
      </c>
      <c r="C35" s="5" t="s">
        <v>764</v>
      </c>
      <c r="D35" s="5" t="s">
        <v>765</v>
      </c>
      <c r="E35" s="5" t="s">
        <v>766</v>
      </c>
      <c r="F35" s="5">
        <v>11.1</v>
      </c>
      <c r="G35" s="5">
        <v>1</v>
      </c>
      <c r="H35" s="5" t="s">
        <v>616</v>
      </c>
      <c r="I35" s="5">
        <v>0</v>
      </c>
      <c r="J35" s="5" t="s">
        <v>617</v>
      </c>
      <c r="K35" s="7" t="s">
        <v>767</v>
      </c>
      <c r="L35" s="5" t="s">
        <v>768</v>
      </c>
    </row>
    <row r="36" spans="1:12" ht="65" customHeight="1">
      <c r="A36" s="5" t="s">
        <v>611</v>
      </c>
      <c r="B36" s="5" t="s">
        <v>612</v>
      </c>
      <c r="C36" s="5" t="s">
        <v>769</v>
      </c>
      <c r="D36" s="5" t="s">
        <v>770</v>
      </c>
      <c r="E36" s="5" t="s">
        <v>771</v>
      </c>
      <c r="F36" s="5">
        <v>0</v>
      </c>
      <c r="G36" s="5">
        <v>1</v>
      </c>
      <c r="H36" s="5" t="s">
        <v>616</v>
      </c>
      <c r="I36" s="5">
        <v>0</v>
      </c>
      <c r="J36" s="5" t="s">
        <v>657</v>
      </c>
      <c r="K36" s="7" t="s">
        <v>772</v>
      </c>
      <c r="L36" s="5" t="s">
        <v>773</v>
      </c>
    </row>
    <row r="37" spans="1:12" ht="65" customHeight="1">
      <c r="A37" s="5" t="s">
        <v>611</v>
      </c>
      <c r="B37" s="5" t="s">
        <v>612</v>
      </c>
      <c r="C37" s="5" t="s">
        <v>774</v>
      </c>
      <c r="D37" s="5" t="s">
        <v>775</v>
      </c>
      <c r="E37" s="5" t="s">
        <v>776</v>
      </c>
      <c r="F37" s="5">
        <v>0</v>
      </c>
      <c r="G37" s="5">
        <v>1</v>
      </c>
      <c r="H37" s="5" t="s">
        <v>616</v>
      </c>
      <c r="I37" s="5">
        <v>0</v>
      </c>
      <c r="J37" s="5" t="s">
        <v>657</v>
      </c>
      <c r="K37" s="7" t="s">
        <v>777</v>
      </c>
      <c r="L37" s="5" t="s">
        <v>778</v>
      </c>
    </row>
    <row r="38" spans="1:12" ht="65" customHeight="1">
      <c r="A38" s="5" t="s">
        <v>611</v>
      </c>
      <c r="B38" s="5" t="s">
        <v>612</v>
      </c>
      <c r="C38" s="5" t="s">
        <v>779</v>
      </c>
      <c r="D38" s="5" t="s">
        <v>780</v>
      </c>
      <c r="E38" s="5" t="s">
        <v>781</v>
      </c>
      <c r="F38" s="5">
        <v>9.5</v>
      </c>
      <c r="G38" s="5">
        <v>1</v>
      </c>
      <c r="H38" s="5" t="s">
        <v>623</v>
      </c>
      <c r="I38" s="5">
        <v>462908</v>
      </c>
      <c r="J38" s="5" t="s">
        <v>617</v>
      </c>
      <c r="K38" s="7" t="s">
        <v>782</v>
      </c>
      <c r="L38" s="5" t="s">
        <v>783</v>
      </c>
    </row>
    <row r="39" spans="1:12" ht="65" customHeight="1">
      <c r="A39" s="5" t="s">
        <v>611</v>
      </c>
      <c r="B39" s="5" t="s">
        <v>612</v>
      </c>
      <c r="C39" s="5" t="s">
        <v>784</v>
      </c>
      <c r="D39" s="5" t="s">
        <v>785</v>
      </c>
      <c r="E39" s="5" t="s">
        <v>786</v>
      </c>
      <c r="F39" s="5">
        <v>0</v>
      </c>
      <c r="G39" s="5">
        <v>0</v>
      </c>
      <c r="H39" s="5" t="s">
        <v>616</v>
      </c>
      <c r="I39" s="5">
        <v>0</v>
      </c>
      <c r="J39" s="5" t="s">
        <v>657</v>
      </c>
      <c r="K39" s="7" t="s">
        <v>787</v>
      </c>
      <c r="L39" s="5" t="s">
        <v>788</v>
      </c>
    </row>
    <row r="40" spans="1:12" ht="65" customHeight="1">
      <c r="A40" s="5" t="s">
        <v>611</v>
      </c>
      <c r="B40" s="5" t="s">
        <v>612</v>
      </c>
      <c r="C40" s="5" t="s">
        <v>789</v>
      </c>
      <c r="D40" s="5" t="s">
        <v>790</v>
      </c>
      <c r="E40" s="5" t="s">
        <v>791</v>
      </c>
      <c r="F40" s="5">
        <v>0</v>
      </c>
      <c r="G40" s="5">
        <v>1</v>
      </c>
      <c r="H40" s="5" t="s">
        <v>616</v>
      </c>
      <c r="I40" s="5">
        <v>0</v>
      </c>
      <c r="J40" s="5" t="s">
        <v>657</v>
      </c>
      <c r="K40" s="7" t="s">
        <v>792</v>
      </c>
      <c r="L40" s="5" t="s">
        <v>793</v>
      </c>
    </row>
    <row r="41" spans="1:12" ht="65" customHeight="1">
      <c r="A41" s="5" t="s">
        <v>611</v>
      </c>
      <c r="B41" s="5" t="s">
        <v>612</v>
      </c>
      <c r="C41" s="5" t="s">
        <v>794</v>
      </c>
      <c r="D41" s="5" t="s">
        <v>795</v>
      </c>
      <c r="E41" s="5" t="s">
        <v>796</v>
      </c>
      <c r="F41" s="5">
        <v>0.8</v>
      </c>
      <c r="G41" s="5">
        <v>1</v>
      </c>
      <c r="H41" s="5" t="s">
        <v>623</v>
      </c>
      <c r="I41" s="5">
        <v>50816878</v>
      </c>
      <c r="J41" s="5" t="s">
        <v>617</v>
      </c>
      <c r="K41" s="7" t="s">
        <v>797</v>
      </c>
      <c r="L41" s="5" t="s">
        <v>798</v>
      </c>
    </row>
    <row r="42" spans="1:12" ht="65" customHeight="1">
      <c r="A42" s="5" t="s">
        <v>611</v>
      </c>
      <c r="B42" s="5" t="s">
        <v>612</v>
      </c>
      <c r="C42" s="5" t="s">
        <v>799</v>
      </c>
      <c r="D42" s="5" t="s">
        <v>800</v>
      </c>
      <c r="E42" s="5" t="s">
        <v>801</v>
      </c>
      <c r="F42" s="5">
        <v>0</v>
      </c>
      <c r="G42" s="5">
        <v>1</v>
      </c>
      <c r="H42" s="5" t="s">
        <v>616</v>
      </c>
      <c r="I42" s="5">
        <v>0</v>
      </c>
      <c r="J42" s="5" t="s">
        <v>657</v>
      </c>
      <c r="K42" s="7" t="s">
        <v>802</v>
      </c>
      <c r="L42" s="5" t="s">
        <v>803</v>
      </c>
    </row>
    <row r="43" spans="1:12" ht="65" customHeight="1">
      <c r="A43" s="5" t="s">
        <v>611</v>
      </c>
      <c r="B43" s="5" t="s">
        <v>612</v>
      </c>
      <c r="C43" s="5" t="s">
        <v>804</v>
      </c>
      <c r="D43" s="5" t="s">
        <v>805</v>
      </c>
      <c r="E43" s="5"/>
      <c r="F43" s="5">
        <v>0</v>
      </c>
      <c r="G43" s="5">
        <v>0</v>
      </c>
      <c r="H43" s="5" t="s">
        <v>616</v>
      </c>
      <c r="I43" s="5">
        <v>0</v>
      </c>
      <c r="J43" s="5" t="s">
        <v>657</v>
      </c>
      <c r="K43" s="7" t="s">
        <v>806</v>
      </c>
      <c r="L43" s="5" t="s">
        <v>807</v>
      </c>
    </row>
    <row r="44" spans="1:12" ht="65" customHeight="1">
      <c r="A44" s="5" t="s">
        <v>611</v>
      </c>
      <c r="B44" s="5" t="s">
        <v>612</v>
      </c>
      <c r="C44" s="5" t="s">
        <v>808</v>
      </c>
      <c r="D44" s="5" t="s">
        <v>809</v>
      </c>
      <c r="E44" s="5" t="s">
        <v>810</v>
      </c>
      <c r="F44" s="5">
        <v>0.7</v>
      </c>
      <c r="G44" s="5">
        <v>1</v>
      </c>
      <c r="H44" s="5" t="s">
        <v>616</v>
      </c>
      <c r="I44" s="5">
        <v>0</v>
      </c>
      <c r="J44" s="5" t="s">
        <v>617</v>
      </c>
      <c r="K44" s="7" t="s">
        <v>811</v>
      </c>
      <c r="L44" s="5" t="s">
        <v>812</v>
      </c>
    </row>
    <row r="45" spans="1:12" ht="65" customHeight="1">
      <c r="A45" s="5" t="s">
        <v>611</v>
      </c>
      <c r="B45" s="5" t="s">
        <v>612</v>
      </c>
      <c r="C45" s="5" t="s">
        <v>813</v>
      </c>
      <c r="D45" s="5" t="s">
        <v>814</v>
      </c>
      <c r="E45" s="5" t="s">
        <v>815</v>
      </c>
      <c r="F45" s="5">
        <v>0</v>
      </c>
      <c r="G45" s="5">
        <v>1</v>
      </c>
      <c r="H45" s="5" t="s">
        <v>616</v>
      </c>
      <c r="I45" s="5">
        <v>0</v>
      </c>
      <c r="J45" s="5" t="s">
        <v>657</v>
      </c>
      <c r="K45" s="7" t="s">
        <v>816</v>
      </c>
      <c r="L45" s="5" t="s">
        <v>817</v>
      </c>
    </row>
    <row r="46" spans="1:12" ht="65" customHeight="1">
      <c r="A46" s="5" t="s">
        <v>611</v>
      </c>
      <c r="B46" s="5" t="s">
        <v>612</v>
      </c>
      <c r="C46" s="5" t="s">
        <v>818</v>
      </c>
      <c r="D46" s="5" t="s">
        <v>819</v>
      </c>
      <c r="E46" s="5" t="s">
        <v>820</v>
      </c>
      <c r="F46" s="5">
        <v>1.39</v>
      </c>
      <c r="G46" s="5">
        <v>1</v>
      </c>
      <c r="H46" s="5" t="s">
        <v>623</v>
      </c>
      <c r="I46" s="5">
        <v>5489000</v>
      </c>
      <c r="J46" s="5" t="s">
        <v>617</v>
      </c>
      <c r="K46" s="7" t="s">
        <v>821</v>
      </c>
      <c r="L46" s="5" t="s">
        <v>822</v>
      </c>
    </row>
    <row r="47" spans="1:12" ht="65" customHeight="1">
      <c r="A47" s="5" t="s">
        <v>611</v>
      </c>
      <c r="B47" s="5" t="s">
        <v>612</v>
      </c>
      <c r="C47" s="5" t="s">
        <v>823</v>
      </c>
      <c r="D47" s="5" t="s">
        <v>824</v>
      </c>
      <c r="E47" s="5" t="s">
        <v>825</v>
      </c>
      <c r="F47" s="5">
        <v>0</v>
      </c>
      <c r="G47" s="5">
        <v>1</v>
      </c>
      <c r="H47" s="5" t="s">
        <v>616</v>
      </c>
      <c r="I47" s="5">
        <v>0</v>
      </c>
      <c r="J47" s="5" t="s">
        <v>657</v>
      </c>
      <c r="K47" s="7" t="s">
        <v>826</v>
      </c>
      <c r="L47" s="5" t="s">
        <v>827</v>
      </c>
    </row>
    <row r="48" spans="1:12" ht="65" customHeight="1">
      <c r="A48" s="5" t="s">
        <v>611</v>
      </c>
      <c r="B48" s="5" t="s">
        <v>612</v>
      </c>
      <c r="C48" s="5" t="s">
        <v>828</v>
      </c>
      <c r="D48" s="5" t="s">
        <v>829</v>
      </c>
      <c r="E48" s="5" t="s">
        <v>830</v>
      </c>
      <c r="F48" s="5">
        <v>0</v>
      </c>
      <c r="G48" s="5">
        <v>1</v>
      </c>
      <c r="H48" s="5" t="s">
        <v>616</v>
      </c>
      <c r="I48" s="5">
        <v>0</v>
      </c>
      <c r="J48" s="5" t="s">
        <v>657</v>
      </c>
      <c r="K48" s="7" t="s">
        <v>831</v>
      </c>
      <c r="L48" s="5" t="s">
        <v>832</v>
      </c>
    </row>
    <row r="49" spans="1:12" ht="65" customHeight="1">
      <c r="A49" s="5" t="s">
        <v>611</v>
      </c>
      <c r="B49" s="5" t="s">
        <v>612</v>
      </c>
      <c r="C49" s="5" t="s">
        <v>833</v>
      </c>
      <c r="D49" s="5" t="s">
        <v>834</v>
      </c>
      <c r="E49" s="5" t="s">
        <v>835</v>
      </c>
      <c r="F49" s="5">
        <v>2.2</v>
      </c>
      <c r="G49" s="5">
        <v>1</v>
      </c>
      <c r="H49" s="5" t="s">
        <v>616</v>
      </c>
      <c r="I49" s="5">
        <v>0</v>
      </c>
      <c r="J49" s="5" t="s">
        <v>617</v>
      </c>
      <c r="K49" s="7" t="s">
        <v>836</v>
      </c>
      <c r="L49" s="5" t="s">
        <v>837</v>
      </c>
    </row>
    <row r="50" spans="1:12" ht="65" customHeight="1">
      <c r="A50" s="5" t="s">
        <v>611</v>
      </c>
      <c r="B50" s="5" t="s">
        <v>612</v>
      </c>
      <c r="C50" s="5" t="s">
        <v>838</v>
      </c>
      <c r="D50" s="5" t="s">
        <v>839</v>
      </c>
      <c r="E50" s="5" t="s">
        <v>815</v>
      </c>
      <c r="F50" s="5">
        <v>0</v>
      </c>
      <c r="G50" s="5">
        <v>1</v>
      </c>
      <c r="H50" s="5" t="s">
        <v>616</v>
      </c>
      <c r="I50" s="5">
        <v>0</v>
      </c>
      <c r="J50" s="5" t="s">
        <v>657</v>
      </c>
      <c r="K50" s="7" t="s">
        <v>840</v>
      </c>
      <c r="L50" s="5" t="s">
        <v>841</v>
      </c>
    </row>
    <row r="51" spans="1:12" ht="65" customHeight="1">
      <c r="A51" s="5" t="s">
        <v>611</v>
      </c>
      <c r="B51" s="5" t="s">
        <v>612</v>
      </c>
      <c r="C51" s="5" t="s">
        <v>842</v>
      </c>
      <c r="D51" s="5" t="s">
        <v>843</v>
      </c>
      <c r="E51" s="5" t="s">
        <v>844</v>
      </c>
      <c r="F51" s="5">
        <v>0</v>
      </c>
      <c r="G51" s="5">
        <v>1</v>
      </c>
      <c r="H51" s="5" t="s">
        <v>616</v>
      </c>
      <c r="I51" s="5">
        <v>0</v>
      </c>
      <c r="J51" s="5" t="s">
        <v>657</v>
      </c>
      <c r="K51" s="7" t="s">
        <v>845</v>
      </c>
      <c r="L51" s="5" t="s">
        <v>846</v>
      </c>
    </row>
    <row r="52" spans="1:12" ht="65" customHeight="1">
      <c r="A52" s="5" t="s">
        <v>611</v>
      </c>
      <c r="B52" s="5" t="s">
        <v>612</v>
      </c>
      <c r="C52" s="5" t="s">
        <v>847</v>
      </c>
      <c r="D52" s="5" t="s">
        <v>848</v>
      </c>
      <c r="E52" s="5" t="s">
        <v>849</v>
      </c>
      <c r="F52" s="5">
        <v>0</v>
      </c>
      <c r="G52" s="5">
        <v>1</v>
      </c>
      <c r="H52" s="5" t="s">
        <v>616</v>
      </c>
      <c r="I52" s="5">
        <v>0</v>
      </c>
      <c r="J52" s="5" t="s">
        <v>657</v>
      </c>
      <c r="K52" s="7" t="s">
        <v>850</v>
      </c>
      <c r="L52" s="5" t="s">
        <v>851</v>
      </c>
    </row>
    <row r="53" spans="1:12" ht="65" customHeight="1">
      <c r="A53" s="5" t="s">
        <v>611</v>
      </c>
      <c r="B53" s="5" t="s">
        <v>612</v>
      </c>
      <c r="C53" s="5" t="s">
        <v>852</v>
      </c>
      <c r="D53" s="5" t="s">
        <v>853</v>
      </c>
      <c r="E53" s="5" t="s">
        <v>854</v>
      </c>
      <c r="F53" s="5">
        <v>0</v>
      </c>
      <c r="G53" s="5">
        <v>1</v>
      </c>
      <c r="H53" s="5" t="s">
        <v>616</v>
      </c>
      <c r="I53" s="5">
        <v>0</v>
      </c>
      <c r="J53" s="5" t="s">
        <v>657</v>
      </c>
      <c r="K53" s="7" t="s">
        <v>855</v>
      </c>
      <c r="L53" s="5" t="s">
        <v>856</v>
      </c>
    </row>
    <row r="54" spans="1:12" ht="65" customHeight="1">
      <c r="A54" s="5" t="s">
        <v>611</v>
      </c>
      <c r="B54" s="5" t="s">
        <v>612</v>
      </c>
      <c r="C54" s="5" t="s">
        <v>857</v>
      </c>
      <c r="D54" s="5" t="s">
        <v>858</v>
      </c>
      <c r="E54" s="5" t="s">
        <v>859</v>
      </c>
      <c r="F54" s="5">
        <v>0</v>
      </c>
      <c r="G54" s="5">
        <v>1</v>
      </c>
      <c r="H54" s="5" t="s">
        <v>616</v>
      </c>
      <c r="I54" s="5">
        <v>0</v>
      </c>
      <c r="J54" s="5" t="s">
        <v>657</v>
      </c>
      <c r="K54" s="7" t="s">
        <v>860</v>
      </c>
      <c r="L54" s="5" t="s">
        <v>861</v>
      </c>
    </row>
    <row r="55" spans="1:12" ht="65" customHeight="1">
      <c r="A55" s="5" t="s">
        <v>611</v>
      </c>
      <c r="B55" s="5" t="s">
        <v>612</v>
      </c>
      <c r="C55" s="5" t="s">
        <v>862</v>
      </c>
      <c r="D55" s="5" t="s">
        <v>863</v>
      </c>
      <c r="E55" s="5" t="s">
        <v>849</v>
      </c>
      <c r="F55" s="5">
        <v>0</v>
      </c>
      <c r="G55" s="5">
        <v>1</v>
      </c>
      <c r="H55" s="5" t="s">
        <v>616</v>
      </c>
      <c r="I55" s="5">
        <v>0</v>
      </c>
      <c r="J55" s="5" t="s">
        <v>657</v>
      </c>
      <c r="K55" s="7" t="s">
        <v>864</v>
      </c>
      <c r="L55" s="5" t="s">
        <v>865</v>
      </c>
    </row>
    <row r="56" spans="1:12" ht="65" customHeight="1">
      <c r="A56" s="5" t="s">
        <v>611</v>
      </c>
      <c r="B56" s="5" t="s">
        <v>612</v>
      </c>
      <c r="C56" s="5" t="s">
        <v>866</v>
      </c>
      <c r="D56" s="5" t="s">
        <v>867</v>
      </c>
      <c r="E56" s="5" t="s">
        <v>868</v>
      </c>
      <c r="F56" s="5">
        <v>0</v>
      </c>
      <c r="G56" s="5">
        <v>1</v>
      </c>
      <c r="H56" s="5" t="s">
        <v>616</v>
      </c>
      <c r="I56" s="5">
        <v>0</v>
      </c>
      <c r="J56" s="5" t="s">
        <v>657</v>
      </c>
      <c r="K56" s="7" t="s">
        <v>869</v>
      </c>
      <c r="L56" s="5" t="s">
        <v>870</v>
      </c>
    </row>
    <row r="57" spans="1:12" ht="65" customHeight="1">
      <c r="A57" s="5" t="s">
        <v>611</v>
      </c>
      <c r="B57" s="5" t="s">
        <v>612</v>
      </c>
      <c r="C57" s="5" t="s">
        <v>871</v>
      </c>
      <c r="D57" s="5" t="s">
        <v>872</v>
      </c>
      <c r="E57" s="5" t="s">
        <v>873</v>
      </c>
      <c r="F57" s="5">
        <v>1.31</v>
      </c>
      <c r="G57" s="5">
        <v>1</v>
      </c>
      <c r="H57" s="5" t="s">
        <v>623</v>
      </c>
      <c r="I57" s="5">
        <v>4160126</v>
      </c>
      <c r="J57" s="5" t="s">
        <v>617</v>
      </c>
      <c r="K57" s="7" t="s">
        <v>874</v>
      </c>
      <c r="L57" s="5" t="s">
        <v>875</v>
      </c>
    </row>
    <row r="58" spans="1:12" ht="65" customHeight="1">
      <c r="A58" s="5" t="s">
        <v>611</v>
      </c>
      <c r="B58" s="5" t="s">
        <v>612</v>
      </c>
      <c r="C58" s="5" t="s">
        <v>876</v>
      </c>
      <c r="D58" s="5" t="s">
        <v>877</v>
      </c>
      <c r="E58" s="5" t="s">
        <v>878</v>
      </c>
      <c r="F58" s="5">
        <v>0</v>
      </c>
      <c r="G58" s="5">
        <v>2</v>
      </c>
      <c r="H58" s="5" t="s">
        <v>616</v>
      </c>
      <c r="I58" s="5">
        <v>0</v>
      </c>
      <c r="J58" s="5" t="s">
        <v>657</v>
      </c>
      <c r="K58" s="7" t="s">
        <v>879</v>
      </c>
      <c r="L58" s="5" t="s">
        <v>880</v>
      </c>
    </row>
    <row r="59" spans="1:12" ht="65" customHeight="1">
      <c r="A59" s="5" t="s">
        <v>611</v>
      </c>
      <c r="B59" s="5" t="s">
        <v>612</v>
      </c>
      <c r="C59" s="5" t="s">
        <v>881</v>
      </c>
      <c r="D59" s="5" t="s">
        <v>720</v>
      </c>
      <c r="E59" s="5" t="s">
        <v>882</v>
      </c>
      <c r="F59" s="5">
        <v>0</v>
      </c>
      <c r="G59" s="5">
        <v>1</v>
      </c>
      <c r="H59" s="5" t="s">
        <v>616</v>
      </c>
      <c r="I59" s="5">
        <v>0</v>
      </c>
      <c r="J59" s="5" t="s">
        <v>657</v>
      </c>
      <c r="K59" s="7" t="s">
        <v>883</v>
      </c>
      <c r="L59" s="5" t="s">
        <v>884</v>
      </c>
    </row>
    <row r="60" spans="1:12" ht="65" customHeight="1">
      <c r="A60" s="5" t="s">
        <v>611</v>
      </c>
      <c r="B60" s="5" t="s">
        <v>612</v>
      </c>
      <c r="C60" s="5" t="s">
        <v>885</v>
      </c>
      <c r="D60" s="5" t="s">
        <v>886</v>
      </c>
      <c r="E60" s="6"/>
      <c r="F60" s="5">
        <v>0</v>
      </c>
      <c r="G60" s="5">
        <v>0</v>
      </c>
      <c r="H60" s="5" t="s">
        <v>616</v>
      </c>
      <c r="I60" s="5">
        <v>0</v>
      </c>
      <c r="J60" s="5" t="s">
        <v>657</v>
      </c>
      <c r="K60" s="7" t="s">
        <v>887</v>
      </c>
      <c r="L60" s="5" t="s">
        <v>888</v>
      </c>
    </row>
    <row r="61" spans="1:12" ht="65" customHeight="1">
      <c r="A61" s="5" t="s">
        <v>611</v>
      </c>
      <c r="B61" s="5" t="s">
        <v>612</v>
      </c>
      <c r="C61" s="5" t="s">
        <v>889</v>
      </c>
      <c r="D61" s="5" t="s">
        <v>890</v>
      </c>
      <c r="E61" s="6"/>
      <c r="F61" s="5">
        <v>0</v>
      </c>
      <c r="G61" s="5">
        <v>0</v>
      </c>
      <c r="H61" s="5" t="s">
        <v>616</v>
      </c>
      <c r="I61" s="5">
        <v>0</v>
      </c>
      <c r="J61" s="5" t="s">
        <v>657</v>
      </c>
      <c r="K61" s="7" t="s">
        <v>891</v>
      </c>
      <c r="L61" s="5" t="s">
        <v>892</v>
      </c>
    </row>
    <row r="62" spans="1:12" ht="65" customHeight="1">
      <c r="A62" s="5" t="s">
        <v>611</v>
      </c>
      <c r="B62" s="5" t="s">
        <v>612</v>
      </c>
      <c r="C62" s="5" t="s">
        <v>893</v>
      </c>
      <c r="D62" s="5" t="s">
        <v>894</v>
      </c>
      <c r="E62" s="6"/>
      <c r="F62" s="5">
        <v>0</v>
      </c>
      <c r="G62" s="5">
        <v>0</v>
      </c>
      <c r="H62" s="5" t="s">
        <v>616</v>
      </c>
      <c r="I62" s="5">
        <v>0</v>
      </c>
      <c r="J62" s="5" t="s">
        <v>657</v>
      </c>
      <c r="K62" s="7" t="s">
        <v>895</v>
      </c>
      <c r="L62" s="5" t="s">
        <v>896</v>
      </c>
    </row>
    <row r="63" spans="1:12" ht="65" customHeight="1">
      <c r="A63" s="5" t="s">
        <v>611</v>
      </c>
      <c r="B63" s="5" t="s">
        <v>612</v>
      </c>
      <c r="C63" s="5" t="s">
        <v>897</v>
      </c>
      <c r="D63" s="5" t="s">
        <v>898</v>
      </c>
      <c r="E63" s="5" t="s">
        <v>899</v>
      </c>
      <c r="F63" s="5">
        <v>1.5</v>
      </c>
      <c r="G63" s="5">
        <v>1</v>
      </c>
      <c r="H63" s="5" t="s">
        <v>616</v>
      </c>
      <c r="I63" s="5">
        <v>0</v>
      </c>
      <c r="J63" s="5" t="s">
        <v>617</v>
      </c>
      <c r="K63" s="7" t="s">
        <v>900</v>
      </c>
      <c r="L63" s="5" t="s">
        <v>901</v>
      </c>
    </row>
    <row r="64" spans="1:12" ht="65" customHeight="1">
      <c r="A64" s="5" t="s">
        <v>611</v>
      </c>
      <c r="B64" s="5" t="s">
        <v>612</v>
      </c>
      <c r="C64" s="5" t="s">
        <v>902</v>
      </c>
      <c r="D64" s="5" t="s">
        <v>903</v>
      </c>
      <c r="E64" s="6"/>
      <c r="F64" s="5">
        <v>0</v>
      </c>
      <c r="G64" s="5">
        <v>0</v>
      </c>
      <c r="H64" s="5" t="s">
        <v>616</v>
      </c>
      <c r="I64" s="5">
        <v>0</v>
      </c>
      <c r="J64" s="5" t="s">
        <v>657</v>
      </c>
      <c r="K64" s="7" t="s">
        <v>904</v>
      </c>
      <c r="L64" s="5" t="s">
        <v>905</v>
      </c>
    </row>
    <row r="65" spans="1:12" ht="65" customHeight="1">
      <c r="A65" s="5" t="s">
        <v>611</v>
      </c>
      <c r="B65" s="5" t="s">
        <v>612</v>
      </c>
      <c r="C65" s="5" t="s">
        <v>906</v>
      </c>
      <c r="D65" s="5" t="s">
        <v>907</v>
      </c>
      <c r="E65" s="5" t="s">
        <v>908</v>
      </c>
      <c r="F65" s="5">
        <v>0.61</v>
      </c>
      <c r="G65" s="5">
        <v>1</v>
      </c>
      <c r="H65" s="5" t="s">
        <v>616</v>
      </c>
      <c r="I65" s="5">
        <v>34453638</v>
      </c>
      <c r="J65" s="5" t="s">
        <v>617</v>
      </c>
      <c r="K65" s="7" t="s">
        <v>909</v>
      </c>
      <c r="L65" s="5" t="s">
        <v>910</v>
      </c>
    </row>
    <row r="66" spans="1:12" ht="65" customHeight="1">
      <c r="A66" s="5" t="s">
        <v>611</v>
      </c>
      <c r="B66" s="5" t="s">
        <v>612</v>
      </c>
      <c r="C66" s="5" t="s">
        <v>911</v>
      </c>
      <c r="D66" s="5" t="s">
        <v>912</v>
      </c>
      <c r="E66" s="6"/>
      <c r="F66" s="5">
        <v>0</v>
      </c>
      <c r="G66" s="5">
        <v>0</v>
      </c>
      <c r="H66" s="5" t="s">
        <v>616</v>
      </c>
      <c r="I66" s="5">
        <v>0</v>
      </c>
      <c r="J66" s="5" t="s">
        <v>657</v>
      </c>
      <c r="K66" s="7" t="s">
        <v>913</v>
      </c>
      <c r="L66" s="5" t="s">
        <v>914</v>
      </c>
    </row>
    <row r="67" spans="1:12" ht="65" customHeight="1">
      <c r="A67" s="5" t="s">
        <v>611</v>
      </c>
      <c r="B67" s="5" t="s">
        <v>612</v>
      </c>
      <c r="C67" s="5" t="s">
        <v>915</v>
      </c>
      <c r="D67" s="5" t="s">
        <v>916</v>
      </c>
      <c r="E67" s="6"/>
      <c r="F67" s="5">
        <v>0</v>
      </c>
      <c r="G67" s="5">
        <v>0</v>
      </c>
      <c r="H67" s="5" t="s">
        <v>616</v>
      </c>
      <c r="I67" s="5">
        <v>0</v>
      </c>
      <c r="J67" s="5" t="s">
        <v>657</v>
      </c>
      <c r="K67" s="7" t="s">
        <v>917</v>
      </c>
      <c r="L67" s="5" t="s">
        <v>918</v>
      </c>
    </row>
    <row r="68" spans="1:12" ht="65" customHeight="1">
      <c r="A68" s="5" t="s">
        <v>611</v>
      </c>
      <c r="B68" s="5" t="s">
        <v>612</v>
      </c>
      <c r="C68" s="5" t="s">
        <v>919</v>
      </c>
      <c r="D68" s="5" t="s">
        <v>920</v>
      </c>
      <c r="E68" s="6"/>
      <c r="F68" s="5">
        <v>0</v>
      </c>
      <c r="G68" s="5">
        <v>0</v>
      </c>
      <c r="H68" s="5" t="s">
        <v>616</v>
      </c>
      <c r="I68" s="5">
        <v>0</v>
      </c>
      <c r="J68" s="5" t="s">
        <v>657</v>
      </c>
      <c r="K68" s="7" t="s">
        <v>921</v>
      </c>
      <c r="L68" s="5" t="s">
        <v>922</v>
      </c>
    </row>
    <row r="69" spans="1:12" ht="65" customHeight="1">
      <c r="A69" s="5" t="s">
        <v>611</v>
      </c>
      <c r="B69" s="5" t="s">
        <v>612</v>
      </c>
      <c r="C69" s="5" t="s">
        <v>923</v>
      </c>
      <c r="D69" s="5" t="s">
        <v>924</v>
      </c>
      <c r="E69" s="6"/>
      <c r="F69" s="5">
        <v>0</v>
      </c>
      <c r="G69" s="5">
        <v>0</v>
      </c>
      <c r="H69" s="5" t="s">
        <v>616</v>
      </c>
      <c r="I69" s="5">
        <v>0</v>
      </c>
      <c r="J69" s="5" t="s">
        <v>657</v>
      </c>
      <c r="K69" s="7" t="s">
        <v>925</v>
      </c>
      <c r="L69" s="5" t="s">
        <v>926</v>
      </c>
    </row>
    <row r="70" spans="1:12" ht="65" customHeight="1">
      <c r="A70" s="5" t="s">
        <v>611</v>
      </c>
      <c r="B70" s="5" t="s">
        <v>612</v>
      </c>
      <c r="C70" s="5" t="s">
        <v>927</v>
      </c>
      <c r="D70" s="5" t="s">
        <v>928</v>
      </c>
      <c r="E70" s="6"/>
      <c r="F70" s="5">
        <v>0</v>
      </c>
      <c r="G70" s="5">
        <v>0</v>
      </c>
      <c r="H70" s="5" t="s">
        <v>616</v>
      </c>
      <c r="I70" s="5">
        <v>0</v>
      </c>
      <c r="J70" s="5" t="s">
        <v>657</v>
      </c>
      <c r="K70" s="7" t="s">
        <v>929</v>
      </c>
      <c r="L70" s="5" t="s">
        <v>930</v>
      </c>
    </row>
    <row r="71" spans="1:12" ht="65" customHeight="1">
      <c r="A71" s="5" t="s">
        <v>611</v>
      </c>
      <c r="B71" s="5" t="s">
        <v>612</v>
      </c>
      <c r="C71" s="5" t="s">
        <v>931</v>
      </c>
      <c r="D71" s="5" t="s">
        <v>932</v>
      </c>
      <c r="E71" s="6"/>
      <c r="F71" s="5">
        <v>0</v>
      </c>
      <c r="G71" s="5">
        <v>0</v>
      </c>
      <c r="H71" s="5" t="s">
        <v>616</v>
      </c>
      <c r="I71" s="5">
        <v>0</v>
      </c>
      <c r="J71" s="5" t="s">
        <v>657</v>
      </c>
      <c r="K71" s="7" t="s">
        <v>933</v>
      </c>
      <c r="L71" s="5" t="s">
        <v>934</v>
      </c>
    </row>
    <row r="72" spans="1:12" ht="65" customHeight="1">
      <c r="A72" s="5" t="s">
        <v>611</v>
      </c>
      <c r="B72" s="5" t="s">
        <v>612</v>
      </c>
      <c r="C72" s="5" t="s">
        <v>935</v>
      </c>
      <c r="D72" s="5" t="s">
        <v>936</v>
      </c>
      <c r="E72" s="6"/>
      <c r="F72" s="5">
        <v>0</v>
      </c>
      <c r="G72" s="5">
        <v>0</v>
      </c>
      <c r="H72" s="5" t="s">
        <v>616</v>
      </c>
      <c r="I72" s="5">
        <v>0</v>
      </c>
      <c r="J72" s="5" t="s">
        <v>657</v>
      </c>
      <c r="K72" s="7" t="s">
        <v>937</v>
      </c>
      <c r="L72" s="5" t="s">
        <v>938</v>
      </c>
    </row>
    <row r="73" spans="1:12" ht="65" customHeight="1">
      <c r="A73" s="5" t="s">
        <v>611</v>
      </c>
      <c r="B73" s="5" t="s">
        <v>612</v>
      </c>
      <c r="C73" s="5" t="s">
        <v>939</v>
      </c>
      <c r="D73" s="5" t="s">
        <v>940</v>
      </c>
      <c r="E73" s="6"/>
      <c r="F73" s="5">
        <v>0</v>
      </c>
      <c r="G73" s="5">
        <v>0</v>
      </c>
      <c r="H73" s="5" t="s">
        <v>616</v>
      </c>
      <c r="I73" s="5">
        <v>0</v>
      </c>
      <c r="J73" s="5" t="s">
        <v>657</v>
      </c>
      <c r="K73" s="7" t="s">
        <v>941</v>
      </c>
      <c r="L73" s="5" t="s">
        <v>942</v>
      </c>
    </row>
    <row r="74" spans="1:12" ht="65" customHeight="1">
      <c r="A74" s="5" t="s">
        <v>611</v>
      </c>
      <c r="B74" s="5" t="s">
        <v>612</v>
      </c>
      <c r="C74" s="5" t="s">
        <v>943</v>
      </c>
      <c r="D74" s="5" t="s">
        <v>944</v>
      </c>
      <c r="E74" s="6"/>
      <c r="F74" s="5">
        <v>0</v>
      </c>
      <c r="G74" s="5">
        <v>0</v>
      </c>
      <c r="H74" s="5" t="s">
        <v>616</v>
      </c>
      <c r="I74" s="5">
        <v>0</v>
      </c>
      <c r="J74" s="5" t="s">
        <v>657</v>
      </c>
      <c r="K74" s="7" t="s">
        <v>945</v>
      </c>
      <c r="L74" s="5" t="s">
        <v>946</v>
      </c>
    </row>
    <row r="75" spans="1:12" ht="65" customHeight="1">
      <c r="A75" s="5" t="s">
        <v>611</v>
      </c>
      <c r="B75" s="5" t="s">
        <v>612</v>
      </c>
      <c r="C75" s="5" t="s">
        <v>947</v>
      </c>
      <c r="D75" s="5" t="s">
        <v>948</v>
      </c>
      <c r="E75" s="6"/>
      <c r="F75" s="5">
        <v>0</v>
      </c>
      <c r="G75" s="5">
        <v>0</v>
      </c>
      <c r="H75" s="5" t="s">
        <v>616</v>
      </c>
      <c r="I75" s="5">
        <v>0</v>
      </c>
      <c r="J75" s="5" t="s">
        <v>657</v>
      </c>
      <c r="K75" s="7" t="s">
        <v>949</v>
      </c>
      <c r="L75" s="5" t="s">
        <v>950</v>
      </c>
    </row>
    <row r="76" spans="1:12" ht="65" customHeight="1">
      <c r="A76" s="5" t="s">
        <v>611</v>
      </c>
      <c r="B76" s="5" t="s">
        <v>612</v>
      </c>
      <c r="C76" s="5" t="s">
        <v>951</v>
      </c>
      <c r="D76" s="5" t="s">
        <v>952</v>
      </c>
      <c r="E76" s="5" t="s">
        <v>953</v>
      </c>
      <c r="F76" s="5">
        <v>3.3</v>
      </c>
      <c r="G76" s="5">
        <v>1</v>
      </c>
      <c r="H76" s="5" t="s">
        <v>616</v>
      </c>
      <c r="I76" s="5">
        <v>0</v>
      </c>
      <c r="J76" s="5" t="s">
        <v>617</v>
      </c>
      <c r="K76" s="7" t="s">
        <v>954</v>
      </c>
      <c r="L76" s="5" t="s">
        <v>955</v>
      </c>
    </row>
    <row r="77" spans="1:12" ht="65" customHeight="1">
      <c r="A77" s="5" t="s">
        <v>611</v>
      </c>
      <c r="B77" s="5" t="s">
        <v>612</v>
      </c>
      <c r="C77" s="5" t="s">
        <v>956</v>
      </c>
      <c r="D77" s="5" t="s">
        <v>957</v>
      </c>
      <c r="E77" s="5" t="s">
        <v>958</v>
      </c>
      <c r="F77" s="5">
        <v>0.4</v>
      </c>
      <c r="G77" s="5">
        <v>1</v>
      </c>
      <c r="H77" s="5" t="s">
        <v>616</v>
      </c>
      <c r="I77" s="5">
        <v>15298</v>
      </c>
      <c r="J77" s="5" t="s">
        <v>617</v>
      </c>
      <c r="K77" s="7" t="s">
        <v>959</v>
      </c>
      <c r="L77" s="5" t="s">
        <v>960</v>
      </c>
    </row>
    <row r="78" spans="1:12" ht="65" customHeight="1">
      <c r="A78" s="5" t="s">
        <v>611</v>
      </c>
      <c r="B78" s="5" t="s">
        <v>612</v>
      </c>
      <c r="C78" s="5" t="s">
        <v>961</v>
      </c>
      <c r="D78" s="5" t="s">
        <v>962</v>
      </c>
      <c r="E78" s="5" t="s">
        <v>963</v>
      </c>
      <c r="F78" s="5">
        <v>0.25</v>
      </c>
      <c r="G78" s="5">
        <v>1</v>
      </c>
      <c r="H78" s="5" t="s">
        <v>616</v>
      </c>
      <c r="I78" s="5">
        <v>0</v>
      </c>
      <c r="J78" s="5" t="s">
        <v>617</v>
      </c>
      <c r="K78" s="7" t="s">
        <v>964</v>
      </c>
      <c r="L78" s="5" t="s">
        <v>965</v>
      </c>
    </row>
    <row r="79" spans="1:12" ht="65" customHeight="1">
      <c r="A79" s="5" t="s">
        <v>611</v>
      </c>
      <c r="B79" s="5" t="s">
        <v>612</v>
      </c>
      <c r="C79" s="5" t="s">
        <v>966</v>
      </c>
      <c r="D79" s="5" t="s">
        <v>967</v>
      </c>
      <c r="E79" s="6"/>
      <c r="F79" s="5">
        <v>0</v>
      </c>
      <c r="G79" s="5">
        <v>0</v>
      </c>
      <c r="H79" s="5" t="s">
        <v>616</v>
      </c>
      <c r="I79" s="5">
        <v>0</v>
      </c>
      <c r="J79" s="5" t="s">
        <v>657</v>
      </c>
      <c r="K79" s="7" t="s">
        <v>968</v>
      </c>
      <c r="L79" s="5" t="s">
        <v>969</v>
      </c>
    </row>
    <row r="80" spans="1:12" ht="65" customHeight="1">
      <c r="A80" s="5" t="s">
        <v>611</v>
      </c>
      <c r="B80" s="5" t="s">
        <v>612</v>
      </c>
      <c r="C80" s="5" t="s">
        <v>970</v>
      </c>
      <c r="D80" s="5" t="s">
        <v>971</v>
      </c>
      <c r="E80" s="6"/>
      <c r="F80" s="5">
        <v>0</v>
      </c>
      <c r="G80" s="5">
        <v>0</v>
      </c>
      <c r="H80" s="5" t="s">
        <v>616</v>
      </c>
      <c r="I80" s="5">
        <v>0</v>
      </c>
      <c r="J80" s="5" t="s">
        <v>657</v>
      </c>
      <c r="K80" s="7" t="s">
        <v>972</v>
      </c>
      <c r="L80" s="5" t="s">
        <v>973</v>
      </c>
    </row>
    <row r="81" spans="1:12" ht="65" customHeight="1">
      <c r="A81" s="5" t="s">
        <v>611</v>
      </c>
      <c r="B81" s="5" t="s">
        <v>612</v>
      </c>
      <c r="C81" s="5" t="s">
        <v>974</v>
      </c>
      <c r="D81" s="5" t="s">
        <v>975</v>
      </c>
      <c r="E81" s="6"/>
      <c r="F81" s="5">
        <v>0</v>
      </c>
      <c r="G81" s="5">
        <v>0</v>
      </c>
      <c r="H81" s="5" t="s">
        <v>616</v>
      </c>
      <c r="I81" s="5">
        <v>0</v>
      </c>
      <c r="J81" s="5" t="s">
        <v>657</v>
      </c>
      <c r="K81" s="7" t="s">
        <v>976</v>
      </c>
      <c r="L81" s="5" t="s">
        <v>977</v>
      </c>
    </row>
    <row r="82" spans="1:12" ht="65" customHeight="1">
      <c r="A82" s="5" t="s">
        <v>611</v>
      </c>
      <c r="B82" s="5" t="s">
        <v>612</v>
      </c>
      <c r="C82" s="5" t="s">
        <v>978</v>
      </c>
      <c r="D82" s="5" t="s">
        <v>979</v>
      </c>
      <c r="E82" s="5" t="s">
        <v>849</v>
      </c>
      <c r="F82" s="5">
        <v>0.73</v>
      </c>
      <c r="G82" s="5">
        <v>1</v>
      </c>
      <c r="H82" s="5" t="s">
        <v>616</v>
      </c>
      <c r="I82" s="5">
        <v>0</v>
      </c>
      <c r="J82" s="5" t="s">
        <v>617</v>
      </c>
      <c r="K82" s="7" t="s">
        <v>980</v>
      </c>
      <c r="L82" s="5" t="s">
        <v>981</v>
      </c>
    </row>
    <row r="83" spans="1:12" ht="65" customHeight="1">
      <c r="A83" s="5" t="s">
        <v>611</v>
      </c>
      <c r="B83" s="5" t="s">
        <v>612</v>
      </c>
      <c r="C83" s="5" t="s">
        <v>982</v>
      </c>
      <c r="D83" s="5" t="s">
        <v>983</v>
      </c>
      <c r="E83" s="6"/>
      <c r="F83" s="5">
        <v>0</v>
      </c>
      <c r="G83" s="5">
        <v>0</v>
      </c>
      <c r="H83" s="5" t="s">
        <v>616</v>
      </c>
      <c r="I83" s="5">
        <v>0</v>
      </c>
      <c r="J83" s="5" t="s">
        <v>657</v>
      </c>
      <c r="K83" s="7" t="s">
        <v>984</v>
      </c>
      <c r="L83" s="5" t="s">
        <v>985</v>
      </c>
    </row>
    <row r="84" spans="1:12" ht="65" customHeight="1">
      <c r="A84" s="5" t="s">
        <v>611</v>
      </c>
      <c r="B84" s="5" t="s">
        <v>612</v>
      </c>
      <c r="C84" s="5" t="s">
        <v>986</v>
      </c>
      <c r="D84" s="5" t="s">
        <v>987</v>
      </c>
      <c r="E84" s="5" t="s">
        <v>988</v>
      </c>
      <c r="F84" s="5">
        <v>1.3</v>
      </c>
      <c r="G84" s="5">
        <v>1</v>
      </c>
      <c r="H84" s="5" t="s">
        <v>616</v>
      </c>
      <c r="I84" s="5">
        <v>0</v>
      </c>
      <c r="J84" s="5" t="s">
        <v>617</v>
      </c>
      <c r="K84" s="7" t="s">
        <v>989</v>
      </c>
      <c r="L84" s="5" t="s">
        <v>990</v>
      </c>
    </row>
    <row r="85" spans="1:12" ht="65" customHeight="1">
      <c r="A85" s="5" t="s">
        <v>611</v>
      </c>
      <c r="B85" s="5" t="s">
        <v>612</v>
      </c>
      <c r="C85" s="5" t="s">
        <v>991</v>
      </c>
      <c r="D85" s="5" t="s">
        <v>992</v>
      </c>
      <c r="E85" s="6"/>
      <c r="F85" s="5">
        <v>0</v>
      </c>
      <c r="G85" s="5">
        <v>0</v>
      </c>
      <c r="H85" s="5" t="s">
        <v>616</v>
      </c>
      <c r="I85" s="5">
        <v>0</v>
      </c>
      <c r="J85" s="5" t="s">
        <v>657</v>
      </c>
      <c r="K85" s="7" t="s">
        <v>993</v>
      </c>
      <c r="L85" s="5" t="s">
        <v>994</v>
      </c>
    </row>
    <row r="86" spans="1:12" ht="65" customHeight="1">
      <c r="A86" s="5" t="s">
        <v>611</v>
      </c>
      <c r="B86" s="5" t="s">
        <v>612</v>
      </c>
      <c r="C86" s="5" t="s">
        <v>995</v>
      </c>
      <c r="D86" s="5" t="s">
        <v>996</v>
      </c>
      <c r="E86" s="6"/>
      <c r="F86" s="5">
        <v>0</v>
      </c>
      <c r="G86" s="5">
        <v>0</v>
      </c>
      <c r="H86" s="5" t="s">
        <v>616</v>
      </c>
      <c r="I86" s="5">
        <v>0</v>
      </c>
      <c r="J86" s="5" t="s">
        <v>657</v>
      </c>
      <c r="K86" s="7" t="s">
        <v>997</v>
      </c>
      <c r="L86" s="5" t="s">
        <v>998</v>
      </c>
    </row>
    <row r="87" spans="1:12" ht="65" customHeight="1">
      <c r="A87" s="5" t="s">
        <v>611</v>
      </c>
      <c r="B87" s="5" t="s">
        <v>612</v>
      </c>
      <c r="C87" s="5" t="s">
        <v>999</v>
      </c>
      <c r="D87" s="5" t="s">
        <v>1000</v>
      </c>
      <c r="E87" s="5" t="s">
        <v>1001</v>
      </c>
      <c r="F87" s="5">
        <v>1.75</v>
      </c>
      <c r="G87" s="5">
        <v>1</v>
      </c>
      <c r="H87" s="5" t="s">
        <v>623</v>
      </c>
      <c r="I87" s="5">
        <v>13655416</v>
      </c>
      <c r="J87" s="5" t="s">
        <v>617</v>
      </c>
      <c r="K87" s="7" t="s">
        <v>1002</v>
      </c>
      <c r="L87" s="5" t="s">
        <v>1003</v>
      </c>
    </row>
    <row r="88" spans="1:12" ht="65" customHeight="1">
      <c r="A88" s="5" t="s">
        <v>611</v>
      </c>
      <c r="B88" s="5" t="s">
        <v>612</v>
      </c>
      <c r="C88" s="5" t="s">
        <v>1004</v>
      </c>
      <c r="D88" s="5" t="s">
        <v>1005</v>
      </c>
      <c r="E88" s="6"/>
      <c r="F88" s="5">
        <v>0</v>
      </c>
      <c r="G88" s="5">
        <v>0</v>
      </c>
      <c r="H88" s="5" t="s">
        <v>616</v>
      </c>
      <c r="I88" s="5">
        <v>0</v>
      </c>
      <c r="J88" s="5" t="s">
        <v>657</v>
      </c>
      <c r="K88" s="7" t="s">
        <v>1006</v>
      </c>
      <c r="L88" s="5" t="s">
        <v>1007</v>
      </c>
    </row>
    <row r="89" spans="1:12" ht="65" customHeight="1">
      <c r="A89" s="5" t="s">
        <v>611</v>
      </c>
      <c r="B89" s="5" t="s">
        <v>612</v>
      </c>
      <c r="C89" s="5" t="s">
        <v>1008</v>
      </c>
      <c r="D89" s="5" t="s">
        <v>1009</v>
      </c>
      <c r="E89" s="6"/>
      <c r="F89" s="5">
        <v>0</v>
      </c>
      <c r="G89" s="5">
        <v>0</v>
      </c>
      <c r="H89" s="5" t="s">
        <v>616</v>
      </c>
      <c r="I89" s="5">
        <v>0</v>
      </c>
      <c r="J89" s="5" t="s">
        <v>657</v>
      </c>
      <c r="K89" s="7" t="s">
        <v>1010</v>
      </c>
      <c r="L89" s="5" t="s">
        <v>1011</v>
      </c>
    </row>
    <row r="90" spans="1:12" ht="65" customHeight="1">
      <c r="A90" s="5" t="s">
        <v>611</v>
      </c>
      <c r="B90" s="5" t="s">
        <v>612</v>
      </c>
      <c r="C90" s="5" t="s">
        <v>1012</v>
      </c>
      <c r="D90" s="5" t="s">
        <v>1013</v>
      </c>
      <c r="E90" s="5" t="s">
        <v>1014</v>
      </c>
      <c r="F90" s="5">
        <v>1.19</v>
      </c>
      <c r="G90" s="5">
        <v>1</v>
      </c>
      <c r="H90" s="5" t="s">
        <v>623</v>
      </c>
      <c r="I90" s="5">
        <v>100926879</v>
      </c>
      <c r="J90" s="5" t="s">
        <v>617</v>
      </c>
      <c r="K90" s="7" t="s">
        <v>1015</v>
      </c>
      <c r="L90" s="5" t="s">
        <v>1016</v>
      </c>
    </row>
    <row r="91" spans="1:12" ht="65" customHeight="1">
      <c r="A91" s="5" t="s">
        <v>611</v>
      </c>
      <c r="B91" s="5" t="s">
        <v>612</v>
      </c>
      <c r="C91" s="5" t="s">
        <v>1017</v>
      </c>
      <c r="D91" s="5" t="s">
        <v>1018</v>
      </c>
      <c r="E91" s="5" t="s">
        <v>1019</v>
      </c>
      <c r="F91" s="5">
        <v>4</v>
      </c>
      <c r="G91" s="5">
        <v>1</v>
      </c>
      <c r="H91" s="5" t="s">
        <v>616</v>
      </c>
      <c r="I91" s="5">
        <v>82962</v>
      </c>
      <c r="J91" s="5" t="s">
        <v>617</v>
      </c>
      <c r="K91" s="7" t="s">
        <v>1020</v>
      </c>
      <c r="L91" s="5" t="s">
        <v>1021</v>
      </c>
    </row>
    <row r="92" spans="1:12" ht="65" customHeight="1">
      <c r="A92" s="5" t="s">
        <v>611</v>
      </c>
      <c r="B92" s="5" t="s">
        <v>612</v>
      </c>
      <c r="C92" s="5" t="s">
        <v>1022</v>
      </c>
      <c r="D92" s="5" t="s">
        <v>1023</v>
      </c>
      <c r="E92" s="6"/>
      <c r="F92" s="5">
        <v>0</v>
      </c>
      <c r="G92" s="5">
        <v>0</v>
      </c>
      <c r="H92" s="5" t="s">
        <v>616</v>
      </c>
      <c r="I92" s="5">
        <v>0</v>
      </c>
      <c r="J92" s="5" t="s">
        <v>657</v>
      </c>
      <c r="K92" s="7" t="s">
        <v>1024</v>
      </c>
      <c r="L92" s="5" t="s">
        <v>1025</v>
      </c>
    </row>
    <row r="93" spans="1:12" ht="65" customHeight="1">
      <c r="A93" s="5" t="s">
        <v>611</v>
      </c>
      <c r="B93" s="5" t="s">
        <v>612</v>
      </c>
      <c r="C93" s="5" t="s">
        <v>1026</v>
      </c>
      <c r="D93" s="5" t="s">
        <v>1027</v>
      </c>
      <c r="E93" s="6"/>
      <c r="F93" s="5">
        <v>0</v>
      </c>
      <c r="G93" s="5">
        <v>0</v>
      </c>
      <c r="H93" s="5" t="s">
        <v>616</v>
      </c>
      <c r="I93" s="5">
        <v>0</v>
      </c>
      <c r="J93" s="5" t="s">
        <v>657</v>
      </c>
      <c r="K93" s="7" t="s">
        <v>1028</v>
      </c>
      <c r="L93" s="5" t="s">
        <v>1029</v>
      </c>
    </row>
    <row r="94" spans="1:12" ht="65" customHeight="1">
      <c r="A94" s="5" t="s">
        <v>611</v>
      </c>
      <c r="B94" s="5" t="s">
        <v>612</v>
      </c>
      <c r="C94" s="5" t="s">
        <v>1030</v>
      </c>
      <c r="D94" s="5" t="s">
        <v>1031</v>
      </c>
      <c r="E94" s="6"/>
      <c r="F94" s="5">
        <v>0</v>
      </c>
      <c r="G94" s="5">
        <v>0</v>
      </c>
      <c r="H94" s="5" t="s">
        <v>616</v>
      </c>
      <c r="I94" s="5">
        <v>0</v>
      </c>
      <c r="J94" s="5" t="s">
        <v>657</v>
      </c>
      <c r="K94" s="7" t="s">
        <v>1032</v>
      </c>
      <c r="L94" s="5" t="s">
        <v>1033</v>
      </c>
    </row>
    <row r="95" spans="1:12" ht="65" customHeight="1">
      <c r="A95" s="5" t="s">
        <v>611</v>
      </c>
      <c r="B95" s="5" t="s">
        <v>612</v>
      </c>
      <c r="C95" s="5" t="s">
        <v>1034</v>
      </c>
      <c r="D95" s="5" t="s">
        <v>1035</v>
      </c>
      <c r="E95" s="6"/>
      <c r="F95" s="5">
        <v>0</v>
      </c>
      <c r="G95" s="5">
        <v>0</v>
      </c>
      <c r="H95" s="5" t="s">
        <v>616</v>
      </c>
      <c r="I95" s="5">
        <v>0</v>
      </c>
      <c r="J95" s="5" t="s">
        <v>657</v>
      </c>
      <c r="K95" s="7" t="s">
        <v>1036</v>
      </c>
      <c r="L95" s="5" t="s">
        <v>1037</v>
      </c>
    </row>
    <row r="96" spans="1:12" ht="65" customHeight="1">
      <c r="A96" s="5" t="s">
        <v>611</v>
      </c>
      <c r="B96" s="5" t="s">
        <v>612</v>
      </c>
      <c r="C96" s="5" t="s">
        <v>1038</v>
      </c>
      <c r="D96" s="5" t="s">
        <v>1039</v>
      </c>
      <c r="E96" s="6"/>
      <c r="F96" s="5">
        <v>0</v>
      </c>
      <c r="G96" s="5">
        <v>0</v>
      </c>
      <c r="H96" s="5" t="s">
        <v>616</v>
      </c>
      <c r="I96" s="5">
        <v>0</v>
      </c>
      <c r="J96" s="5" t="s">
        <v>657</v>
      </c>
      <c r="K96" s="7" t="s">
        <v>1040</v>
      </c>
      <c r="L96" s="5" t="s">
        <v>1041</v>
      </c>
    </row>
    <row r="97" spans="1:12" ht="65" customHeight="1">
      <c r="A97" s="5" t="s">
        <v>611</v>
      </c>
      <c r="B97" s="5" t="s">
        <v>612</v>
      </c>
      <c r="C97" s="5" t="s">
        <v>1042</v>
      </c>
      <c r="D97" s="5" t="s">
        <v>1043</v>
      </c>
      <c r="E97" s="6"/>
      <c r="F97" s="5">
        <v>0</v>
      </c>
      <c r="G97" s="5">
        <v>0</v>
      </c>
      <c r="H97" s="5" t="s">
        <v>616</v>
      </c>
      <c r="I97" s="5">
        <v>0</v>
      </c>
      <c r="J97" s="5" t="s">
        <v>657</v>
      </c>
      <c r="K97" s="7" t="s">
        <v>1044</v>
      </c>
      <c r="L97" s="5" t="s">
        <v>1045</v>
      </c>
    </row>
    <row r="98" spans="1:12" ht="65" customHeight="1">
      <c r="A98" s="5" t="s">
        <v>611</v>
      </c>
      <c r="B98" s="5" t="s">
        <v>612</v>
      </c>
      <c r="C98" s="5" t="s">
        <v>1046</v>
      </c>
      <c r="D98" s="5" t="s">
        <v>1047</v>
      </c>
      <c r="E98" s="6"/>
      <c r="F98" s="5">
        <v>0</v>
      </c>
      <c r="G98" s="5">
        <v>0</v>
      </c>
      <c r="H98" s="5" t="s">
        <v>616</v>
      </c>
      <c r="I98" s="5">
        <v>0</v>
      </c>
      <c r="J98" s="5" t="s">
        <v>657</v>
      </c>
      <c r="K98" s="7" t="s">
        <v>1048</v>
      </c>
      <c r="L98" s="5" t="s">
        <v>1049</v>
      </c>
    </row>
    <row r="99" spans="1:12" ht="65" customHeight="1">
      <c r="A99" s="5" t="s">
        <v>611</v>
      </c>
      <c r="B99" s="5" t="s">
        <v>612</v>
      </c>
      <c r="C99" s="5" t="s">
        <v>1050</v>
      </c>
      <c r="D99" s="5" t="s">
        <v>1009</v>
      </c>
      <c r="E99" s="6"/>
      <c r="F99" s="5">
        <v>0</v>
      </c>
      <c r="G99" s="5">
        <v>0</v>
      </c>
      <c r="H99" s="5" t="s">
        <v>616</v>
      </c>
      <c r="I99" s="5">
        <v>0</v>
      </c>
      <c r="J99" s="5" t="s">
        <v>657</v>
      </c>
      <c r="K99" s="7" t="s">
        <v>1051</v>
      </c>
      <c r="L99" s="5" t="s">
        <v>1052</v>
      </c>
    </row>
    <row r="100" spans="1:12" ht="65" customHeight="1">
      <c r="A100" s="5" t="s">
        <v>611</v>
      </c>
      <c r="B100" s="5" t="s">
        <v>612</v>
      </c>
      <c r="C100" s="5" t="s">
        <v>1053</v>
      </c>
      <c r="D100" s="5" t="s">
        <v>1054</v>
      </c>
      <c r="E100" s="6"/>
      <c r="F100" s="5">
        <v>0</v>
      </c>
      <c r="G100" s="5">
        <v>0</v>
      </c>
      <c r="H100" s="5" t="s">
        <v>616</v>
      </c>
      <c r="I100" s="5">
        <v>0</v>
      </c>
      <c r="J100" s="5" t="s">
        <v>657</v>
      </c>
      <c r="K100" s="7" t="s">
        <v>1055</v>
      </c>
      <c r="L100" s="5" t="s">
        <v>1056</v>
      </c>
    </row>
    <row r="101" spans="1:12" ht="65" customHeight="1">
      <c r="A101" s="5" t="s">
        <v>611</v>
      </c>
      <c r="B101" s="5" t="s">
        <v>612</v>
      </c>
      <c r="C101" s="5" t="s">
        <v>1057</v>
      </c>
      <c r="D101" s="5" t="s">
        <v>1058</v>
      </c>
      <c r="E101" s="6"/>
      <c r="F101" s="5">
        <v>0</v>
      </c>
      <c r="G101" s="5">
        <v>0</v>
      </c>
      <c r="H101" s="5" t="s">
        <v>616</v>
      </c>
      <c r="I101" s="5">
        <v>0</v>
      </c>
      <c r="J101" s="5" t="s">
        <v>657</v>
      </c>
      <c r="K101" s="7" t="s">
        <v>1059</v>
      </c>
      <c r="L101" s="5" t="s">
        <v>1060</v>
      </c>
    </row>
    <row r="102" spans="1:12" ht="65" customHeight="1">
      <c r="A102" s="5" t="s">
        <v>611</v>
      </c>
      <c r="B102" s="5" t="s">
        <v>612</v>
      </c>
      <c r="C102" s="5" t="s">
        <v>1061</v>
      </c>
      <c r="D102" s="5" t="s">
        <v>1062</v>
      </c>
      <c r="E102" s="6"/>
      <c r="F102" s="5">
        <v>0</v>
      </c>
      <c r="G102" s="5">
        <v>0</v>
      </c>
      <c r="H102" s="5" t="s">
        <v>616</v>
      </c>
      <c r="I102" s="5">
        <v>0</v>
      </c>
      <c r="J102" s="5" t="s">
        <v>657</v>
      </c>
      <c r="K102" s="7" t="s">
        <v>1063</v>
      </c>
      <c r="L102" s="5" t="s">
        <v>1064</v>
      </c>
    </row>
    <row r="103" spans="1:12" ht="65" customHeight="1">
      <c r="A103" s="5" t="s">
        <v>611</v>
      </c>
      <c r="B103" s="5" t="s">
        <v>612</v>
      </c>
      <c r="C103" s="5" t="s">
        <v>1065</v>
      </c>
      <c r="D103" s="5" t="s">
        <v>1066</v>
      </c>
      <c r="E103" s="6"/>
      <c r="F103" s="5">
        <v>0</v>
      </c>
      <c r="G103" s="5">
        <v>0</v>
      </c>
      <c r="H103" s="5" t="s">
        <v>616</v>
      </c>
      <c r="I103" s="5">
        <v>0</v>
      </c>
      <c r="J103" s="5" t="s">
        <v>657</v>
      </c>
      <c r="K103" s="7" t="s">
        <v>1067</v>
      </c>
      <c r="L103" s="5" t="s">
        <v>1068</v>
      </c>
    </row>
    <row r="104" spans="1:12" ht="65" customHeight="1">
      <c r="A104" s="5" t="s">
        <v>611</v>
      </c>
      <c r="B104" s="5" t="s">
        <v>612</v>
      </c>
      <c r="C104" s="5" t="s">
        <v>1069</v>
      </c>
      <c r="D104" s="5" t="s">
        <v>1070</v>
      </c>
      <c r="E104" s="6"/>
      <c r="F104" s="5">
        <v>0</v>
      </c>
      <c r="G104" s="5">
        <v>0</v>
      </c>
      <c r="H104" s="5" t="s">
        <v>616</v>
      </c>
      <c r="I104" s="5">
        <v>0</v>
      </c>
      <c r="J104" s="5" t="s">
        <v>657</v>
      </c>
      <c r="K104" s="7" t="s">
        <v>1071</v>
      </c>
      <c r="L104" s="5" t="s">
        <v>1072</v>
      </c>
    </row>
    <row r="105" spans="1:12" ht="65" customHeight="1">
      <c r="A105" s="5" t="s">
        <v>611</v>
      </c>
      <c r="B105" s="5" t="s">
        <v>1073</v>
      </c>
      <c r="C105" s="5" t="s">
        <v>1074</v>
      </c>
      <c r="D105" s="5" t="s">
        <v>1075</v>
      </c>
      <c r="E105" s="5" t="s">
        <v>1076</v>
      </c>
      <c r="F105" s="5">
        <v>7.8</v>
      </c>
      <c r="G105" s="5">
        <v>1</v>
      </c>
      <c r="H105" s="5" t="s">
        <v>616</v>
      </c>
      <c r="I105" s="5">
        <v>467097</v>
      </c>
      <c r="J105" s="5" t="s">
        <v>617</v>
      </c>
      <c r="K105" s="7" t="s">
        <v>71</v>
      </c>
      <c r="L105" s="5" t="s">
        <v>296</v>
      </c>
    </row>
    <row r="106" spans="1:12" ht="65" customHeight="1">
      <c r="A106" s="5" t="s">
        <v>611</v>
      </c>
      <c r="B106" s="5" t="s">
        <v>1073</v>
      </c>
      <c r="C106" s="5" t="s">
        <v>1077</v>
      </c>
      <c r="D106" s="5" t="s">
        <v>1078</v>
      </c>
      <c r="E106" s="5" t="s">
        <v>1079</v>
      </c>
      <c r="F106" s="5">
        <v>9.800000000000001</v>
      </c>
      <c r="G106" s="5">
        <v>2</v>
      </c>
      <c r="H106" s="5" t="s">
        <v>623</v>
      </c>
      <c r="I106" s="5">
        <v>1189800</v>
      </c>
      <c r="J106" s="5" t="s">
        <v>617</v>
      </c>
      <c r="K106" s="7" t="s">
        <v>1080</v>
      </c>
      <c r="L106" s="5" t="s">
        <v>1081</v>
      </c>
    </row>
    <row r="107" spans="1:12" ht="65" customHeight="1">
      <c r="A107" s="5" t="s">
        <v>611</v>
      </c>
      <c r="B107" s="5" t="s">
        <v>1073</v>
      </c>
      <c r="C107" s="5" t="s">
        <v>1082</v>
      </c>
      <c r="D107" s="5" t="s">
        <v>1083</v>
      </c>
      <c r="E107" s="5" t="s">
        <v>1084</v>
      </c>
      <c r="F107" s="5">
        <v>14.4</v>
      </c>
      <c r="G107" s="5">
        <v>1</v>
      </c>
      <c r="H107" s="5" t="s">
        <v>623</v>
      </c>
      <c r="I107" s="5">
        <v>115831135</v>
      </c>
      <c r="J107" s="5" t="s">
        <v>617</v>
      </c>
      <c r="K107" s="7" t="s">
        <v>1085</v>
      </c>
      <c r="L107" s="5" t="s">
        <v>1086</v>
      </c>
    </row>
    <row r="108" spans="1:12" ht="65" customHeight="1">
      <c r="A108" s="5" t="s">
        <v>611</v>
      </c>
      <c r="B108" s="5" t="s">
        <v>1073</v>
      </c>
      <c r="C108" s="5" t="s">
        <v>1087</v>
      </c>
      <c r="D108" s="5" t="s">
        <v>1088</v>
      </c>
      <c r="E108" s="5" t="s">
        <v>1089</v>
      </c>
      <c r="F108" s="5">
        <v>12.9</v>
      </c>
      <c r="G108" s="5">
        <v>1</v>
      </c>
      <c r="H108" s="5" t="s">
        <v>623</v>
      </c>
      <c r="I108" s="5">
        <v>1536353</v>
      </c>
      <c r="J108" s="5" t="s">
        <v>617</v>
      </c>
      <c r="K108" s="7" t="s">
        <v>1090</v>
      </c>
      <c r="L108" s="5" t="s">
        <v>1091</v>
      </c>
    </row>
    <row r="109" spans="1:12" ht="65" customHeight="1">
      <c r="A109" s="5" t="s">
        <v>611</v>
      </c>
      <c r="B109" s="5" t="s">
        <v>1073</v>
      </c>
      <c r="C109" s="5" t="s">
        <v>1092</v>
      </c>
      <c r="D109" s="5" t="s">
        <v>1093</v>
      </c>
      <c r="E109" s="5" t="s">
        <v>1094</v>
      </c>
      <c r="F109" s="5">
        <v>26.5</v>
      </c>
      <c r="G109" s="5">
        <v>1</v>
      </c>
      <c r="H109" s="5" t="s">
        <v>623</v>
      </c>
      <c r="I109" s="5">
        <v>472668</v>
      </c>
      <c r="J109" s="5" t="s">
        <v>617</v>
      </c>
      <c r="K109" s="7" t="s">
        <v>1095</v>
      </c>
      <c r="L109" s="5" t="s">
        <v>1096</v>
      </c>
    </row>
    <row r="110" spans="1:12" ht="65" customHeight="1">
      <c r="A110" s="5" t="s">
        <v>611</v>
      </c>
      <c r="B110" s="5" t="s">
        <v>1073</v>
      </c>
      <c r="C110" s="5" t="s">
        <v>1097</v>
      </c>
      <c r="D110" s="5" t="s">
        <v>1098</v>
      </c>
      <c r="E110" s="5" t="s">
        <v>1099</v>
      </c>
      <c r="F110" s="5">
        <v>13</v>
      </c>
      <c r="G110" s="5">
        <v>1</v>
      </c>
      <c r="H110" s="5" t="s">
        <v>623</v>
      </c>
      <c r="I110" s="5">
        <v>169486</v>
      </c>
      <c r="J110" s="5" t="s">
        <v>617</v>
      </c>
      <c r="K110" s="7" t="s">
        <v>1100</v>
      </c>
      <c r="L110" s="5" t="s">
        <v>1101</v>
      </c>
    </row>
    <row r="111" spans="1:12" ht="65" customHeight="1">
      <c r="A111" s="5" t="s">
        <v>611</v>
      </c>
      <c r="B111" s="5" t="s">
        <v>1073</v>
      </c>
      <c r="C111" s="5" t="s">
        <v>1102</v>
      </c>
      <c r="D111" s="5" t="s">
        <v>1103</v>
      </c>
      <c r="E111" s="5" t="s">
        <v>1104</v>
      </c>
      <c r="F111" s="5">
        <v>8</v>
      </c>
      <c r="G111" s="5">
        <v>1</v>
      </c>
      <c r="H111" s="5" t="s">
        <v>623</v>
      </c>
      <c r="I111" s="5">
        <v>2710415</v>
      </c>
      <c r="J111" s="5" t="s">
        <v>617</v>
      </c>
      <c r="K111" s="7" t="s">
        <v>1105</v>
      </c>
      <c r="L111" s="5" t="s">
        <v>1106</v>
      </c>
    </row>
    <row r="112" spans="1:12" ht="65" customHeight="1">
      <c r="A112" s="5" t="s">
        <v>611</v>
      </c>
      <c r="B112" s="5" t="s">
        <v>1073</v>
      </c>
      <c r="C112" s="5" t="s">
        <v>1107</v>
      </c>
      <c r="D112" s="5" t="s">
        <v>1108</v>
      </c>
      <c r="E112" s="5" t="s">
        <v>1109</v>
      </c>
      <c r="F112" s="5">
        <v>0</v>
      </c>
      <c r="G112" s="5">
        <v>1</v>
      </c>
      <c r="H112" s="5" t="s">
        <v>616</v>
      </c>
      <c r="I112" s="5">
        <v>0</v>
      </c>
      <c r="J112" s="5" t="s">
        <v>657</v>
      </c>
      <c r="K112" s="7" t="s">
        <v>1110</v>
      </c>
      <c r="L112" s="5" t="s">
        <v>1111</v>
      </c>
    </row>
    <row r="113" spans="1:12" ht="65" customHeight="1">
      <c r="A113" s="5" t="s">
        <v>611</v>
      </c>
      <c r="B113" s="5" t="s">
        <v>1073</v>
      </c>
      <c r="C113" s="5" t="s">
        <v>1112</v>
      </c>
      <c r="D113" s="5" t="s">
        <v>1113</v>
      </c>
      <c r="E113" s="5" t="s">
        <v>1114</v>
      </c>
      <c r="F113" s="5">
        <v>0</v>
      </c>
      <c r="G113" s="5">
        <v>0</v>
      </c>
      <c r="H113" s="5" t="s">
        <v>616</v>
      </c>
      <c r="I113" s="5">
        <v>0</v>
      </c>
      <c r="J113" s="5" t="s">
        <v>657</v>
      </c>
      <c r="K113" s="7" t="s">
        <v>1115</v>
      </c>
      <c r="L113" s="5" t="s">
        <v>1116</v>
      </c>
    </row>
    <row r="114" spans="1:12" ht="65" customHeight="1">
      <c r="A114" s="5" t="s">
        <v>611</v>
      </c>
      <c r="B114" s="5" t="s">
        <v>1073</v>
      </c>
      <c r="C114" s="5" t="s">
        <v>1117</v>
      </c>
      <c r="D114" s="5" t="s">
        <v>1118</v>
      </c>
      <c r="E114" s="5" t="s">
        <v>1119</v>
      </c>
      <c r="F114" s="5">
        <v>26</v>
      </c>
      <c r="G114" s="5">
        <v>1</v>
      </c>
      <c r="H114" s="5" t="s">
        <v>623</v>
      </c>
      <c r="I114" s="5">
        <v>31287</v>
      </c>
      <c r="J114" s="5" t="s">
        <v>617</v>
      </c>
      <c r="K114" s="7" t="s">
        <v>1120</v>
      </c>
      <c r="L114" s="5" t="s">
        <v>1121</v>
      </c>
    </row>
    <row r="115" spans="1:12" ht="65" customHeight="1">
      <c r="A115" s="5" t="s">
        <v>611</v>
      </c>
      <c r="B115" s="5" t="s">
        <v>1073</v>
      </c>
      <c r="C115" s="5" t="s">
        <v>1122</v>
      </c>
      <c r="D115" s="5" t="s">
        <v>1123</v>
      </c>
      <c r="E115" s="5" t="s">
        <v>1076</v>
      </c>
      <c r="F115" s="5">
        <v>0</v>
      </c>
      <c r="G115" s="5">
        <v>1</v>
      </c>
      <c r="H115" s="5" t="s">
        <v>616</v>
      </c>
      <c r="I115" s="5">
        <v>0</v>
      </c>
      <c r="J115" s="5" t="s">
        <v>657</v>
      </c>
      <c r="K115" s="7" t="s">
        <v>1124</v>
      </c>
      <c r="L115" s="5" t="s">
        <v>1125</v>
      </c>
    </row>
    <row r="116" spans="1:12" ht="65" customHeight="1">
      <c r="A116" s="5" t="s">
        <v>611</v>
      </c>
      <c r="B116" s="5" t="s">
        <v>1073</v>
      </c>
      <c r="C116" s="5" t="s">
        <v>1126</v>
      </c>
      <c r="D116" s="5" t="s">
        <v>1127</v>
      </c>
      <c r="E116" s="5"/>
      <c r="F116" s="5">
        <v>0</v>
      </c>
      <c r="G116" s="5">
        <v>0</v>
      </c>
      <c r="H116" s="5" t="s">
        <v>616</v>
      </c>
      <c r="I116" s="5">
        <v>0</v>
      </c>
      <c r="J116" s="5" t="s">
        <v>657</v>
      </c>
      <c r="K116" s="7" t="s">
        <v>1128</v>
      </c>
      <c r="L116" s="5" t="s">
        <v>1129</v>
      </c>
    </row>
    <row r="117" spans="1:12" ht="65" customHeight="1">
      <c r="A117" s="5" t="s">
        <v>611</v>
      </c>
      <c r="B117" s="5" t="s">
        <v>1073</v>
      </c>
      <c r="C117" s="5" t="s">
        <v>1130</v>
      </c>
      <c r="D117" s="5" t="s">
        <v>1131</v>
      </c>
      <c r="E117" s="5" t="s">
        <v>1132</v>
      </c>
      <c r="F117" s="5">
        <v>0</v>
      </c>
      <c r="G117" s="5">
        <v>1</v>
      </c>
      <c r="H117" s="5" t="s">
        <v>616</v>
      </c>
      <c r="I117" s="5">
        <v>0</v>
      </c>
      <c r="J117" s="5" t="s">
        <v>657</v>
      </c>
      <c r="K117" s="7" t="s">
        <v>1133</v>
      </c>
      <c r="L117" s="5" t="s">
        <v>1134</v>
      </c>
    </row>
    <row r="118" spans="1:12" ht="65" customHeight="1">
      <c r="A118" s="5" t="s">
        <v>611</v>
      </c>
      <c r="B118" s="5" t="s">
        <v>1073</v>
      </c>
      <c r="C118" s="5" t="s">
        <v>1135</v>
      </c>
      <c r="D118" s="5" t="s">
        <v>1136</v>
      </c>
      <c r="E118" s="5" t="s">
        <v>1137</v>
      </c>
      <c r="F118" s="5">
        <v>0</v>
      </c>
      <c r="G118" s="5">
        <v>1</v>
      </c>
      <c r="H118" s="5" t="s">
        <v>616</v>
      </c>
      <c r="I118" s="5">
        <v>0</v>
      </c>
      <c r="J118" s="5" t="s">
        <v>657</v>
      </c>
      <c r="K118" s="7" t="s">
        <v>1138</v>
      </c>
      <c r="L118" s="5" t="s">
        <v>1139</v>
      </c>
    </row>
    <row r="119" spans="1:12" ht="65" customHeight="1">
      <c r="A119" s="5" t="s">
        <v>611</v>
      </c>
      <c r="B119" s="5" t="s">
        <v>1073</v>
      </c>
      <c r="C119" s="5" t="s">
        <v>1140</v>
      </c>
      <c r="D119" s="5" t="s">
        <v>1141</v>
      </c>
      <c r="E119" s="5" t="s">
        <v>1142</v>
      </c>
      <c r="F119" s="5">
        <v>0</v>
      </c>
      <c r="G119" s="5">
        <v>1</v>
      </c>
      <c r="H119" s="5" t="s">
        <v>616</v>
      </c>
      <c r="I119" s="5">
        <v>0</v>
      </c>
      <c r="J119" s="5" t="s">
        <v>657</v>
      </c>
      <c r="K119" s="7" t="s">
        <v>1143</v>
      </c>
      <c r="L119" s="5" t="s">
        <v>1144</v>
      </c>
    </row>
    <row r="120" spans="1:12" ht="65" customHeight="1">
      <c r="A120" s="5" t="s">
        <v>611</v>
      </c>
      <c r="B120" s="5" t="s">
        <v>1073</v>
      </c>
      <c r="C120" s="5" t="s">
        <v>1145</v>
      </c>
      <c r="D120" s="5" t="s">
        <v>1146</v>
      </c>
      <c r="E120" s="5" t="s">
        <v>1147</v>
      </c>
      <c r="F120" s="5">
        <v>0</v>
      </c>
      <c r="G120" s="5">
        <v>1</v>
      </c>
      <c r="H120" s="5" t="s">
        <v>616</v>
      </c>
      <c r="I120" s="5">
        <v>0</v>
      </c>
      <c r="J120" s="5" t="s">
        <v>657</v>
      </c>
      <c r="K120" s="7" t="s">
        <v>1148</v>
      </c>
      <c r="L120" s="5" t="s">
        <v>1149</v>
      </c>
    </row>
    <row r="121" spans="1:12" ht="65" customHeight="1">
      <c r="A121" s="5" t="s">
        <v>611</v>
      </c>
      <c r="B121" s="5" t="s">
        <v>1073</v>
      </c>
      <c r="C121" s="5" t="s">
        <v>1150</v>
      </c>
      <c r="D121" s="5" t="s">
        <v>1151</v>
      </c>
      <c r="E121" s="5" t="s">
        <v>1152</v>
      </c>
      <c r="F121" s="5">
        <v>3.23</v>
      </c>
      <c r="G121" s="5">
        <v>2</v>
      </c>
      <c r="H121" s="5" t="s">
        <v>616</v>
      </c>
      <c r="I121" s="5">
        <v>0</v>
      </c>
      <c r="J121" s="5" t="s">
        <v>617</v>
      </c>
      <c r="K121" s="7" t="s">
        <v>1153</v>
      </c>
      <c r="L121" s="5" t="s">
        <v>1154</v>
      </c>
    </row>
    <row r="122" spans="1:12" ht="65" customHeight="1">
      <c r="A122" s="5" t="s">
        <v>611</v>
      </c>
      <c r="B122" s="5" t="s">
        <v>1073</v>
      </c>
      <c r="C122" s="5" t="s">
        <v>1155</v>
      </c>
      <c r="D122" s="5" t="s">
        <v>1156</v>
      </c>
      <c r="E122" s="5" t="s">
        <v>1157</v>
      </c>
      <c r="F122" s="5">
        <v>8</v>
      </c>
      <c r="G122" s="5">
        <v>1</v>
      </c>
      <c r="H122" s="5" t="s">
        <v>616</v>
      </c>
      <c r="I122" s="5">
        <v>0</v>
      </c>
      <c r="J122" s="5" t="s">
        <v>617</v>
      </c>
      <c r="K122" s="7" t="s">
        <v>1158</v>
      </c>
      <c r="L122" s="5" t="s">
        <v>1159</v>
      </c>
    </row>
    <row r="123" spans="1:12" ht="65" customHeight="1">
      <c r="A123" s="5" t="s">
        <v>611</v>
      </c>
      <c r="B123" s="5" t="s">
        <v>1073</v>
      </c>
      <c r="C123" s="5" t="s">
        <v>1160</v>
      </c>
      <c r="D123" s="5" t="s">
        <v>1161</v>
      </c>
      <c r="E123" s="5" t="s">
        <v>1162</v>
      </c>
      <c r="F123" s="5">
        <v>8.5</v>
      </c>
      <c r="G123" s="5">
        <v>1</v>
      </c>
      <c r="H123" s="5" t="s">
        <v>623</v>
      </c>
      <c r="I123" s="5">
        <v>734356</v>
      </c>
      <c r="J123" s="5" t="s">
        <v>617</v>
      </c>
      <c r="K123" s="7" t="s">
        <v>1163</v>
      </c>
      <c r="L123" s="5" t="s">
        <v>1164</v>
      </c>
    </row>
    <row r="124" spans="1:12" ht="65" customHeight="1">
      <c r="A124" s="5" t="s">
        <v>611</v>
      </c>
      <c r="B124" s="5" t="s">
        <v>1073</v>
      </c>
      <c r="C124" s="5" t="s">
        <v>1165</v>
      </c>
      <c r="D124" s="5" t="s">
        <v>1166</v>
      </c>
      <c r="E124" s="5" t="s">
        <v>1167</v>
      </c>
      <c r="F124" s="5">
        <v>0</v>
      </c>
      <c r="G124" s="5">
        <v>2</v>
      </c>
      <c r="H124" s="5" t="s">
        <v>616</v>
      </c>
      <c r="I124" s="5">
        <v>0</v>
      </c>
      <c r="J124" s="5" t="s">
        <v>657</v>
      </c>
      <c r="K124" s="7" t="s">
        <v>1168</v>
      </c>
      <c r="L124" s="5" t="s">
        <v>1169</v>
      </c>
    </row>
    <row r="125" spans="1:12" ht="65" customHeight="1">
      <c r="A125" s="5" t="s">
        <v>611</v>
      </c>
      <c r="B125" s="5" t="s">
        <v>1073</v>
      </c>
      <c r="C125" s="5" t="s">
        <v>1170</v>
      </c>
      <c r="D125" s="5" t="s">
        <v>1171</v>
      </c>
      <c r="E125" s="5" t="s">
        <v>1172</v>
      </c>
      <c r="F125" s="5">
        <v>0</v>
      </c>
      <c r="G125" s="5">
        <v>1</v>
      </c>
      <c r="H125" s="5" t="s">
        <v>616</v>
      </c>
      <c r="I125" s="5">
        <v>0</v>
      </c>
      <c r="J125" s="5" t="s">
        <v>657</v>
      </c>
      <c r="K125" s="7" t="s">
        <v>1173</v>
      </c>
      <c r="L125" s="5" t="s">
        <v>1174</v>
      </c>
    </row>
    <row r="126" spans="1:12" ht="65" customHeight="1">
      <c r="A126" s="5" t="s">
        <v>611</v>
      </c>
      <c r="B126" s="5" t="s">
        <v>1073</v>
      </c>
      <c r="C126" s="5" t="s">
        <v>1175</v>
      </c>
      <c r="D126" s="5" t="s">
        <v>1176</v>
      </c>
      <c r="E126" s="5" t="s">
        <v>1177</v>
      </c>
      <c r="F126" s="5">
        <v>19</v>
      </c>
      <c r="G126" s="5">
        <v>3</v>
      </c>
      <c r="H126" s="5" t="s">
        <v>616</v>
      </c>
      <c r="I126" s="5">
        <v>0</v>
      </c>
      <c r="J126" s="5" t="s">
        <v>617</v>
      </c>
      <c r="K126" s="7" t="s">
        <v>1178</v>
      </c>
      <c r="L126" s="5" t="s">
        <v>1179</v>
      </c>
    </row>
    <row r="127" spans="1:12" ht="65" customHeight="1">
      <c r="A127" s="5" t="s">
        <v>611</v>
      </c>
      <c r="B127" s="5" t="s">
        <v>1073</v>
      </c>
      <c r="C127" s="5" t="s">
        <v>1180</v>
      </c>
      <c r="D127" s="5" t="s">
        <v>1181</v>
      </c>
      <c r="E127" s="5" t="s">
        <v>1182</v>
      </c>
      <c r="F127" s="5">
        <v>13.9</v>
      </c>
      <c r="G127" s="5">
        <v>1</v>
      </c>
      <c r="H127" s="5" t="s">
        <v>623</v>
      </c>
      <c r="I127" s="5">
        <v>592217</v>
      </c>
      <c r="J127" s="5" t="s">
        <v>617</v>
      </c>
      <c r="K127" s="7" t="s">
        <v>1183</v>
      </c>
      <c r="L127" s="5" t="s">
        <v>1184</v>
      </c>
    </row>
    <row r="128" spans="1:12" ht="65" customHeight="1">
      <c r="A128" s="5" t="s">
        <v>611</v>
      </c>
      <c r="B128" s="5" t="s">
        <v>1073</v>
      </c>
      <c r="C128" s="5" t="s">
        <v>1185</v>
      </c>
      <c r="D128" s="5" t="s">
        <v>1186</v>
      </c>
      <c r="E128" s="5" t="s">
        <v>1187</v>
      </c>
      <c r="F128" s="5">
        <v>7.5</v>
      </c>
      <c r="G128" s="5">
        <v>1</v>
      </c>
      <c r="H128" s="5" t="s">
        <v>623</v>
      </c>
      <c r="I128" s="5">
        <v>203095</v>
      </c>
      <c r="J128" s="5" t="s">
        <v>617</v>
      </c>
      <c r="K128" s="7" t="s">
        <v>1188</v>
      </c>
      <c r="L128" s="5" t="s">
        <v>1189</v>
      </c>
    </row>
    <row r="129" spans="1:12" ht="65" customHeight="1">
      <c r="A129" s="5" t="s">
        <v>611</v>
      </c>
      <c r="B129" s="5" t="s">
        <v>1073</v>
      </c>
      <c r="C129" s="5" t="s">
        <v>1190</v>
      </c>
      <c r="D129" s="5" t="s">
        <v>1191</v>
      </c>
      <c r="E129" s="6"/>
      <c r="F129" s="5">
        <v>0</v>
      </c>
      <c r="G129" s="5">
        <v>0</v>
      </c>
      <c r="H129" s="5" t="s">
        <v>616</v>
      </c>
      <c r="I129" s="5">
        <v>0</v>
      </c>
      <c r="J129" s="5" t="s">
        <v>657</v>
      </c>
      <c r="K129" s="7" t="s">
        <v>1192</v>
      </c>
      <c r="L129" s="5" t="s">
        <v>1193</v>
      </c>
    </row>
    <row r="130" spans="1:12" ht="65" customHeight="1">
      <c r="A130" s="5" t="s">
        <v>611</v>
      </c>
      <c r="B130" s="5" t="s">
        <v>1073</v>
      </c>
      <c r="C130" s="5" t="s">
        <v>1194</v>
      </c>
      <c r="D130" s="5" t="s">
        <v>1195</v>
      </c>
      <c r="E130" s="6"/>
      <c r="F130" s="5">
        <v>0</v>
      </c>
      <c r="G130" s="5">
        <v>0</v>
      </c>
      <c r="H130" s="5" t="s">
        <v>616</v>
      </c>
      <c r="I130" s="5">
        <v>0</v>
      </c>
      <c r="J130" s="5" t="s">
        <v>657</v>
      </c>
      <c r="K130" s="7" t="s">
        <v>1196</v>
      </c>
      <c r="L130" s="5" t="s">
        <v>1197</v>
      </c>
    </row>
    <row r="131" spans="1:12" ht="65" customHeight="1">
      <c r="A131" s="5" t="s">
        <v>611</v>
      </c>
      <c r="B131" s="5" t="s">
        <v>1073</v>
      </c>
      <c r="C131" s="5" t="s">
        <v>1198</v>
      </c>
      <c r="D131" s="5" t="s">
        <v>1199</v>
      </c>
      <c r="E131" s="6"/>
      <c r="F131" s="5">
        <v>0</v>
      </c>
      <c r="G131" s="5">
        <v>0</v>
      </c>
      <c r="H131" s="5" t="s">
        <v>616</v>
      </c>
      <c r="I131" s="5">
        <v>0</v>
      </c>
      <c r="J131" s="5" t="s">
        <v>657</v>
      </c>
      <c r="K131" s="7" t="s">
        <v>1200</v>
      </c>
      <c r="L131" s="5" t="s">
        <v>1201</v>
      </c>
    </row>
    <row r="132" spans="1:12" ht="65" customHeight="1">
      <c r="A132" s="5" t="s">
        <v>611</v>
      </c>
      <c r="B132" s="5" t="s">
        <v>1073</v>
      </c>
      <c r="C132" s="5" t="s">
        <v>1202</v>
      </c>
      <c r="D132" s="5" t="s">
        <v>1203</v>
      </c>
      <c r="E132" s="6"/>
      <c r="F132" s="5">
        <v>0</v>
      </c>
      <c r="G132" s="5">
        <v>0</v>
      </c>
      <c r="H132" s="5" t="s">
        <v>616</v>
      </c>
      <c r="I132" s="5">
        <v>0</v>
      </c>
      <c r="J132" s="5" t="s">
        <v>657</v>
      </c>
      <c r="K132" s="7" t="s">
        <v>1204</v>
      </c>
      <c r="L132" s="5" t="s">
        <v>1205</v>
      </c>
    </row>
    <row r="133" spans="1:12" ht="65" customHeight="1">
      <c r="A133" s="5" t="s">
        <v>611</v>
      </c>
      <c r="B133" s="5" t="s">
        <v>1073</v>
      </c>
      <c r="C133" s="5" t="s">
        <v>1206</v>
      </c>
      <c r="D133" s="5" t="s">
        <v>1207</v>
      </c>
      <c r="E133" s="5" t="s">
        <v>1208</v>
      </c>
      <c r="F133" s="5">
        <v>7.6</v>
      </c>
      <c r="G133" s="5">
        <v>1</v>
      </c>
      <c r="H133" s="5" t="s">
        <v>616</v>
      </c>
      <c r="I133" s="5">
        <v>0</v>
      </c>
      <c r="J133" s="5" t="s">
        <v>617</v>
      </c>
      <c r="K133" s="7" t="s">
        <v>1209</v>
      </c>
      <c r="L133" s="5" t="s">
        <v>1210</v>
      </c>
    </row>
    <row r="134" spans="1:12" ht="65" customHeight="1">
      <c r="A134" s="5" t="s">
        <v>611</v>
      </c>
      <c r="B134" s="5" t="s">
        <v>1073</v>
      </c>
      <c r="C134" s="5" t="s">
        <v>1211</v>
      </c>
      <c r="D134" s="5" t="s">
        <v>1212</v>
      </c>
      <c r="E134" s="6"/>
      <c r="F134" s="5">
        <v>0</v>
      </c>
      <c r="G134" s="5">
        <v>0</v>
      </c>
      <c r="H134" s="5" t="s">
        <v>616</v>
      </c>
      <c r="I134" s="5">
        <v>0</v>
      </c>
      <c r="J134" s="5" t="s">
        <v>657</v>
      </c>
      <c r="K134" s="7" t="s">
        <v>1213</v>
      </c>
      <c r="L134" s="5" t="s">
        <v>1214</v>
      </c>
    </row>
    <row r="135" spans="1:12" ht="65" customHeight="1">
      <c r="A135" s="5" t="s">
        <v>611</v>
      </c>
      <c r="B135" s="5" t="s">
        <v>1073</v>
      </c>
      <c r="C135" s="5" t="s">
        <v>1215</v>
      </c>
      <c r="D135" s="5" t="s">
        <v>1216</v>
      </c>
      <c r="E135" s="6"/>
      <c r="F135" s="5">
        <v>0</v>
      </c>
      <c r="G135" s="5">
        <v>0</v>
      </c>
      <c r="H135" s="5" t="s">
        <v>616</v>
      </c>
      <c r="I135" s="5">
        <v>0</v>
      </c>
      <c r="J135" s="5" t="s">
        <v>657</v>
      </c>
      <c r="K135" s="7" t="s">
        <v>1217</v>
      </c>
      <c r="L135" s="5" t="s">
        <v>1218</v>
      </c>
    </row>
    <row r="136" spans="1:12" ht="65" customHeight="1">
      <c r="A136" s="5" t="s">
        <v>611</v>
      </c>
      <c r="B136" s="5" t="s">
        <v>1073</v>
      </c>
      <c r="C136" s="5" t="s">
        <v>1219</v>
      </c>
      <c r="D136" s="5" t="s">
        <v>1220</v>
      </c>
      <c r="E136" s="6"/>
      <c r="F136" s="5">
        <v>0</v>
      </c>
      <c r="G136" s="5">
        <v>0</v>
      </c>
      <c r="H136" s="5" t="s">
        <v>616</v>
      </c>
      <c r="I136" s="5">
        <v>0</v>
      </c>
      <c r="J136" s="5" t="s">
        <v>657</v>
      </c>
      <c r="K136" s="7" t="s">
        <v>1221</v>
      </c>
      <c r="L136" s="5" t="s">
        <v>1222</v>
      </c>
    </row>
    <row r="137" spans="1:12" ht="65" customHeight="1">
      <c r="A137" s="5" t="s">
        <v>611</v>
      </c>
      <c r="B137" s="5" t="s">
        <v>1073</v>
      </c>
      <c r="C137" s="5" t="s">
        <v>1223</v>
      </c>
      <c r="D137" s="5" t="s">
        <v>1224</v>
      </c>
      <c r="E137" s="6"/>
      <c r="F137" s="5">
        <v>0</v>
      </c>
      <c r="G137" s="5">
        <v>0</v>
      </c>
      <c r="H137" s="5" t="s">
        <v>616</v>
      </c>
      <c r="I137" s="5">
        <v>0</v>
      </c>
      <c r="J137" s="5" t="s">
        <v>657</v>
      </c>
      <c r="K137" s="7" t="s">
        <v>1225</v>
      </c>
      <c r="L137" s="5" t="s">
        <v>1226</v>
      </c>
    </row>
    <row r="138" spans="1:12" ht="65" customHeight="1">
      <c r="A138" s="5" t="s">
        <v>611</v>
      </c>
      <c r="B138" s="5" t="s">
        <v>1073</v>
      </c>
      <c r="C138" s="5" t="s">
        <v>1227</v>
      </c>
      <c r="D138" s="5" t="s">
        <v>1228</v>
      </c>
      <c r="E138" s="6"/>
      <c r="F138" s="5">
        <v>0</v>
      </c>
      <c r="G138" s="5">
        <v>0</v>
      </c>
      <c r="H138" s="5" t="s">
        <v>616</v>
      </c>
      <c r="I138" s="5">
        <v>0</v>
      </c>
      <c r="J138" s="5" t="s">
        <v>657</v>
      </c>
      <c r="K138" s="7" t="s">
        <v>1229</v>
      </c>
      <c r="L138" s="5" t="s">
        <v>1230</v>
      </c>
    </row>
    <row r="139" spans="1:12" ht="65" customHeight="1">
      <c r="A139" s="5" t="s">
        <v>611</v>
      </c>
      <c r="B139" s="5" t="s">
        <v>1073</v>
      </c>
      <c r="C139" s="5" t="s">
        <v>1231</v>
      </c>
      <c r="D139" s="5" t="s">
        <v>1232</v>
      </c>
      <c r="E139" s="6"/>
      <c r="F139" s="5">
        <v>0</v>
      </c>
      <c r="G139" s="5">
        <v>0</v>
      </c>
      <c r="H139" s="5" t="s">
        <v>616</v>
      </c>
      <c r="I139" s="5">
        <v>0</v>
      </c>
      <c r="J139" s="5" t="s">
        <v>657</v>
      </c>
      <c r="K139" s="7" t="s">
        <v>1233</v>
      </c>
      <c r="L139" s="5" t="s">
        <v>1234</v>
      </c>
    </row>
    <row r="140" spans="1:12" ht="65" customHeight="1">
      <c r="A140" s="5" t="s">
        <v>611</v>
      </c>
      <c r="B140" s="5" t="s">
        <v>1073</v>
      </c>
      <c r="C140" s="5" t="s">
        <v>1235</v>
      </c>
      <c r="D140" s="5" t="s">
        <v>1236</v>
      </c>
      <c r="E140" s="6"/>
      <c r="F140" s="5">
        <v>0</v>
      </c>
      <c r="G140" s="5">
        <v>0</v>
      </c>
      <c r="H140" s="5" t="s">
        <v>616</v>
      </c>
      <c r="I140" s="5">
        <v>0</v>
      </c>
      <c r="J140" s="5" t="s">
        <v>657</v>
      </c>
      <c r="K140" s="7" t="s">
        <v>1237</v>
      </c>
      <c r="L140" s="5" t="s">
        <v>1238</v>
      </c>
    </row>
    <row r="141" spans="1:12" ht="65" customHeight="1">
      <c r="A141" s="5" t="s">
        <v>611</v>
      </c>
      <c r="B141" s="5" t="s">
        <v>1073</v>
      </c>
      <c r="C141" s="5" t="s">
        <v>1239</v>
      </c>
      <c r="D141" s="5" t="s">
        <v>1240</v>
      </c>
      <c r="E141" s="5" t="s">
        <v>1241</v>
      </c>
      <c r="F141" s="5">
        <v>3.25</v>
      </c>
      <c r="G141" s="5">
        <v>2</v>
      </c>
      <c r="H141" s="5" t="s">
        <v>616</v>
      </c>
      <c r="I141" s="5">
        <v>0</v>
      </c>
      <c r="J141" s="5" t="s">
        <v>617</v>
      </c>
      <c r="K141" s="7" t="s">
        <v>1242</v>
      </c>
      <c r="L141" s="5" t="s">
        <v>1243</v>
      </c>
    </row>
    <row r="142" spans="1:12" ht="65" customHeight="1">
      <c r="A142" s="5" t="s">
        <v>611</v>
      </c>
      <c r="B142" s="5" t="s">
        <v>1073</v>
      </c>
      <c r="C142" s="5" t="s">
        <v>1244</v>
      </c>
      <c r="D142" s="5" t="s">
        <v>1245</v>
      </c>
      <c r="E142" s="5" t="s">
        <v>1246</v>
      </c>
      <c r="F142" s="5">
        <v>8.08</v>
      </c>
      <c r="G142" s="5">
        <v>1</v>
      </c>
      <c r="H142" s="5" t="s">
        <v>623</v>
      </c>
      <c r="I142" s="5">
        <v>17607</v>
      </c>
      <c r="J142" s="5" t="s">
        <v>617</v>
      </c>
      <c r="K142" s="7" t="s">
        <v>1247</v>
      </c>
      <c r="L142" s="5" t="s">
        <v>1248</v>
      </c>
    </row>
    <row r="143" spans="1:12" ht="65" customHeight="1">
      <c r="A143" s="5" t="s">
        <v>611</v>
      </c>
      <c r="B143" s="5" t="s">
        <v>1073</v>
      </c>
      <c r="C143" s="5" t="s">
        <v>1249</v>
      </c>
      <c r="D143" s="5" t="s">
        <v>1250</v>
      </c>
      <c r="E143" s="5" t="s">
        <v>1079</v>
      </c>
      <c r="F143" s="5">
        <v>22</v>
      </c>
      <c r="G143" s="5">
        <v>2</v>
      </c>
      <c r="H143" s="5" t="s">
        <v>623</v>
      </c>
      <c r="I143" s="5">
        <v>328901</v>
      </c>
      <c r="J143" s="5" t="s">
        <v>617</v>
      </c>
      <c r="K143" s="7" t="s">
        <v>1251</v>
      </c>
      <c r="L143" s="5" t="s">
        <v>1252</v>
      </c>
    </row>
    <row r="144" spans="1:12" ht="65" customHeight="1">
      <c r="A144" s="5" t="s">
        <v>611</v>
      </c>
      <c r="B144" s="5" t="s">
        <v>1073</v>
      </c>
      <c r="C144" s="5" t="s">
        <v>1253</v>
      </c>
      <c r="D144" s="5" t="s">
        <v>1254</v>
      </c>
      <c r="E144" s="6"/>
      <c r="F144" s="5">
        <v>0</v>
      </c>
      <c r="G144" s="5">
        <v>0</v>
      </c>
      <c r="H144" s="5" t="s">
        <v>616</v>
      </c>
      <c r="I144" s="5">
        <v>0</v>
      </c>
      <c r="J144" s="5" t="s">
        <v>657</v>
      </c>
      <c r="K144" s="7" t="s">
        <v>1255</v>
      </c>
      <c r="L144" s="5" t="s">
        <v>1256</v>
      </c>
    </row>
    <row r="145" spans="1:12" ht="65" customHeight="1">
      <c r="A145" s="5" t="s">
        <v>611</v>
      </c>
      <c r="B145" s="5" t="s">
        <v>1073</v>
      </c>
      <c r="C145" s="5" t="s">
        <v>1257</v>
      </c>
      <c r="D145" s="5" t="s">
        <v>1258</v>
      </c>
      <c r="E145" s="6"/>
      <c r="F145" s="5">
        <v>0</v>
      </c>
      <c r="G145" s="5">
        <v>0</v>
      </c>
      <c r="H145" s="5" t="s">
        <v>616</v>
      </c>
      <c r="I145" s="5">
        <v>0</v>
      </c>
      <c r="J145" s="5" t="s">
        <v>657</v>
      </c>
      <c r="K145" s="7" t="s">
        <v>1259</v>
      </c>
      <c r="L145" s="5" t="s">
        <v>1260</v>
      </c>
    </row>
    <row r="146" spans="1:12" ht="65" customHeight="1">
      <c r="A146" s="5" t="s">
        <v>611</v>
      </c>
      <c r="B146" s="5" t="s">
        <v>1073</v>
      </c>
      <c r="C146" s="5" t="s">
        <v>1261</v>
      </c>
      <c r="D146" s="5" t="s">
        <v>1262</v>
      </c>
      <c r="E146" s="5" t="s">
        <v>1263</v>
      </c>
      <c r="F146" s="5">
        <v>7.2</v>
      </c>
      <c r="G146" s="5">
        <v>2</v>
      </c>
      <c r="H146" s="5" t="s">
        <v>616</v>
      </c>
      <c r="I146" s="5">
        <v>105945</v>
      </c>
      <c r="J146" s="5" t="s">
        <v>617</v>
      </c>
      <c r="K146" s="7" t="s">
        <v>1264</v>
      </c>
      <c r="L146" s="5" t="s">
        <v>1265</v>
      </c>
    </row>
    <row r="147" spans="1:12" ht="65" customHeight="1">
      <c r="A147" s="5" t="s">
        <v>611</v>
      </c>
      <c r="B147" s="5" t="s">
        <v>1073</v>
      </c>
      <c r="C147" s="5" t="s">
        <v>1266</v>
      </c>
      <c r="D147" s="5" t="s">
        <v>1267</v>
      </c>
      <c r="E147" s="6"/>
      <c r="F147" s="5">
        <v>0</v>
      </c>
      <c r="G147" s="5">
        <v>0</v>
      </c>
      <c r="H147" s="5" t="s">
        <v>616</v>
      </c>
      <c r="I147" s="5">
        <v>0</v>
      </c>
      <c r="J147" s="5" t="s">
        <v>657</v>
      </c>
      <c r="K147" s="7" t="s">
        <v>1268</v>
      </c>
      <c r="L147" s="5" t="s">
        <v>1269</v>
      </c>
    </row>
    <row r="148" spans="1:12" ht="65" customHeight="1">
      <c r="A148" s="5" t="s">
        <v>611</v>
      </c>
      <c r="B148" s="5" t="s">
        <v>1073</v>
      </c>
      <c r="C148" s="5" t="s">
        <v>1270</v>
      </c>
      <c r="D148" s="5" t="s">
        <v>1271</v>
      </c>
      <c r="E148" s="5" t="s">
        <v>1272</v>
      </c>
      <c r="F148" s="5">
        <v>3.5</v>
      </c>
      <c r="G148" s="5">
        <v>1</v>
      </c>
      <c r="H148" s="5" t="s">
        <v>616</v>
      </c>
      <c r="I148" s="5">
        <v>0</v>
      </c>
      <c r="J148" s="5" t="s">
        <v>617</v>
      </c>
      <c r="K148" s="7" t="s">
        <v>1273</v>
      </c>
      <c r="L148" s="5" t="s">
        <v>1274</v>
      </c>
    </row>
    <row r="149" spans="1:12" ht="65" customHeight="1">
      <c r="A149" s="5" t="s">
        <v>611</v>
      </c>
      <c r="B149" s="5" t="s">
        <v>1073</v>
      </c>
      <c r="C149" s="5" t="s">
        <v>1275</v>
      </c>
      <c r="D149" s="5" t="s">
        <v>1276</v>
      </c>
      <c r="E149" s="6"/>
      <c r="F149" s="5">
        <v>0</v>
      </c>
      <c r="G149" s="5">
        <v>0</v>
      </c>
      <c r="H149" s="5" t="s">
        <v>616</v>
      </c>
      <c r="I149" s="5">
        <v>0</v>
      </c>
      <c r="J149" s="5" t="s">
        <v>657</v>
      </c>
      <c r="K149" s="7" t="s">
        <v>1277</v>
      </c>
      <c r="L149" s="5" t="s">
        <v>1278</v>
      </c>
    </row>
    <row r="150" spans="1:12" ht="65" customHeight="1">
      <c r="A150" s="5" t="s">
        <v>611</v>
      </c>
      <c r="B150" s="5" t="s">
        <v>1073</v>
      </c>
      <c r="C150" s="5" t="s">
        <v>1279</v>
      </c>
      <c r="D150" s="5" t="s">
        <v>1280</v>
      </c>
      <c r="E150" s="6"/>
      <c r="F150" s="5">
        <v>0</v>
      </c>
      <c r="G150" s="5">
        <v>0</v>
      </c>
      <c r="H150" s="5" t="s">
        <v>616</v>
      </c>
      <c r="I150" s="5">
        <v>0</v>
      </c>
      <c r="J150" s="5" t="s">
        <v>657</v>
      </c>
      <c r="K150" s="7" t="s">
        <v>1281</v>
      </c>
      <c r="L150" s="5" t="s">
        <v>1282</v>
      </c>
    </row>
    <row r="151" spans="1:12" ht="65" customHeight="1">
      <c r="A151" s="5" t="s">
        <v>611</v>
      </c>
      <c r="B151" s="5" t="s">
        <v>1073</v>
      </c>
      <c r="C151" s="5" t="s">
        <v>1283</v>
      </c>
      <c r="D151" s="5" t="s">
        <v>1161</v>
      </c>
      <c r="E151" s="6"/>
      <c r="F151" s="5">
        <v>0</v>
      </c>
      <c r="G151" s="5">
        <v>0</v>
      </c>
      <c r="H151" s="5" t="s">
        <v>616</v>
      </c>
      <c r="I151" s="5">
        <v>0</v>
      </c>
      <c r="J151" s="5" t="s">
        <v>657</v>
      </c>
      <c r="K151" s="7" t="s">
        <v>1284</v>
      </c>
      <c r="L151" s="5" t="s">
        <v>1285</v>
      </c>
    </row>
    <row r="152" spans="1:12" ht="65" customHeight="1">
      <c r="A152" s="5" t="s">
        <v>611</v>
      </c>
      <c r="B152" s="5" t="s">
        <v>1073</v>
      </c>
      <c r="C152" s="5" t="s">
        <v>1286</v>
      </c>
      <c r="D152" s="5" t="s">
        <v>1287</v>
      </c>
      <c r="E152" s="6"/>
      <c r="F152" s="5">
        <v>0</v>
      </c>
      <c r="G152" s="5">
        <v>0</v>
      </c>
      <c r="H152" s="5" t="s">
        <v>616</v>
      </c>
      <c r="I152" s="5">
        <v>0</v>
      </c>
      <c r="J152" s="5" t="s">
        <v>657</v>
      </c>
      <c r="K152" s="7" t="s">
        <v>1288</v>
      </c>
      <c r="L152" s="5" t="s">
        <v>1289</v>
      </c>
    </row>
    <row r="153" spans="1:12" ht="65" customHeight="1">
      <c r="A153" s="5" t="s">
        <v>611</v>
      </c>
      <c r="B153" s="5" t="s">
        <v>1073</v>
      </c>
      <c r="C153" s="5" t="s">
        <v>1290</v>
      </c>
      <c r="D153" s="5" t="s">
        <v>1291</v>
      </c>
      <c r="E153" s="6"/>
      <c r="F153" s="5">
        <v>0</v>
      </c>
      <c r="G153" s="5">
        <v>0</v>
      </c>
      <c r="H153" s="5" t="s">
        <v>616</v>
      </c>
      <c r="I153" s="5">
        <v>0</v>
      </c>
      <c r="J153" s="5" t="s">
        <v>657</v>
      </c>
      <c r="K153" s="7" t="s">
        <v>1292</v>
      </c>
      <c r="L153" s="5" t="s">
        <v>1293</v>
      </c>
    </row>
    <row r="154" spans="1:12" ht="65" customHeight="1">
      <c r="A154" s="5" t="s">
        <v>611</v>
      </c>
      <c r="B154" s="5" t="s">
        <v>1073</v>
      </c>
      <c r="C154" s="5" t="s">
        <v>1294</v>
      </c>
      <c r="D154" s="5" t="s">
        <v>1295</v>
      </c>
      <c r="E154" s="6"/>
      <c r="F154" s="5">
        <v>0</v>
      </c>
      <c r="G154" s="5">
        <v>0</v>
      </c>
      <c r="H154" s="5" t="s">
        <v>616</v>
      </c>
      <c r="I154" s="5">
        <v>0</v>
      </c>
      <c r="J154" s="5" t="s">
        <v>657</v>
      </c>
      <c r="K154" s="7" t="s">
        <v>1296</v>
      </c>
      <c r="L154" s="5" t="s">
        <v>1297</v>
      </c>
    </row>
    <row r="155" spans="1:12" ht="65" customHeight="1">
      <c r="A155" s="5" t="s">
        <v>611</v>
      </c>
      <c r="B155" s="5" t="s">
        <v>1073</v>
      </c>
      <c r="C155" s="5" t="s">
        <v>1298</v>
      </c>
      <c r="D155" s="5" t="s">
        <v>1299</v>
      </c>
      <c r="E155" s="6"/>
      <c r="F155" s="5">
        <v>0</v>
      </c>
      <c r="G155" s="5">
        <v>0</v>
      </c>
      <c r="H155" s="5" t="s">
        <v>616</v>
      </c>
      <c r="I155" s="5">
        <v>0</v>
      </c>
      <c r="J155" s="5" t="s">
        <v>657</v>
      </c>
      <c r="K155" s="7" t="s">
        <v>1300</v>
      </c>
      <c r="L155" s="5" t="s">
        <v>1301</v>
      </c>
    </row>
    <row r="156" spans="1:12" ht="65" customHeight="1">
      <c r="A156" s="5" t="s">
        <v>611</v>
      </c>
      <c r="B156" s="5" t="s">
        <v>1073</v>
      </c>
      <c r="C156" s="5" t="s">
        <v>1302</v>
      </c>
      <c r="D156" s="5" t="s">
        <v>1303</v>
      </c>
      <c r="E156" s="6"/>
      <c r="F156" s="5">
        <v>0</v>
      </c>
      <c r="G156" s="5">
        <v>0</v>
      </c>
      <c r="H156" s="5" t="s">
        <v>616</v>
      </c>
      <c r="I156" s="5">
        <v>0</v>
      </c>
      <c r="J156" s="5" t="s">
        <v>657</v>
      </c>
      <c r="K156" s="7" t="s">
        <v>1304</v>
      </c>
      <c r="L156" s="5" t="s">
        <v>1305</v>
      </c>
    </row>
    <row r="157" spans="1:12" ht="65" customHeight="1">
      <c r="A157" s="5" t="s">
        <v>611</v>
      </c>
      <c r="B157" s="5" t="s">
        <v>1073</v>
      </c>
      <c r="C157" s="5" t="s">
        <v>1306</v>
      </c>
      <c r="D157" s="5" t="s">
        <v>1307</v>
      </c>
      <c r="E157" s="5" t="s">
        <v>1308</v>
      </c>
      <c r="F157" s="5">
        <v>8</v>
      </c>
      <c r="G157" s="5">
        <v>2</v>
      </c>
      <c r="H157" s="5" t="s">
        <v>616</v>
      </c>
      <c r="I157" s="5">
        <v>859832</v>
      </c>
      <c r="J157" s="5" t="s">
        <v>617</v>
      </c>
      <c r="K157" s="7" t="s">
        <v>1309</v>
      </c>
      <c r="L157" s="5" t="s">
        <v>1310</v>
      </c>
    </row>
    <row r="158" spans="1:12" ht="65" customHeight="1">
      <c r="A158" s="5" t="s">
        <v>611</v>
      </c>
      <c r="B158" s="5" t="s">
        <v>1073</v>
      </c>
      <c r="C158" s="5" t="s">
        <v>1311</v>
      </c>
      <c r="D158" s="5" t="s">
        <v>1312</v>
      </c>
      <c r="E158" s="6"/>
      <c r="F158" s="5">
        <v>0</v>
      </c>
      <c r="G158" s="5">
        <v>0</v>
      </c>
      <c r="H158" s="5" t="s">
        <v>616</v>
      </c>
      <c r="I158" s="5">
        <v>0</v>
      </c>
      <c r="J158" s="5" t="s">
        <v>657</v>
      </c>
      <c r="K158" s="7" t="s">
        <v>1313</v>
      </c>
      <c r="L158" s="5" t="s">
        <v>1314</v>
      </c>
    </row>
    <row r="159" spans="1:12" ht="65" customHeight="1">
      <c r="A159" s="5" t="s">
        <v>611</v>
      </c>
      <c r="B159" s="5" t="s">
        <v>1073</v>
      </c>
      <c r="C159" s="5" t="s">
        <v>1315</v>
      </c>
      <c r="D159" s="5" t="s">
        <v>1316</v>
      </c>
      <c r="E159" s="6"/>
      <c r="F159" s="5">
        <v>0</v>
      </c>
      <c r="G159" s="5">
        <v>0</v>
      </c>
      <c r="H159" s="5" t="s">
        <v>616</v>
      </c>
      <c r="I159" s="5">
        <v>0</v>
      </c>
      <c r="J159" s="5" t="s">
        <v>657</v>
      </c>
      <c r="K159" s="7" t="s">
        <v>1317</v>
      </c>
      <c r="L159" s="5" t="s">
        <v>1318</v>
      </c>
    </row>
    <row r="160" spans="1:12" ht="65" customHeight="1">
      <c r="A160" s="5" t="s">
        <v>611</v>
      </c>
      <c r="B160" s="5" t="s">
        <v>1073</v>
      </c>
      <c r="C160" s="5" t="s">
        <v>1319</v>
      </c>
      <c r="D160" s="5" t="s">
        <v>1320</v>
      </c>
      <c r="E160" s="6"/>
      <c r="F160" s="5">
        <v>0</v>
      </c>
      <c r="G160" s="5">
        <v>0</v>
      </c>
      <c r="H160" s="5" t="s">
        <v>616</v>
      </c>
      <c r="I160" s="5">
        <v>0</v>
      </c>
      <c r="J160" s="5" t="s">
        <v>657</v>
      </c>
      <c r="K160" s="7" t="s">
        <v>1321</v>
      </c>
      <c r="L160" s="5" t="s">
        <v>1322</v>
      </c>
    </row>
    <row r="161" spans="1:12" ht="65" customHeight="1">
      <c r="A161" s="5" t="s">
        <v>611</v>
      </c>
      <c r="B161" s="5" t="s">
        <v>1073</v>
      </c>
      <c r="C161" s="5" t="s">
        <v>1323</v>
      </c>
      <c r="D161" s="5" t="s">
        <v>1324</v>
      </c>
      <c r="E161" s="5" t="s">
        <v>1325</v>
      </c>
      <c r="F161" s="5">
        <v>8</v>
      </c>
      <c r="G161" s="5">
        <v>1</v>
      </c>
      <c r="H161" s="5" t="s">
        <v>623</v>
      </c>
      <c r="I161" s="5">
        <v>393303</v>
      </c>
      <c r="J161" s="5" t="s">
        <v>617</v>
      </c>
      <c r="K161" s="7" t="s">
        <v>1326</v>
      </c>
      <c r="L161" s="5" t="s">
        <v>1327</v>
      </c>
    </row>
    <row r="162" spans="1:12" ht="65" customHeight="1">
      <c r="A162" s="5" t="s">
        <v>611</v>
      </c>
      <c r="B162" s="5" t="s">
        <v>1073</v>
      </c>
      <c r="C162" s="5" t="s">
        <v>1328</v>
      </c>
      <c r="D162" s="5" t="s">
        <v>1329</v>
      </c>
      <c r="E162" s="5" t="s">
        <v>1330</v>
      </c>
      <c r="F162" s="5">
        <v>6.8</v>
      </c>
      <c r="G162" s="5">
        <v>4</v>
      </c>
      <c r="H162" s="5" t="s">
        <v>616</v>
      </c>
      <c r="I162" s="5">
        <v>1774543</v>
      </c>
      <c r="J162" s="5" t="s">
        <v>617</v>
      </c>
      <c r="K162" s="7" t="s">
        <v>1331</v>
      </c>
      <c r="L162" s="5" t="s">
        <v>1332</v>
      </c>
    </row>
    <row r="163" spans="1:12" ht="65" customHeight="1">
      <c r="A163" s="5" t="s">
        <v>611</v>
      </c>
      <c r="B163" s="5" t="s">
        <v>1073</v>
      </c>
      <c r="C163" s="5" t="s">
        <v>1333</v>
      </c>
      <c r="D163" s="5" t="s">
        <v>1334</v>
      </c>
      <c r="E163" s="5" t="s">
        <v>1335</v>
      </c>
      <c r="F163" s="5">
        <v>8.5</v>
      </c>
      <c r="G163" s="5">
        <v>2</v>
      </c>
      <c r="H163" s="5" t="s">
        <v>616</v>
      </c>
      <c r="I163" s="5">
        <v>94919</v>
      </c>
      <c r="J163" s="5" t="s">
        <v>617</v>
      </c>
      <c r="K163" s="7" t="s">
        <v>1336</v>
      </c>
      <c r="L163" s="5" t="s">
        <v>1337</v>
      </c>
    </row>
    <row r="164" spans="1:12" ht="65" customHeight="1">
      <c r="A164" s="5" t="s">
        <v>611</v>
      </c>
      <c r="B164" s="5" t="s">
        <v>1073</v>
      </c>
      <c r="C164" s="5" t="s">
        <v>1338</v>
      </c>
      <c r="D164" s="5" t="s">
        <v>1339</v>
      </c>
      <c r="E164" s="5" t="s">
        <v>1340</v>
      </c>
      <c r="F164" s="5">
        <v>3</v>
      </c>
      <c r="G164" s="5">
        <v>2</v>
      </c>
      <c r="H164" s="5" t="s">
        <v>623</v>
      </c>
      <c r="I164" s="5">
        <v>469894</v>
      </c>
      <c r="J164" s="5" t="s">
        <v>617</v>
      </c>
      <c r="K164" s="7" t="s">
        <v>1341</v>
      </c>
      <c r="L164" s="5" t="s">
        <v>1342</v>
      </c>
    </row>
    <row r="165" spans="1:12" ht="65" customHeight="1">
      <c r="A165" s="5" t="s">
        <v>611</v>
      </c>
      <c r="B165" s="5" t="s">
        <v>1073</v>
      </c>
      <c r="C165" s="5" t="s">
        <v>1343</v>
      </c>
      <c r="D165" s="5" t="s">
        <v>1344</v>
      </c>
      <c r="E165" s="6"/>
      <c r="F165" s="5">
        <v>0</v>
      </c>
      <c r="G165" s="5">
        <v>0</v>
      </c>
      <c r="H165" s="5" t="s">
        <v>616</v>
      </c>
      <c r="I165" s="5">
        <v>0</v>
      </c>
      <c r="J165" s="5" t="s">
        <v>657</v>
      </c>
      <c r="K165" s="7" t="s">
        <v>1345</v>
      </c>
      <c r="L165" s="5" t="s">
        <v>1346</v>
      </c>
    </row>
    <row r="166" spans="1:12" ht="65" customHeight="1">
      <c r="A166" s="5" t="s">
        <v>611</v>
      </c>
      <c r="B166" s="5" t="s">
        <v>1073</v>
      </c>
      <c r="C166" s="5" t="s">
        <v>1347</v>
      </c>
      <c r="D166" s="5" t="s">
        <v>1348</v>
      </c>
      <c r="E166" s="6"/>
      <c r="F166" s="5">
        <v>0</v>
      </c>
      <c r="G166" s="5">
        <v>0</v>
      </c>
      <c r="H166" s="5" t="s">
        <v>616</v>
      </c>
      <c r="I166" s="5">
        <v>0</v>
      </c>
      <c r="J166" s="5" t="s">
        <v>657</v>
      </c>
      <c r="K166" s="7" t="s">
        <v>1349</v>
      </c>
      <c r="L166" s="5" t="s">
        <v>1350</v>
      </c>
    </row>
    <row r="167" spans="1:12" ht="65" customHeight="1">
      <c r="A167" s="5" t="s">
        <v>611</v>
      </c>
      <c r="B167" s="5" t="s">
        <v>1073</v>
      </c>
      <c r="C167" s="5" t="s">
        <v>1351</v>
      </c>
      <c r="D167" s="5" t="s">
        <v>1352</v>
      </c>
      <c r="E167" s="6"/>
      <c r="F167" s="5">
        <v>0</v>
      </c>
      <c r="G167" s="5">
        <v>0</v>
      </c>
      <c r="H167" s="5" t="s">
        <v>616</v>
      </c>
      <c r="I167" s="5">
        <v>0</v>
      </c>
      <c r="J167" s="5" t="s">
        <v>657</v>
      </c>
      <c r="K167" s="7" t="s">
        <v>1353</v>
      </c>
      <c r="L167" s="5" t="s">
        <v>1354</v>
      </c>
    </row>
    <row r="168" spans="1:12" ht="65" customHeight="1">
      <c r="A168" s="5" t="s">
        <v>611</v>
      </c>
      <c r="B168" s="5" t="s">
        <v>1073</v>
      </c>
      <c r="C168" s="5" t="s">
        <v>1355</v>
      </c>
      <c r="D168" s="5" t="s">
        <v>1356</v>
      </c>
      <c r="E168" s="6"/>
      <c r="F168" s="5">
        <v>0</v>
      </c>
      <c r="G168" s="5">
        <v>0</v>
      </c>
      <c r="H168" s="5" t="s">
        <v>616</v>
      </c>
      <c r="I168" s="5">
        <v>0</v>
      </c>
      <c r="J168" s="5" t="s">
        <v>657</v>
      </c>
      <c r="K168" s="7" t="s">
        <v>1357</v>
      </c>
      <c r="L168" s="5" t="s">
        <v>1358</v>
      </c>
    </row>
    <row r="169" spans="1:12" ht="65" customHeight="1">
      <c r="A169" s="5" t="s">
        <v>611</v>
      </c>
      <c r="B169" s="5" t="s">
        <v>1073</v>
      </c>
      <c r="C169" s="5" t="s">
        <v>1359</v>
      </c>
      <c r="D169" s="5" t="s">
        <v>1360</v>
      </c>
      <c r="E169" s="6"/>
      <c r="F169" s="5">
        <v>0</v>
      </c>
      <c r="G169" s="5">
        <v>0</v>
      </c>
      <c r="H169" s="5" t="s">
        <v>616</v>
      </c>
      <c r="I169" s="5">
        <v>0</v>
      </c>
      <c r="J169" s="5" t="s">
        <v>657</v>
      </c>
      <c r="K169" s="7" t="s">
        <v>1361</v>
      </c>
      <c r="L169" s="5" t="s">
        <v>1362</v>
      </c>
    </row>
    <row r="170" spans="1:12" ht="65" customHeight="1">
      <c r="A170" s="5" t="s">
        <v>611</v>
      </c>
      <c r="B170" s="5" t="s">
        <v>1073</v>
      </c>
      <c r="C170" s="5" t="s">
        <v>1363</v>
      </c>
      <c r="D170" s="5" t="s">
        <v>1364</v>
      </c>
      <c r="E170" s="6"/>
      <c r="F170" s="5">
        <v>0</v>
      </c>
      <c r="G170" s="5">
        <v>0</v>
      </c>
      <c r="H170" s="5" t="s">
        <v>616</v>
      </c>
      <c r="I170" s="5">
        <v>0</v>
      </c>
      <c r="J170" s="5" t="s">
        <v>657</v>
      </c>
      <c r="K170" s="7" t="s">
        <v>1365</v>
      </c>
      <c r="L170" s="5" t="s">
        <v>1366</v>
      </c>
    </row>
    <row r="171" spans="1:12" ht="65" customHeight="1">
      <c r="A171" s="5" t="s">
        <v>611</v>
      </c>
      <c r="B171" s="5" t="s">
        <v>1073</v>
      </c>
      <c r="C171" s="5" t="s">
        <v>1367</v>
      </c>
      <c r="D171" s="5" t="s">
        <v>1368</v>
      </c>
      <c r="E171" s="6"/>
      <c r="F171" s="5">
        <v>0</v>
      </c>
      <c r="G171" s="5">
        <v>0</v>
      </c>
      <c r="H171" s="5" t="s">
        <v>616</v>
      </c>
      <c r="I171" s="5">
        <v>0</v>
      </c>
      <c r="J171" s="5" t="s">
        <v>657</v>
      </c>
      <c r="K171" s="7" t="s">
        <v>1369</v>
      </c>
      <c r="L171" s="5" t="s">
        <v>1370</v>
      </c>
    </row>
    <row r="172" spans="1:12" ht="65" customHeight="1">
      <c r="A172" s="5" t="s">
        <v>611</v>
      </c>
      <c r="B172" s="5" t="s">
        <v>1073</v>
      </c>
      <c r="C172" s="5" t="s">
        <v>1371</v>
      </c>
      <c r="D172" s="5" t="s">
        <v>1372</v>
      </c>
      <c r="E172" s="6"/>
      <c r="F172" s="5">
        <v>0</v>
      </c>
      <c r="G172" s="5">
        <v>0</v>
      </c>
      <c r="H172" s="5" t="s">
        <v>616</v>
      </c>
      <c r="I172" s="5">
        <v>0</v>
      </c>
      <c r="J172" s="5" t="s">
        <v>657</v>
      </c>
      <c r="K172" s="7" t="s">
        <v>1373</v>
      </c>
      <c r="L172" s="5" t="s">
        <v>1374</v>
      </c>
    </row>
    <row r="173" spans="1:12" ht="65" customHeight="1">
      <c r="A173" s="5" t="s">
        <v>611</v>
      </c>
      <c r="B173" s="5" t="s">
        <v>1073</v>
      </c>
      <c r="C173" s="5" t="s">
        <v>1375</v>
      </c>
      <c r="D173" s="5" t="s">
        <v>1376</v>
      </c>
      <c r="E173" s="6"/>
      <c r="F173" s="5">
        <v>0</v>
      </c>
      <c r="G173" s="5">
        <v>0</v>
      </c>
      <c r="H173" s="5" t="s">
        <v>616</v>
      </c>
      <c r="I173" s="5">
        <v>0</v>
      </c>
      <c r="J173" s="5" t="s">
        <v>657</v>
      </c>
      <c r="K173" s="7" t="s">
        <v>1377</v>
      </c>
      <c r="L173" s="5" t="s">
        <v>1378</v>
      </c>
    </row>
    <row r="174" spans="1:12" ht="65" customHeight="1">
      <c r="A174" s="5" t="s">
        <v>611</v>
      </c>
      <c r="B174" s="5" t="s">
        <v>1073</v>
      </c>
      <c r="C174" s="5" t="s">
        <v>1379</v>
      </c>
      <c r="D174" s="5" t="s">
        <v>1380</v>
      </c>
      <c r="E174" s="6"/>
      <c r="F174" s="5">
        <v>0</v>
      </c>
      <c r="G174" s="5">
        <v>0</v>
      </c>
      <c r="H174" s="5" t="s">
        <v>616</v>
      </c>
      <c r="I174" s="5">
        <v>0</v>
      </c>
      <c r="J174" s="5" t="s">
        <v>657</v>
      </c>
      <c r="K174" s="7" t="s">
        <v>1381</v>
      </c>
      <c r="L174" s="5" t="s">
        <v>1382</v>
      </c>
    </row>
    <row r="175" spans="1:12" ht="65" customHeight="1">
      <c r="A175" s="5" t="s">
        <v>611</v>
      </c>
      <c r="B175" s="5" t="s">
        <v>1073</v>
      </c>
      <c r="C175" s="5" t="s">
        <v>1383</v>
      </c>
      <c r="D175" s="5" t="s">
        <v>1384</v>
      </c>
      <c r="E175" s="6"/>
      <c r="F175" s="5">
        <v>0</v>
      </c>
      <c r="G175" s="5">
        <v>0</v>
      </c>
      <c r="H175" s="5" t="s">
        <v>616</v>
      </c>
      <c r="I175" s="5">
        <v>0</v>
      </c>
      <c r="J175" s="5" t="s">
        <v>657</v>
      </c>
      <c r="K175" s="7" t="s">
        <v>1385</v>
      </c>
      <c r="L175" s="5" t="s">
        <v>1386</v>
      </c>
    </row>
    <row r="176" spans="1:12" ht="65" customHeight="1">
      <c r="A176" s="5" t="s">
        <v>611</v>
      </c>
      <c r="B176" s="5" t="s">
        <v>1073</v>
      </c>
      <c r="C176" s="5" t="s">
        <v>1387</v>
      </c>
      <c r="D176" s="5" t="s">
        <v>1388</v>
      </c>
      <c r="E176" s="6"/>
      <c r="F176" s="5">
        <v>0</v>
      </c>
      <c r="G176" s="5">
        <v>0</v>
      </c>
      <c r="H176" s="5" t="s">
        <v>616</v>
      </c>
      <c r="I176" s="5">
        <v>0</v>
      </c>
      <c r="J176" s="5" t="s">
        <v>657</v>
      </c>
      <c r="K176" s="7" t="s">
        <v>1389</v>
      </c>
      <c r="L176" s="5" t="s">
        <v>1390</v>
      </c>
    </row>
    <row r="177" spans="1:12" ht="65" customHeight="1">
      <c r="A177" s="5" t="s">
        <v>611</v>
      </c>
      <c r="B177" s="5" t="s">
        <v>1073</v>
      </c>
      <c r="C177" s="5" t="s">
        <v>1391</v>
      </c>
      <c r="D177" s="5" t="s">
        <v>1392</v>
      </c>
      <c r="E177" s="6"/>
      <c r="F177" s="5">
        <v>0</v>
      </c>
      <c r="G177" s="5">
        <v>0</v>
      </c>
      <c r="H177" s="5" t="s">
        <v>616</v>
      </c>
      <c r="I177" s="5">
        <v>0</v>
      </c>
      <c r="J177" s="5" t="s">
        <v>657</v>
      </c>
      <c r="K177" s="7" t="s">
        <v>1393</v>
      </c>
      <c r="L177" s="5" t="s">
        <v>1394</v>
      </c>
    </row>
    <row r="178" spans="1:12" ht="65" customHeight="1">
      <c r="A178" s="5" t="s">
        <v>611</v>
      </c>
      <c r="B178" s="5" t="s">
        <v>1073</v>
      </c>
      <c r="C178" s="5" t="s">
        <v>1395</v>
      </c>
      <c r="D178" s="5" t="s">
        <v>1396</v>
      </c>
      <c r="E178" s="5" t="s">
        <v>1397</v>
      </c>
      <c r="F178" s="5">
        <v>2.4</v>
      </c>
      <c r="G178" s="5">
        <v>1</v>
      </c>
      <c r="H178" s="5" t="s">
        <v>616</v>
      </c>
      <c r="I178" s="5">
        <v>0</v>
      </c>
      <c r="J178" s="5" t="s">
        <v>617</v>
      </c>
      <c r="K178" s="7" t="s">
        <v>1398</v>
      </c>
      <c r="L178" s="5" t="s">
        <v>1399</v>
      </c>
    </row>
    <row r="179" spans="1:12" ht="65" customHeight="1">
      <c r="A179" s="5" t="s">
        <v>611</v>
      </c>
      <c r="B179" s="5" t="s">
        <v>1073</v>
      </c>
      <c r="C179" s="5" t="s">
        <v>1400</v>
      </c>
      <c r="D179" s="5" t="s">
        <v>1401</v>
      </c>
      <c r="E179" s="6"/>
      <c r="F179" s="5">
        <v>0</v>
      </c>
      <c r="G179" s="5">
        <v>0</v>
      </c>
      <c r="H179" s="5" t="s">
        <v>616</v>
      </c>
      <c r="I179" s="5">
        <v>0</v>
      </c>
      <c r="J179" s="5" t="s">
        <v>657</v>
      </c>
      <c r="K179" s="7" t="s">
        <v>1402</v>
      </c>
      <c r="L179" s="5" t="s">
        <v>1403</v>
      </c>
    </row>
    <row r="180" spans="1:12" ht="65" customHeight="1">
      <c r="A180" s="5" t="s">
        <v>611</v>
      </c>
      <c r="B180" s="5" t="s">
        <v>1073</v>
      </c>
      <c r="C180" s="5" t="s">
        <v>1404</v>
      </c>
      <c r="D180" s="5" t="s">
        <v>1405</v>
      </c>
      <c r="E180" s="6"/>
      <c r="F180" s="5">
        <v>0</v>
      </c>
      <c r="G180" s="5">
        <v>0</v>
      </c>
      <c r="H180" s="5" t="s">
        <v>616</v>
      </c>
      <c r="I180" s="5">
        <v>0</v>
      </c>
      <c r="J180" s="5" t="s">
        <v>657</v>
      </c>
      <c r="K180" s="7" t="s">
        <v>1406</v>
      </c>
      <c r="L180" s="5" t="s">
        <v>1407</v>
      </c>
    </row>
    <row r="181" spans="1:12" ht="65" customHeight="1">
      <c r="A181" s="5" t="s">
        <v>611</v>
      </c>
      <c r="B181" s="5" t="s">
        <v>1073</v>
      </c>
      <c r="C181" s="5" t="s">
        <v>1408</v>
      </c>
      <c r="D181" s="5" t="s">
        <v>1409</v>
      </c>
      <c r="E181" s="6"/>
      <c r="F181" s="5">
        <v>0</v>
      </c>
      <c r="G181" s="5">
        <v>0</v>
      </c>
      <c r="H181" s="5" t="s">
        <v>616</v>
      </c>
      <c r="I181" s="5">
        <v>0</v>
      </c>
      <c r="J181" s="5" t="s">
        <v>657</v>
      </c>
      <c r="K181" s="7" t="s">
        <v>1410</v>
      </c>
      <c r="L181" s="5" t="s">
        <v>1411</v>
      </c>
    </row>
    <row r="182" spans="1:12" ht="65" customHeight="1">
      <c r="A182" s="5" t="s">
        <v>611</v>
      </c>
      <c r="B182" s="5" t="s">
        <v>1073</v>
      </c>
      <c r="C182" s="5" t="s">
        <v>1412</v>
      </c>
      <c r="D182" s="5" t="s">
        <v>1413</v>
      </c>
      <c r="E182" s="6"/>
      <c r="F182" s="5">
        <v>0</v>
      </c>
      <c r="G182" s="5">
        <v>0</v>
      </c>
      <c r="H182" s="5" t="s">
        <v>616</v>
      </c>
      <c r="I182" s="5">
        <v>0</v>
      </c>
      <c r="J182" s="5" t="s">
        <v>657</v>
      </c>
      <c r="K182" s="7" t="s">
        <v>1414</v>
      </c>
      <c r="L182" s="5" t="s">
        <v>1415</v>
      </c>
    </row>
    <row r="183" spans="1:12" ht="65" customHeight="1">
      <c r="A183" s="5" t="s">
        <v>611</v>
      </c>
      <c r="B183" s="5" t="s">
        <v>1073</v>
      </c>
      <c r="C183" s="5" t="s">
        <v>1416</v>
      </c>
      <c r="D183" s="5" t="s">
        <v>1131</v>
      </c>
      <c r="E183" s="6"/>
      <c r="F183" s="5">
        <v>0</v>
      </c>
      <c r="G183" s="5">
        <v>0</v>
      </c>
      <c r="H183" s="5" t="s">
        <v>616</v>
      </c>
      <c r="I183" s="5">
        <v>0</v>
      </c>
      <c r="J183" s="5" t="s">
        <v>657</v>
      </c>
      <c r="K183" s="7" t="s">
        <v>1417</v>
      </c>
      <c r="L183" s="5" t="s">
        <v>1418</v>
      </c>
    </row>
    <row r="184" spans="1:12" ht="65" customHeight="1">
      <c r="A184" s="5" t="s">
        <v>611</v>
      </c>
      <c r="B184" s="5" t="s">
        <v>1073</v>
      </c>
      <c r="C184" s="5" t="s">
        <v>1419</v>
      </c>
      <c r="D184" s="5" t="s">
        <v>1118</v>
      </c>
      <c r="E184" s="6"/>
      <c r="F184" s="5">
        <v>0</v>
      </c>
      <c r="G184" s="5">
        <v>0</v>
      </c>
      <c r="H184" s="5" t="s">
        <v>616</v>
      </c>
      <c r="I184" s="5">
        <v>0</v>
      </c>
      <c r="J184" s="5" t="s">
        <v>657</v>
      </c>
      <c r="K184" s="7" t="s">
        <v>1420</v>
      </c>
      <c r="L184" s="5" t="s">
        <v>1421</v>
      </c>
    </row>
    <row r="185" spans="1:12" ht="65" customHeight="1">
      <c r="A185" s="5" t="s">
        <v>611</v>
      </c>
      <c r="B185" s="5" t="s">
        <v>1073</v>
      </c>
      <c r="C185" s="5" t="s">
        <v>1422</v>
      </c>
      <c r="D185" s="5" t="s">
        <v>1423</v>
      </c>
      <c r="E185" s="6"/>
      <c r="F185" s="5">
        <v>0</v>
      </c>
      <c r="G185" s="5">
        <v>0</v>
      </c>
      <c r="H185" s="5" t="s">
        <v>616</v>
      </c>
      <c r="I185" s="5">
        <v>0</v>
      </c>
      <c r="J185" s="5" t="s">
        <v>657</v>
      </c>
      <c r="K185" s="7" t="s">
        <v>1424</v>
      </c>
      <c r="L185" s="5" t="s">
        <v>1425</v>
      </c>
    </row>
    <row r="186" spans="1:12" ht="65" customHeight="1">
      <c r="A186" s="5" t="s">
        <v>611</v>
      </c>
      <c r="B186" s="5" t="s">
        <v>1073</v>
      </c>
      <c r="C186" s="5" t="s">
        <v>1426</v>
      </c>
      <c r="D186" s="5" t="s">
        <v>1320</v>
      </c>
      <c r="E186" s="6"/>
      <c r="F186" s="5">
        <v>0</v>
      </c>
      <c r="G186" s="5">
        <v>0</v>
      </c>
      <c r="H186" s="5" t="s">
        <v>616</v>
      </c>
      <c r="I186" s="5">
        <v>0</v>
      </c>
      <c r="J186" s="5" t="s">
        <v>657</v>
      </c>
      <c r="K186" s="7" t="s">
        <v>1427</v>
      </c>
      <c r="L186" s="5" t="s">
        <v>1428</v>
      </c>
    </row>
    <row r="187" spans="1:12" ht="65" customHeight="1">
      <c r="A187" s="5" t="s">
        <v>611</v>
      </c>
      <c r="B187" s="5" t="s">
        <v>1073</v>
      </c>
      <c r="C187" s="5" t="s">
        <v>1429</v>
      </c>
      <c r="D187" s="5" t="s">
        <v>1430</v>
      </c>
      <c r="E187" s="6"/>
      <c r="F187" s="5">
        <v>0</v>
      </c>
      <c r="G187" s="5">
        <v>0</v>
      </c>
      <c r="H187" s="5" t="s">
        <v>616</v>
      </c>
      <c r="I187" s="5">
        <v>0</v>
      </c>
      <c r="J187" s="5" t="s">
        <v>657</v>
      </c>
      <c r="K187" s="7" t="s">
        <v>1431</v>
      </c>
      <c r="L187" s="5" t="s">
        <v>1432</v>
      </c>
    </row>
    <row r="188" spans="1:12" ht="65" customHeight="1">
      <c r="A188" s="5" t="s">
        <v>611</v>
      </c>
      <c r="B188" s="5" t="s">
        <v>1073</v>
      </c>
      <c r="C188" s="5" t="s">
        <v>1433</v>
      </c>
      <c r="D188" s="5" t="s">
        <v>1434</v>
      </c>
      <c r="E188" s="5" t="s">
        <v>1104</v>
      </c>
      <c r="F188" s="5">
        <v>12.5</v>
      </c>
      <c r="G188" s="5">
        <v>1</v>
      </c>
      <c r="H188" s="5" t="s">
        <v>616</v>
      </c>
      <c r="I188" s="5">
        <v>0</v>
      </c>
      <c r="J188" s="5" t="s">
        <v>617</v>
      </c>
      <c r="K188" s="7" t="s">
        <v>1435</v>
      </c>
      <c r="L188" s="5" t="s">
        <v>1436</v>
      </c>
    </row>
    <row r="189" spans="1:12" ht="65" customHeight="1">
      <c r="A189" s="5" t="s">
        <v>611</v>
      </c>
      <c r="B189" s="5" t="s">
        <v>1073</v>
      </c>
      <c r="C189" s="5" t="s">
        <v>1437</v>
      </c>
      <c r="D189" s="5" t="s">
        <v>1438</v>
      </c>
      <c r="E189" s="6"/>
      <c r="F189" s="5">
        <v>0</v>
      </c>
      <c r="G189" s="5">
        <v>0</v>
      </c>
      <c r="H189" s="5" t="s">
        <v>616</v>
      </c>
      <c r="I189" s="5">
        <v>0</v>
      </c>
      <c r="J189" s="5" t="s">
        <v>657</v>
      </c>
      <c r="K189" s="7" t="s">
        <v>1439</v>
      </c>
      <c r="L189" s="5" t="s">
        <v>1440</v>
      </c>
    </row>
    <row r="190" spans="1:12" ht="65" customHeight="1">
      <c r="A190" s="5" t="s">
        <v>611</v>
      </c>
      <c r="B190" s="5" t="s">
        <v>1073</v>
      </c>
      <c r="C190" s="5" t="s">
        <v>1441</v>
      </c>
      <c r="D190" s="5" t="s">
        <v>1442</v>
      </c>
      <c r="E190" s="6"/>
      <c r="F190" s="5">
        <v>0</v>
      </c>
      <c r="G190" s="5">
        <v>0</v>
      </c>
      <c r="H190" s="5" t="s">
        <v>616</v>
      </c>
      <c r="I190" s="5">
        <v>0</v>
      </c>
      <c r="J190" s="5" t="s">
        <v>657</v>
      </c>
      <c r="K190" s="7" t="s">
        <v>1443</v>
      </c>
      <c r="L190" s="5" t="s">
        <v>1444</v>
      </c>
    </row>
    <row r="191" spans="1:12" ht="65" customHeight="1">
      <c r="A191" s="5" t="s">
        <v>611</v>
      </c>
      <c r="B191" s="5" t="s">
        <v>1073</v>
      </c>
      <c r="C191" s="5" t="s">
        <v>1445</v>
      </c>
      <c r="D191" s="5" t="s">
        <v>1446</v>
      </c>
      <c r="E191" s="5" t="s">
        <v>1157</v>
      </c>
      <c r="F191" s="5">
        <v>22.9</v>
      </c>
      <c r="G191" s="5">
        <v>1</v>
      </c>
      <c r="H191" s="5" t="s">
        <v>616</v>
      </c>
      <c r="I191" s="5">
        <v>0</v>
      </c>
      <c r="J191" s="5" t="s">
        <v>617</v>
      </c>
      <c r="K191" s="7" t="s">
        <v>1447</v>
      </c>
      <c r="L191" s="5" t="s">
        <v>1448</v>
      </c>
    </row>
    <row r="192" spans="1:12" ht="65" customHeight="1">
      <c r="A192" s="5" t="s">
        <v>611</v>
      </c>
      <c r="B192" s="5" t="s">
        <v>1073</v>
      </c>
      <c r="C192" s="5" t="s">
        <v>1449</v>
      </c>
      <c r="D192" s="5" t="s">
        <v>1450</v>
      </c>
      <c r="E192" s="5" t="s">
        <v>1157</v>
      </c>
      <c r="F192" s="5">
        <v>27.26</v>
      </c>
      <c r="G192" s="5">
        <v>1</v>
      </c>
      <c r="H192" s="5" t="s">
        <v>616</v>
      </c>
      <c r="I192" s="5">
        <v>0</v>
      </c>
      <c r="J192" s="5" t="s">
        <v>617</v>
      </c>
      <c r="K192" s="7" t="s">
        <v>1451</v>
      </c>
      <c r="L192" s="5" t="s">
        <v>1452</v>
      </c>
    </row>
    <row r="193" spans="1:12" ht="65" customHeight="1">
      <c r="A193" s="5" t="s">
        <v>611</v>
      </c>
      <c r="B193" s="5" t="s">
        <v>1073</v>
      </c>
      <c r="C193" s="5" t="s">
        <v>1453</v>
      </c>
      <c r="D193" s="5" t="s">
        <v>1454</v>
      </c>
      <c r="E193" s="5" t="s">
        <v>1157</v>
      </c>
      <c r="F193" s="5">
        <v>5.36</v>
      </c>
      <c r="G193" s="5">
        <v>1</v>
      </c>
      <c r="H193" s="5" t="s">
        <v>616</v>
      </c>
      <c r="I193" s="5">
        <v>0</v>
      </c>
      <c r="J193" s="5" t="s">
        <v>617</v>
      </c>
      <c r="K193" s="7" t="s">
        <v>1455</v>
      </c>
      <c r="L193" s="5" t="s">
        <v>1456</v>
      </c>
    </row>
    <row r="194" spans="1:12" ht="65" customHeight="1">
      <c r="A194" s="5" t="s">
        <v>611</v>
      </c>
      <c r="B194" s="5" t="s">
        <v>1073</v>
      </c>
      <c r="C194" s="5" t="s">
        <v>1457</v>
      </c>
      <c r="D194" s="5" t="s">
        <v>1458</v>
      </c>
      <c r="E194" s="6"/>
      <c r="F194" s="5">
        <v>0</v>
      </c>
      <c r="G194" s="5">
        <v>0</v>
      </c>
      <c r="H194" s="5" t="s">
        <v>616</v>
      </c>
      <c r="I194" s="5">
        <v>0</v>
      </c>
      <c r="J194" s="5" t="s">
        <v>657</v>
      </c>
      <c r="K194" s="7" t="s">
        <v>1459</v>
      </c>
      <c r="L194" s="5" t="s">
        <v>1460</v>
      </c>
    </row>
    <row r="195" spans="1:12" ht="65" customHeight="1">
      <c r="A195" s="5" t="s">
        <v>611</v>
      </c>
      <c r="B195" s="5" t="s">
        <v>1073</v>
      </c>
      <c r="C195" s="5" t="s">
        <v>1461</v>
      </c>
      <c r="D195" s="5" t="s">
        <v>1462</v>
      </c>
      <c r="E195" s="6"/>
      <c r="F195" s="5">
        <v>0</v>
      </c>
      <c r="G195" s="5">
        <v>0</v>
      </c>
      <c r="H195" s="5" t="s">
        <v>616</v>
      </c>
      <c r="I195" s="5">
        <v>0</v>
      </c>
      <c r="J195" s="5" t="s">
        <v>657</v>
      </c>
      <c r="K195" s="7" t="s">
        <v>1463</v>
      </c>
      <c r="L195" s="5" t="s">
        <v>1464</v>
      </c>
    </row>
    <row r="196" spans="1:12" ht="65" customHeight="1">
      <c r="A196" s="5" t="s">
        <v>611</v>
      </c>
      <c r="B196" s="5" t="s">
        <v>1073</v>
      </c>
      <c r="C196" s="5" t="s">
        <v>1465</v>
      </c>
      <c r="D196" s="5" t="s">
        <v>1466</v>
      </c>
      <c r="E196" s="5" t="s">
        <v>1467</v>
      </c>
      <c r="F196" s="5">
        <v>15.5</v>
      </c>
      <c r="G196" s="5">
        <v>1</v>
      </c>
      <c r="H196" s="5" t="s">
        <v>616</v>
      </c>
      <c r="I196" s="5">
        <v>0</v>
      </c>
      <c r="J196" s="5" t="s">
        <v>617</v>
      </c>
      <c r="K196" s="7" t="s">
        <v>1468</v>
      </c>
      <c r="L196" s="5" t="s">
        <v>1469</v>
      </c>
    </row>
    <row r="197" spans="1:12" ht="65" customHeight="1">
      <c r="A197" s="5" t="s">
        <v>611</v>
      </c>
      <c r="B197" s="5" t="s">
        <v>1073</v>
      </c>
      <c r="C197" s="5" t="s">
        <v>1470</v>
      </c>
      <c r="D197" s="5" t="s">
        <v>1471</v>
      </c>
      <c r="E197" s="6"/>
      <c r="F197" s="5">
        <v>0</v>
      </c>
      <c r="G197" s="5">
        <v>0</v>
      </c>
      <c r="H197" s="5" t="s">
        <v>616</v>
      </c>
      <c r="I197" s="5">
        <v>0</v>
      </c>
      <c r="J197" s="5" t="s">
        <v>657</v>
      </c>
      <c r="K197" s="7" t="s">
        <v>1472</v>
      </c>
      <c r="L197" s="5" t="s">
        <v>1473</v>
      </c>
    </row>
    <row r="198" spans="1:12" ht="65" customHeight="1">
      <c r="A198" s="5" t="s">
        <v>611</v>
      </c>
      <c r="B198" s="5" t="s">
        <v>1073</v>
      </c>
      <c r="C198" s="5" t="s">
        <v>1474</v>
      </c>
      <c r="D198" s="5" t="s">
        <v>1475</v>
      </c>
      <c r="E198" s="6"/>
      <c r="F198" s="5">
        <v>0</v>
      </c>
      <c r="G198" s="5">
        <v>0</v>
      </c>
      <c r="H198" s="5" t="s">
        <v>616</v>
      </c>
      <c r="I198" s="5">
        <v>0</v>
      </c>
      <c r="J198" s="5" t="s">
        <v>657</v>
      </c>
      <c r="K198" s="7" t="s">
        <v>1476</v>
      </c>
      <c r="L198" s="5" t="s">
        <v>1477</v>
      </c>
    </row>
    <row r="199" spans="1:12" ht="65" customHeight="1">
      <c r="A199" s="5" t="s">
        <v>611</v>
      </c>
      <c r="B199" s="5" t="s">
        <v>1073</v>
      </c>
      <c r="C199" s="5" t="s">
        <v>1478</v>
      </c>
      <c r="D199" s="5" t="s">
        <v>1479</v>
      </c>
      <c r="E199" s="5" t="s">
        <v>1480</v>
      </c>
      <c r="F199" s="5">
        <v>5</v>
      </c>
      <c r="G199" s="5">
        <v>1</v>
      </c>
      <c r="H199" s="5" t="s">
        <v>623</v>
      </c>
      <c r="I199" s="5">
        <v>0</v>
      </c>
      <c r="J199" s="5" t="s">
        <v>617</v>
      </c>
      <c r="K199" s="7" t="s">
        <v>1481</v>
      </c>
      <c r="L199" s="5" t="s">
        <v>1482</v>
      </c>
    </row>
    <row r="200" spans="1:12" ht="65" customHeight="1">
      <c r="A200" s="5" t="s">
        <v>611</v>
      </c>
      <c r="B200" s="5" t="s">
        <v>1073</v>
      </c>
      <c r="C200" s="5" t="s">
        <v>1483</v>
      </c>
      <c r="D200" s="5" t="s">
        <v>1484</v>
      </c>
      <c r="E200" s="6"/>
      <c r="F200" s="5">
        <v>0</v>
      </c>
      <c r="G200" s="5">
        <v>0</v>
      </c>
      <c r="H200" s="5" t="s">
        <v>616</v>
      </c>
      <c r="I200" s="5">
        <v>0</v>
      </c>
      <c r="J200" s="5" t="s">
        <v>657</v>
      </c>
      <c r="K200" s="7" t="s">
        <v>1485</v>
      </c>
      <c r="L200" s="5" t="s">
        <v>1486</v>
      </c>
    </row>
    <row r="201" spans="1:12" ht="65" customHeight="1">
      <c r="A201" s="5" t="s">
        <v>611</v>
      </c>
      <c r="B201" s="5" t="s">
        <v>1073</v>
      </c>
      <c r="C201" s="5" t="s">
        <v>1487</v>
      </c>
      <c r="D201" s="5" t="s">
        <v>1488</v>
      </c>
      <c r="E201" s="6"/>
      <c r="F201" s="5">
        <v>0</v>
      </c>
      <c r="G201" s="5">
        <v>0</v>
      </c>
      <c r="H201" s="5" t="s">
        <v>616</v>
      </c>
      <c r="I201" s="5">
        <v>0</v>
      </c>
      <c r="J201" s="5" t="s">
        <v>657</v>
      </c>
      <c r="K201" s="7" t="s">
        <v>1489</v>
      </c>
      <c r="L201" s="5" t="s">
        <v>1490</v>
      </c>
    </row>
    <row r="202" spans="1:12" ht="65" customHeight="1">
      <c r="A202" s="5" t="s">
        <v>611</v>
      </c>
      <c r="B202" s="5" t="s">
        <v>1073</v>
      </c>
      <c r="C202" s="5" t="s">
        <v>1491</v>
      </c>
      <c r="D202" s="5" t="s">
        <v>1492</v>
      </c>
      <c r="E202" s="5" t="s">
        <v>1493</v>
      </c>
      <c r="F202" s="5">
        <v>16</v>
      </c>
      <c r="G202" s="5">
        <v>1</v>
      </c>
      <c r="H202" s="5" t="s">
        <v>616</v>
      </c>
      <c r="I202" s="5">
        <v>0</v>
      </c>
      <c r="J202" s="5" t="s">
        <v>617</v>
      </c>
      <c r="K202" s="7" t="s">
        <v>1494</v>
      </c>
      <c r="L202" s="5" t="s">
        <v>1495</v>
      </c>
    </row>
    <row r="203" spans="1:12" ht="65" customHeight="1">
      <c r="A203" s="5" t="s">
        <v>611</v>
      </c>
      <c r="B203" s="5" t="s">
        <v>1073</v>
      </c>
      <c r="C203" s="5" t="s">
        <v>1496</v>
      </c>
      <c r="D203" s="5" t="s">
        <v>1497</v>
      </c>
      <c r="E203" s="5" t="s">
        <v>1157</v>
      </c>
      <c r="F203" s="5">
        <v>0.01</v>
      </c>
      <c r="G203" s="5">
        <v>1</v>
      </c>
      <c r="H203" s="5" t="s">
        <v>616</v>
      </c>
      <c r="I203" s="5">
        <v>0</v>
      </c>
      <c r="J203" s="5" t="s">
        <v>617</v>
      </c>
      <c r="K203" s="7" t="s">
        <v>1498</v>
      </c>
      <c r="L203" s="5" t="s">
        <v>1499</v>
      </c>
    </row>
    <row r="204" spans="1:12" ht="65" customHeight="1">
      <c r="A204" s="5" t="s">
        <v>611</v>
      </c>
      <c r="B204" s="5" t="s">
        <v>1073</v>
      </c>
      <c r="C204" s="5" t="s">
        <v>1500</v>
      </c>
      <c r="D204" s="5" t="s">
        <v>1501</v>
      </c>
      <c r="E204" s="5" t="s">
        <v>1157</v>
      </c>
      <c r="F204" s="5">
        <v>42.85</v>
      </c>
      <c r="G204" s="5">
        <v>1</v>
      </c>
      <c r="H204" s="5" t="s">
        <v>616</v>
      </c>
      <c r="I204" s="5">
        <v>0</v>
      </c>
      <c r="J204" s="5" t="s">
        <v>617</v>
      </c>
      <c r="K204" s="7" t="s">
        <v>1502</v>
      </c>
      <c r="L204" s="5" t="s">
        <v>1503</v>
      </c>
    </row>
    <row r="205" spans="1:12" ht="65" customHeight="1">
      <c r="A205" s="5" t="s">
        <v>611</v>
      </c>
      <c r="B205" s="5" t="s">
        <v>1504</v>
      </c>
      <c r="C205" s="5" t="s">
        <v>1505</v>
      </c>
      <c r="D205" s="5" t="s">
        <v>1506</v>
      </c>
      <c r="E205" s="5" t="s">
        <v>1507</v>
      </c>
      <c r="F205" s="5">
        <v>0.4</v>
      </c>
      <c r="G205" s="5">
        <v>2</v>
      </c>
      <c r="H205" s="5" t="s">
        <v>623</v>
      </c>
      <c r="I205" s="5">
        <v>107255194</v>
      </c>
      <c r="J205" s="5" t="s">
        <v>617</v>
      </c>
      <c r="K205" s="7" t="s">
        <v>112</v>
      </c>
      <c r="L205" s="5" t="s">
        <v>340</v>
      </c>
    </row>
    <row r="206" spans="1:12" ht="65" customHeight="1">
      <c r="A206" s="5" t="s">
        <v>611</v>
      </c>
      <c r="B206" s="5" t="s">
        <v>1504</v>
      </c>
      <c r="C206" s="5" t="s">
        <v>1508</v>
      </c>
      <c r="D206" s="5" t="s">
        <v>1509</v>
      </c>
      <c r="E206" s="5" t="s">
        <v>1510</v>
      </c>
      <c r="F206" s="5">
        <v>17.28</v>
      </c>
      <c r="G206" s="5">
        <v>2</v>
      </c>
      <c r="H206" s="5" t="s">
        <v>616</v>
      </c>
      <c r="I206" s="5">
        <v>94845</v>
      </c>
      <c r="J206" s="5" t="s">
        <v>617</v>
      </c>
      <c r="K206" s="7" t="s">
        <v>1511</v>
      </c>
      <c r="L206" s="5" t="s">
        <v>1512</v>
      </c>
    </row>
    <row r="207" spans="1:12" ht="65" customHeight="1">
      <c r="A207" s="5" t="s">
        <v>611</v>
      </c>
      <c r="B207" s="5" t="s">
        <v>1504</v>
      </c>
      <c r="C207" s="5" t="s">
        <v>1513</v>
      </c>
      <c r="D207" s="5" t="s">
        <v>1514</v>
      </c>
      <c r="E207" s="5" t="s">
        <v>1515</v>
      </c>
      <c r="F207" s="5">
        <v>0</v>
      </c>
      <c r="G207" s="5">
        <v>2</v>
      </c>
      <c r="H207" s="5" t="s">
        <v>616</v>
      </c>
      <c r="I207" s="5">
        <v>0</v>
      </c>
      <c r="J207" s="5" t="s">
        <v>657</v>
      </c>
      <c r="K207" s="7" t="s">
        <v>1516</v>
      </c>
      <c r="L207" s="5" t="s">
        <v>1517</v>
      </c>
    </row>
    <row r="208" spans="1:12" ht="65" customHeight="1">
      <c r="A208" s="5" t="s">
        <v>611</v>
      </c>
      <c r="B208" s="5" t="s">
        <v>1504</v>
      </c>
      <c r="C208" s="5" t="s">
        <v>1518</v>
      </c>
      <c r="D208" s="5" t="s">
        <v>1519</v>
      </c>
      <c r="E208" s="6"/>
      <c r="F208" s="5">
        <v>0</v>
      </c>
      <c r="G208" s="5">
        <v>0</v>
      </c>
      <c r="H208" s="5" t="s">
        <v>616</v>
      </c>
      <c r="I208" s="5">
        <v>0</v>
      </c>
      <c r="J208" s="5" t="s">
        <v>657</v>
      </c>
      <c r="K208" s="7" t="s">
        <v>1520</v>
      </c>
      <c r="L208" s="5" t="s">
        <v>1521</v>
      </c>
    </row>
    <row r="209" spans="1:12" ht="65" customHeight="1">
      <c r="A209" s="5" t="s">
        <v>611</v>
      </c>
      <c r="B209" s="5" t="s">
        <v>1504</v>
      </c>
      <c r="C209" s="5" t="s">
        <v>1522</v>
      </c>
      <c r="D209" s="5" t="s">
        <v>1523</v>
      </c>
      <c r="E209" s="6"/>
      <c r="F209" s="5">
        <v>0</v>
      </c>
      <c r="G209" s="5">
        <v>0</v>
      </c>
      <c r="H209" s="5" t="s">
        <v>616</v>
      </c>
      <c r="I209" s="5">
        <v>0</v>
      </c>
      <c r="J209" s="5" t="s">
        <v>657</v>
      </c>
      <c r="K209" s="7" t="s">
        <v>1524</v>
      </c>
      <c r="L209" s="5" t="s">
        <v>1525</v>
      </c>
    </row>
    <row r="210" spans="1:12" ht="65" customHeight="1">
      <c r="A210" s="5" t="s">
        <v>611</v>
      </c>
      <c r="B210" s="5" t="s">
        <v>1504</v>
      </c>
      <c r="C210" s="5" t="s">
        <v>1526</v>
      </c>
      <c r="D210" s="5" t="s">
        <v>1527</v>
      </c>
      <c r="E210" s="6"/>
      <c r="F210" s="5">
        <v>0</v>
      </c>
      <c r="G210" s="5">
        <v>0</v>
      </c>
      <c r="H210" s="5" t="s">
        <v>616</v>
      </c>
      <c r="I210" s="5">
        <v>0</v>
      </c>
      <c r="J210" s="5" t="s">
        <v>657</v>
      </c>
      <c r="K210" s="7" t="s">
        <v>1528</v>
      </c>
      <c r="L210" s="5" t="s">
        <v>1529</v>
      </c>
    </row>
    <row r="211" spans="1:12" ht="65" customHeight="1">
      <c r="A211" s="5" t="s">
        <v>611</v>
      </c>
      <c r="B211" s="5" t="s">
        <v>1504</v>
      </c>
      <c r="C211" s="5" t="s">
        <v>1530</v>
      </c>
      <c r="D211" s="5" t="s">
        <v>1531</v>
      </c>
      <c r="E211" s="6"/>
      <c r="F211" s="5">
        <v>0</v>
      </c>
      <c r="G211" s="5">
        <v>0</v>
      </c>
      <c r="H211" s="5" t="s">
        <v>616</v>
      </c>
      <c r="I211" s="5">
        <v>0</v>
      </c>
      <c r="J211" s="5" t="s">
        <v>657</v>
      </c>
      <c r="K211" s="7" t="s">
        <v>1532</v>
      </c>
      <c r="L211" s="5" t="s">
        <v>1533</v>
      </c>
    </row>
    <row r="212" spans="1:12" ht="65" customHeight="1">
      <c r="A212" s="5" t="s">
        <v>611</v>
      </c>
      <c r="B212" s="5" t="s">
        <v>1504</v>
      </c>
      <c r="C212" s="5" t="s">
        <v>1534</v>
      </c>
      <c r="D212" s="5" t="s">
        <v>1535</v>
      </c>
      <c r="E212" s="5" t="s">
        <v>1536</v>
      </c>
      <c r="F212" s="5">
        <v>0</v>
      </c>
      <c r="G212" s="5">
        <v>1</v>
      </c>
      <c r="H212" s="5" t="s">
        <v>616</v>
      </c>
      <c r="I212" s="5">
        <v>0</v>
      </c>
      <c r="J212" s="5" t="s">
        <v>657</v>
      </c>
      <c r="K212" s="7" t="s">
        <v>1537</v>
      </c>
      <c r="L212" s="5" t="s">
        <v>1538</v>
      </c>
    </row>
    <row r="213" spans="1:12" ht="65" customHeight="1">
      <c r="A213" s="5" t="s">
        <v>611</v>
      </c>
      <c r="B213" s="5" t="s">
        <v>1504</v>
      </c>
      <c r="C213" s="5" t="s">
        <v>1539</v>
      </c>
      <c r="D213" s="5" t="s">
        <v>1540</v>
      </c>
      <c r="E213" s="5" t="s">
        <v>1541</v>
      </c>
      <c r="F213" s="5">
        <v>0</v>
      </c>
      <c r="G213" s="5">
        <v>0</v>
      </c>
      <c r="H213" s="5" t="s">
        <v>616</v>
      </c>
      <c r="I213" s="5">
        <v>0</v>
      </c>
      <c r="J213" s="5" t="s">
        <v>657</v>
      </c>
      <c r="K213" s="7" t="s">
        <v>1542</v>
      </c>
      <c r="L213" s="5" t="s">
        <v>1543</v>
      </c>
    </row>
    <row r="214" spans="1:12" ht="65" customHeight="1">
      <c r="A214" s="5" t="s">
        <v>611</v>
      </c>
      <c r="B214" s="5" t="s">
        <v>1504</v>
      </c>
      <c r="C214" s="5" t="s">
        <v>1544</v>
      </c>
      <c r="D214" s="5" t="s">
        <v>1545</v>
      </c>
      <c r="E214" s="5" t="s">
        <v>1546</v>
      </c>
      <c r="F214" s="5">
        <v>0</v>
      </c>
      <c r="G214" s="5">
        <v>0</v>
      </c>
      <c r="H214" s="5" t="s">
        <v>616</v>
      </c>
      <c r="I214" s="5">
        <v>0</v>
      </c>
      <c r="J214" s="5" t="s">
        <v>657</v>
      </c>
      <c r="K214" s="7" t="s">
        <v>1547</v>
      </c>
      <c r="L214" s="5" t="s">
        <v>1548</v>
      </c>
    </row>
    <row r="215" spans="1:12" ht="65" customHeight="1">
      <c r="A215" s="5" t="s">
        <v>611</v>
      </c>
      <c r="B215" s="5" t="s">
        <v>1504</v>
      </c>
      <c r="C215" s="5" t="s">
        <v>1549</v>
      </c>
      <c r="D215" s="5" t="s">
        <v>1550</v>
      </c>
      <c r="E215" s="5" t="s">
        <v>1551</v>
      </c>
      <c r="F215" s="5">
        <v>0</v>
      </c>
      <c r="G215" s="5">
        <v>1</v>
      </c>
      <c r="H215" s="5" t="s">
        <v>616</v>
      </c>
      <c r="I215" s="5">
        <v>0</v>
      </c>
      <c r="J215" s="5" t="s">
        <v>657</v>
      </c>
      <c r="K215" s="7" t="s">
        <v>1552</v>
      </c>
      <c r="L215" s="5" t="s">
        <v>1553</v>
      </c>
    </row>
    <row r="216" spans="1:12" ht="65" customHeight="1">
      <c r="A216" s="5" t="s">
        <v>611</v>
      </c>
      <c r="B216" s="5" t="s">
        <v>1504</v>
      </c>
      <c r="C216" s="5" t="s">
        <v>1554</v>
      </c>
      <c r="D216" s="5" t="s">
        <v>1555</v>
      </c>
      <c r="E216" s="5" t="s">
        <v>1556</v>
      </c>
      <c r="F216" s="5">
        <v>0</v>
      </c>
      <c r="G216" s="5">
        <v>5000</v>
      </c>
      <c r="H216" s="5" t="s">
        <v>616</v>
      </c>
      <c r="I216" s="5">
        <v>0</v>
      </c>
      <c r="J216" s="5" t="s">
        <v>657</v>
      </c>
      <c r="K216" s="7" t="s">
        <v>1557</v>
      </c>
      <c r="L216" s="5" t="s">
        <v>1558</v>
      </c>
    </row>
    <row r="217" spans="1:12" ht="65" customHeight="1">
      <c r="A217" s="5" t="s">
        <v>611</v>
      </c>
      <c r="B217" s="5" t="s">
        <v>1504</v>
      </c>
      <c r="C217" s="5" t="s">
        <v>1559</v>
      </c>
      <c r="D217" s="5" t="s">
        <v>1560</v>
      </c>
      <c r="E217" s="5" t="s">
        <v>1561</v>
      </c>
      <c r="F217" s="5">
        <v>0</v>
      </c>
      <c r="G217" s="5">
        <v>0</v>
      </c>
      <c r="H217" s="5" t="s">
        <v>616</v>
      </c>
      <c r="I217" s="5">
        <v>0</v>
      </c>
      <c r="J217" s="5" t="s">
        <v>657</v>
      </c>
      <c r="K217" s="7" t="s">
        <v>1562</v>
      </c>
      <c r="L217" s="5" t="s">
        <v>1563</v>
      </c>
    </row>
    <row r="218" spans="1:12" ht="65" customHeight="1">
      <c r="A218" s="5" t="s">
        <v>611</v>
      </c>
      <c r="B218" s="5" t="s">
        <v>1504</v>
      </c>
      <c r="C218" s="5" t="s">
        <v>1564</v>
      </c>
      <c r="D218" s="5" t="s">
        <v>1565</v>
      </c>
      <c r="E218" s="5" t="s">
        <v>1566</v>
      </c>
      <c r="F218" s="5">
        <v>6.5</v>
      </c>
      <c r="G218" s="5">
        <v>5</v>
      </c>
      <c r="H218" s="5" t="s">
        <v>616</v>
      </c>
      <c r="I218" s="5">
        <v>0</v>
      </c>
      <c r="J218" s="5" t="s">
        <v>617</v>
      </c>
      <c r="K218" s="7" t="s">
        <v>1567</v>
      </c>
      <c r="L218" s="5" t="s">
        <v>1568</v>
      </c>
    </row>
    <row r="219" spans="1:12" ht="65" customHeight="1">
      <c r="A219" s="5" t="s">
        <v>611</v>
      </c>
      <c r="B219" s="5" t="s">
        <v>1504</v>
      </c>
      <c r="C219" s="5" t="s">
        <v>1569</v>
      </c>
      <c r="D219" s="5" t="s">
        <v>1570</v>
      </c>
      <c r="E219" s="5" t="s">
        <v>1571</v>
      </c>
      <c r="F219" s="5">
        <v>0</v>
      </c>
      <c r="G219" s="5">
        <v>2</v>
      </c>
      <c r="H219" s="5" t="s">
        <v>616</v>
      </c>
      <c r="I219" s="5">
        <v>0</v>
      </c>
      <c r="J219" s="5" t="s">
        <v>657</v>
      </c>
      <c r="K219" s="7" t="s">
        <v>1572</v>
      </c>
      <c r="L219" s="5" t="s">
        <v>1573</v>
      </c>
    </row>
    <row r="220" spans="1:12" ht="65" customHeight="1">
      <c r="A220" s="5" t="s">
        <v>611</v>
      </c>
      <c r="B220" s="5" t="s">
        <v>1504</v>
      </c>
      <c r="C220" s="5" t="s">
        <v>1574</v>
      </c>
      <c r="D220" s="5" t="s">
        <v>1575</v>
      </c>
      <c r="E220" s="5" t="s">
        <v>1576</v>
      </c>
      <c r="F220" s="5">
        <v>0</v>
      </c>
      <c r="G220" s="5">
        <v>1</v>
      </c>
      <c r="H220" s="5" t="s">
        <v>616</v>
      </c>
      <c r="I220" s="5">
        <v>0</v>
      </c>
      <c r="J220" s="5" t="s">
        <v>657</v>
      </c>
      <c r="K220" s="7" t="s">
        <v>1577</v>
      </c>
      <c r="L220" s="5" t="s">
        <v>1578</v>
      </c>
    </row>
    <row r="221" spans="1:12" ht="65" customHeight="1">
      <c r="A221" s="5" t="s">
        <v>611</v>
      </c>
      <c r="B221" s="5" t="s">
        <v>1504</v>
      </c>
      <c r="C221" s="5" t="s">
        <v>1579</v>
      </c>
      <c r="D221" s="5" t="s">
        <v>1580</v>
      </c>
      <c r="E221" s="5" t="s">
        <v>1581</v>
      </c>
      <c r="F221" s="5">
        <v>0</v>
      </c>
      <c r="G221" s="5">
        <v>1</v>
      </c>
      <c r="H221" s="5" t="s">
        <v>616</v>
      </c>
      <c r="I221" s="5">
        <v>0</v>
      </c>
      <c r="J221" s="5" t="s">
        <v>657</v>
      </c>
      <c r="K221" s="7" t="s">
        <v>1582</v>
      </c>
      <c r="L221" s="5" t="s">
        <v>1583</v>
      </c>
    </row>
    <row r="222" spans="1:12" ht="65" customHeight="1">
      <c r="A222" s="5" t="s">
        <v>611</v>
      </c>
      <c r="B222" s="5" t="s">
        <v>1504</v>
      </c>
      <c r="C222" s="5" t="s">
        <v>1584</v>
      </c>
      <c r="D222" s="5" t="s">
        <v>1585</v>
      </c>
      <c r="E222" s="5" t="s">
        <v>1586</v>
      </c>
      <c r="F222" s="5">
        <v>0</v>
      </c>
      <c r="G222" s="5">
        <v>1</v>
      </c>
      <c r="H222" s="5" t="s">
        <v>616</v>
      </c>
      <c r="I222" s="5">
        <v>0</v>
      </c>
      <c r="J222" s="5" t="s">
        <v>657</v>
      </c>
      <c r="K222" s="7" t="s">
        <v>1587</v>
      </c>
      <c r="L222" s="5" t="s">
        <v>1588</v>
      </c>
    </row>
    <row r="223" spans="1:12" ht="65" customHeight="1">
      <c r="A223" s="5" t="s">
        <v>611</v>
      </c>
      <c r="B223" s="5" t="s">
        <v>1504</v>
      </c>
      <c r="C223" s="5" t="s">
        <v>1589</v>
      </c>
      <c r="D223" s="5" t="s">
        <v>1590</v>
      </c>
      <c r="E223" s="5" t="s">
        <v>1591</v>
      </c>
      <c r="F223" s="5">
        <v>0</v>
      </c>
      <c r="G223" s="5">
        <v>1</v>
      </c>
      <c r="H223" s="5" t="s">
        <v>616</v>
      </c>
      <c r="I223" s="5">
        <v>0</v>
      </c>
      <c r="J223" s="5" t="s">
        <v>657</v>
      </c>
      <c r="K223" s="7" t="s">
        <v>1592</v>
      </c>
      <c r="L223" s="5" t="s">
        <v>1593</v>
      </c>
    </row>
    <row r="224" spans="1:12" ht="65" customHeight="1">
      <c r="A224" s="5" t="s">
        <v>611</v>
      </c>
      <c r="B224" s="5" t="s">
        <v>1504</v>
      </c>
      <c r="C224" s="5" t="s">
        <v>1594</v>
      </c>
      <c r="D224" s="5" t="s">
        <v>1595</v>
      </c>
      <c r="E224" s="5" t="s">
        <v>1596</v>
      </c>
      <c r="F224" s="5">
        <v>0</v>
      </c>
      <c r="G224" s="5">
        <v>1</v>
      </c>
      <c r="H224" s="5" t="s">
        <v>616</v>
      </c>
      <c r="I224" s="5">
        <v>0</v>
      </c>
      <c r="J224" s="5" t="s">
        <v>657</v>
      </c>
      <c r="K224" s="7" t="s">
        <v>1597</v>
      </c>
      <c r="L224" s="5" t="s">
        <v>1598</v>
      </c>
    </row>
    <row r="225" spans="1:12" ht="65" customHeight="1">
      <c r="A225" s="5" t="s">
        <v>611</v>
      </c>
      <c r="B225" s="5" t="s">
        <v>1504</v>
      </c>
      <c r="C225" s="5" t="s">
        <v>1599</v>
      </c>
      <c r="D225" s="5" t="s">
        <v>1600</v>
      </c>
      <c r="E225" s="5" t="s">
        <v>1601</v>
      </c>
      <c r="F225" s="5">
        <v>0</v>
      </c>
      <c r="G225" s="5">
        <v>1</v>
      </c>
      <c r="H225" s="5" t="s">
        <v>616</v>
      </c>
      <c r="I225" s="5">
        <v>0</v>
      </c>
      <c r="J225" s="5" t="s">
        <v>657</v>
      </c>
      <c r="K225" s="7" t="s">
        <v>1602</v>
      </c>
      <c r="L225" s="5" t="s">
        <v>1603</v>
      </c>
    </row>
    <row r="226" spans="1:12" ht="65" customHeight="1">
      <c r="A226" s="5" t="s">
        <v>611</v>
      </c>
      <c r="B226" s="5" t="s">
        <v>1504</v>
      </c>
      <c r="C226" s="5" t="s">
        <v>1604</v>
      </c>
      <c r="D226" s="5" t="s">
        <v>1605</v>
      </c>
      <c r="E226" s="5" t="s">
        <v>1606</v>
      </c>
      <c r="F226" s="5">
        <v>0</v>
      </c>
      <c r="G226" s="5">
        <v>1</v>
      </c>
      <c r="H226" s="5" t="s">
        <v>616</v>
      </c>
      <c r="I226" s="5">
        <v>0</v>
      </c>
      <c r="J226" s="5" t="s">
        <v>657</v>
      </c>
      <c r="K226" s="7" t="s">
        <v>1607</v>
      </c>
      <c r="L226" s="5" t="s">
        <v>1608</v>
      </c>
    </row>
    <row r="227" spans="1:12" ht="65" customHeight="1">
      <c r="A227" s="5" t="s">
        <v>611</v>
      </c>
      <c r="B227" s="5" t="s">
        <v>1504</v>
      </c>
      <c r="C227" s="5" t="s">
        <v>1609</v>
      </c>
      <c r="D227" s="5" t="s">
        <v>1610</v>
      </c>
      <c r="E227" s="5" t="s">
        <v>1601</v>
      </c>
      <c r="F227" s="5">
        <v>0</v>
      </c>
      <c r="G227" s="5">
        <v>1</v>
      </c>
      <c r="H227" s="5" t="s">
        <v>616</v>
      </c>
      <c r="I227" s="5">
        <v>0</v>
      </c>
      <c r="J227" s="5" t="s">
        <v>657</v>
      </c>
      <c r="K227" s="7" t="s">
        <v>1611</v>
      </c>
      <c r="L227" s="5" t="s">
        <v>1612</v>
      </c>
    </row>
    <row r="228" spans="1:12" ht="65" customHeight="1">
      <c r="A228" s="5" t="s">
        <v>611</v>
      </c>
      <c r="B228" s="5" t="s">
        <v>1504</v>
      </c>
      <c r="C228" s="5" t="s">
        <v>1613</v>
      </c>
      <c r="D228" s="5" t="s">
        <v>1614</v>
      </c>
      <c r="E228" s="5" t="s">
        <v>1615</v>
      </c>
      <c r="F228" s="5">
        <v>0</v>
      </c>
      <c r="G228" s="5">
        <v>2</v>
      </c>
      <c r="H228" s="5" t="s">
        <v>616</v>
      </c>
      <c r="I228" s="5">
        <v>0</v>
      </c>
      <c r="J228" s="5" t="s">
        <v>657</v>
      </c>
      <c r="K228" s="7" t="s">
        <v>1616</v>
      </c>
      <c r="L228" s="5" t="s">
        <v>1617</v>
      </c>
    </row>
    <row r="229" spans="1:12" ht="65" customHeight="1">
      <c r="A229" s="5" t="s">
        <v>611</v>
      </c>
      <c r="B229" s="5" t="s">
        <v>1504</v>
      </c>
      <c r="C229" s="5" t="s">
        <v>1618</v>
      </c>
      <c r="D229" s="5" t="s">
        <v>1619</v>
      </c>
      <c r="E229" s="5" t="s">
        <v>1620</v>
      </c>
      <c r="F229" s="5">
        <v>0</v>
      </c>
      <c r="G229" s="5">
        <v>2</v>
      </c>
      <c r="H229" s="5" t="s">
        <v>616</v>
      </c>
      <c r="I229" s="5">
        <v>0</v>
      </c>
      <c r="J229" s="5" t="s">
        <v>657</v>
      </c>
      <c r="K229" s="7" t="s">
        <v>1621</v>
      </c>
      <c r="L229" s="5" t="s">
        <v>1622</v>
      </c>
    </row>
    <row r="230" spans="1:12" ht="65" customHeight="1">
      <c r="A230" s="5" t="s">
        <v>611</v>
      </c>
      <c r="B230" s="5" t="s">
        <v>1504</v>
      </c>
      <c r="C230" s="5" t="s">
        <v>1623</v>
      </c>
      <c r="D230" s="5" t="s">
        <v>1624</v>
      </c>
      <c r="E230" s="6"/>
      <c r="F230" s="5">
        <v>0</v>
      </c>
      <c r="G230" s="5">
        <v>0</v>
      </c>
      <c r="H230" s="5" t="s">
        <v>616</v>
      </c>
      <c r="I230" s="5">
        <v>0</v>
      </c>
      <c r="J230" s="5" t="s">
        <v>657</v>
      </c>
      <c r="K230" s="7" t="s">
        <v>1625</v>
      </c>
      <c r="L230" s="5" t="s">
        <v>1626</v>
      </c>
    </row>
    <row r="231" spans="1:12" ht="65" customHeight="1">
      <c r="A231" s="5" t="s">
        <v>611</v>
      </c>
      <c r="B231" s="5" t="s">
        <v>1504</v>
      </c>
      <c r="C231" s="5" t="s">
        <v>1627</v>
      </c>
      <c r="D231" s="5" t="s">
        <v>1628</v>
      </c>
      <c r="E231" s="6"/>
      <c r="F231" s="5">
        <v>0</v>
      </c>
      <c r="G231" s="5">
        <v>0</v>
      </c>
      <c r="H231" s="5" t="s">
        <v>616</v>
      </c>
      <c r="I231" s="5">
        <v>0</v>
      </c>
      <c r="J231" s="5" t="s">
        <v>657</v>
      </c>
      <c r="K231" s="7" t="s">
        <v>1629</v>
      </c>
      <c r="L231" s="5" t="s">
        <v>1630</v>
      </c>
    </row>
    <row r="232" spans="1:12" ht="65" customHeight="1">
      <c r="A232" s="5" t="s">
        <v>611</v>
      </c>
      <c r="B232" s="5" t="s">
        <v>1504</v>
      </c>
      <c r="C232" s="5" t="s">
        <v>1631</v>
      </c>
      <c r="D232" s="5" t="s">
        <v>1632</v>
      </c>
      <c r="E232" s="6"/>
      <c r="F232" s="5">
        <v>0</v>
      </c>
      <c r="G232" s="5">
        <v>0</v>
      </c>
      <c r="H232" s="5" t="s">
        <v>616</v>
      </c>
      <c r="I232" s="5">
        <v>0</v>
      </c>
      <c r="J232" s="5" t="s">
        <v>657</v>
      </c>
      <c r="K232" s="7" t="s">
        <v>1633</v>
      </c>
      <c r="L232" s="5" t="s">
        <v>1634</v>
      </c>
    </row>
    <row r="233" spans="1:12" ht="65" customHeight="1">
      <c r="A233" s="5" t="s">
        <v>611</v>
      </c>
      <c r="B233" s="5" t="s">
        <v>1504</v>
      </c>
      <c r="C233" s="5" t="s">
        <v>1635</v>
      </c>
      <c r="D233" s="5" t="s">
        <v>1636</v>
      </c>
      <c r="E233" s="6"/>
      <c r="F233" s="5">
        <v>0</v>
      </c>
      <c r="G233" s="5">
        <v>0</v>
      </c>
      <c r="H233" s="5" t="s">
        <v>616</v>
      </c>
      <c r="I233" s="5">
        <v>0</v>
      </c>
      <c r="J233" s="5" t="s">
        <v>657</v>
      </c>
      <c r="K233" s="7" t="s">
        <v>1637</v>
      </c>
      <c r="L233" s="5" t="s">
        <v>1638</v>
      </c>
    </row>
    <row r="234" spans="1:12" ht="65" customHeight="1">
      <c r="A234" s="5" t="s">
        <v>611</v>
      </c>
      <c r="B234" s="5" t="s">
        <v>1504</v>
      </c>
      <c r="C234" s="5" t="s">
        <v>1639</v>
      </c>
      <c r="D234" s="5" t="s">
        <v>1640</v>
      </c>
      <c r="E234" s="6"/>
      <c r="F234" s="5">
        <v>0</v>
      </c>
      <c r="G234" s="5">
        <v>0</v>
      </c>
      <c r="H234" s="5" t="s">
        <v>616</v>
      </c>
      <c r="I234" s="5">
        <v>0</v>
      </c>
      <c r="J234" s="5" t="s">
        <v>657</v>
      </c>
      <c r="K234" s="7" t="s">
        <v>1641</v>
      </c>
      <c r="L234" s="5" t="s">
        <v>1642</v>
      </c>
    </row>
    <row r="235" spans="1:12" ht="65" customHeight="1">
      <c r="A235" s="5" t="s">
        <v>611</v>
      </c>
      <c r="B235" s="5" t="s">
        <v>1504</v>
      </c>
      <c r="C235" s="5" t="s">
        <v>1643</v>
      </c>
      <c r="D235" s="5" t="s">
        <v>1644</v>
      </c>
      <c r="E235" s="6"/>
      <c r="F235" s="5">
        <v>0</v>
      </c>
      <c r="G235" s="5">
        <v>0</v>
      </c>
      <c r="H235" s="5" t="s">
        <v>616</v>
      </c>
      <c r="I235" s="5">
        <v>0</v>
      </c>
      <c r="J235" s="5" t="s">
        <v>657</v>
      </c>
      <c r="K235" s="7" t="s">
        <v>1645</v>
      </c>
      <c r="L235" s="5" t="s">
        <v>1646</v>
      </c>
    </row>
    <row r="236" spans="1:12" ht="65" customHeight="1">
      <c r="A236" s="5" t="s">
        <v>611</v>
      </c>
      <c r="B236" s="5" t="s">
        <v>1504</v>
      </c>
      <c r="C236" s="5" t="s">
        <v>1647</v>
      </c>
      <c r="D236" s="5" t="s">
        <v>1648</v>
      </c>
      <c r="E236" s="6"/>
      <c r="F236" s="5">
        <v>0</v>
      </c>
      <c r="G236" s="5">
        <v>0</v>
      </c>
      <c r="H236" s="5" t="s">
        <v>616</v>
      </c>
      <c r="I236" s="5">
        <v>0</v>
      </c>
      <c r="J236" s="5" t="s">
        <v>657</v>
      </c>
      <c r="K236" s="7" t="s">
        <v>1649</v>
      </c>
      <c r="L236" s="5" t="s">
        <v>1650</v>
      </c>
    </row>
    <row r="237" spans="1:12" ht="65" customHeight="1">
      <c r="A237" s="5" t="s">
        <v>611</v>
      </c>
      <c r="B237" s="5" t="s">
        <v>1504</v>
      </c>
      <c r="C237" s="5" t="s">
        <v>1651</v>
      </c>
      <c r="D237" s="5" t="s">
        <v>1652</v>
      </c>
      <c r="E237" s="6"/>
      <c r="F237" s="5">
        <v>0</v>
      </c>
      <c r="G237" s="5">
        <v>0</v>
      </c>
      <c r="H237" s="5" t="s">
        <v>616</v>
      </c>
      <c r="I237" s="5">
        <v>0</v>
      </c>
      <c r="J237" s="5" t="s">
        <v>657</v>
      </c>
      <c r="K237" s="7" t="s">
        <v>1653</v>
      </c>
      <c r="L237" s="5" t="s">
        <v>1654</v>
      </c>
    </row>
    <row r="238" spans="1:12" ht="65" customHeight="1">
      <c r="A238" s="5" t="s">
        <v>611</v>
      </c>
      <c r="B238" s="5" t="s">
        <v>1504</v>
      </c>
      <c r="C238" s="5" t="s">
        <v>1655</v>
      </c>
      <c r="D238" s="5" t="s">
        <v>1656</v>
      </c>
      <c r="E238" s="6"/>
      <c r="F238" s="5">
        <v>0</v>
      </c>
      <c r="G238" s="5">
        <v>0</v>
      </c>
      <c r="H238" s="5" t="s">
        <v>616</v>
      </c>
      <c r="I238" s="5">
        <v>0</v>
      </c>
      <c r="J238" s="5" t="s">
        <v>657</v>
      </c>
      <c r="K238" s="7" t="s">
        <v>1657</v>
      </c>
      <c r="L238" s="5" t="s">
        <v>1658</v>
      </c>
    </row>
    <row r="239" spans="1:12" ht="65" customHeight="1">
      <c r="A239" s="5" t="s">
        <v>611</v>
      </c>
      <c r="B239" s="5" t="s">
        <v>1504</v>
      </c>
      <c r="C239" s="5" t="s">
        <v>1659</v>
      </c>
      <c r="D239" s="5" t="s">
        <v>1660</v>
      </c>
      <c r="E239" s="6"/>
      <c r="F239" s="5">
        <v>0</v>
      </c>
      <c r="G239" s="5">
        <v>0</v>
      </c>
      <c r="H239" s="5" t="s">
        <v>616</v>
      </c>
      <c r="I239" s="5">
        <v>0</v>
      </c>
      <c r="J239" s="5" t="s">
        <v>657</v>
      </c>
      <c r="K239" s="7" t="s">
        <v>1661</v>
      </c>
      <c r="L239" s="5" t="s">
        <v>1662</v>
      </c>
    </row>
    <row r="240" spans="1:12" ht="65" customHeight="1">
      <c r="A240" s="5" t="s">
        <v>611</v>
      </c>
      <c r="B240" s="5" t="s">
        <v>1504</v>
      </c>
      <c r="C240" s="5" t="s">
        <v>1663</v>
      </c>
      <c r="D240" s="5" t="s">
        <v>1664</v>
      </c>
      <c r="E240" s="6"/>
      <c r="F240" s="5">
        <v>0</v>
      </c>
      <c r="G240" s="5">
        <v>0</v>
      </c>
      <c r="H240" s="5" t="s">
        <v>616</v>
      </c>
      <c r="I240" s="5">
        <v>0</v>
      </c>
      <c r="J240" s="5" t="s">
        <v>657</v>
      </c>
      <c r="K240" s="7" t="s">
        <v>1665</v>
      </c>
      <c r="L240" s="5" t="s">
        <v>1666</v>
      </c>
    </row>
    <row r="241" spans="1:12" ht="65" customHeight="1">
      <c r="A241" s="5" t="s">
        <v>611</v>
      </c>
      <c r="B241" s="5" t="s">
        <v>1504</v>
      </c>
      <c r="C241" s="5" t="s">
        <v>1667</v>
      </c>
      <c r="D241" s="5" t="s">
        <v>1668</v>
      </c>
      <c r="E241" s="6"/>
      <c r="F241" s="5">
        <v>0</v>
      </c>
      <c r="G241" s="5">
        <v>0</v>
      </c>
      <c r="H241" s="5" t="s">
        <v>616</v>
      </c>
      <c r="I241" s="5">
        <v>0</v>
      </c>
      <c r="J241" s="5" t="s">
        <v>657</v>
      </c>
      <c r="K241" s="7" t="s">
        <v>1669</v>
      </c>
      <c r="L241" s="5" t="s">
        <v>1670</v>
      </c>
    </row>
    <row r="242" spans="1:12" ht="65" customHeight="1">
      <c r="A242" s="5" t="s">
        <v>611</v>
      </c>
      <c r="B242" s="5" t="s">
        <v>1504</v>
      </c>
      <c r="C242" s="5" t="s">
        <v>1671</v>
      </c>
      <c r="D242" s="5" t="s">
        <v>1672</v>
      </c>
      <c r="E242" s="6"/>
      <c r="F242" s="5">
        <v>0</v>
      </c>
      <c r="G242" s="5">
        <v>0</v>
      </c>
      <c r="H242" s="5" t="s">
        <v>616</v>
      </c>
      <c r="I242" s="5">
        <v>0</v>
      </c>
      <c r="J242" s="5" t="s">
        <v>657</v>
      </c>
      <c r="K242" s="7" t="s">
        <v>1673</v>
      </c>
      <c r="L242" s="5" t="s">
        <v>1674</v>
      </c>
    </row>
    <row r="243" spans="1:12" ht="65" customHeight="1">
      <c r="A243" s="5" t="s">
        <v>611</v>
      </c>
      <c r="B243" s="5" t="s">
        <v>1504</v>
      </c>
      <c r="C243" s="5" t="s">
        <v>1675</v>
      </c>
      <c r="D243" s="5" t="s">
        <v>1676</v>
      </c>
      <c r="E243" s="6"/>
      <c r="F243" s="5">
        <v>0</v>
      </c>
      <c r="G243" s="5">
        <v>0</v>
      </c>
      <c r="H243" s="5" t="s">
        <v>616</v>
      </c>
      <c r="I243" s="5">
        <v>0</v>
      </c>
      <c r="J243" s="5" t="s">
        <v>657</v>
      </c>
      <c r="K243" s="7" t="s">
        <v>1677</v>
      </c>
      <c r="L243" s="5" t="s">
        <v>1678</v>
      </c>
    </row>
    <row r="244" spans="1:12" ht="65" customHeight="1">
      <c r="A244" s="5" t="s">
        <v>611</v>
      </c>
      <c r="B244" s="5" t="s">
        <v>1504</v>
      </c>
      <c r="C244" s="5" t="s">
        <v>1679</v>
      </c>
      <c r="D244" s="5" t="s">
        <v>1680</v>
      </c>
      <c r="E244" s="6"/>
      <c r="F244" s="5">
        <v>0</v>
      </c>
      <c r="G244" s="5">
        <v>0</v>
      </c>
      <c r="H244" s="5" t="s">
        <v>616</v>
      </c>
      <c r="I244" s="5">
        <v>0</v>
      </c>
      <c r="J244" s="5" t="s">
        <v>657</v>
      </c>
      <c r="K244" s="7" t="s">
        <v>1681</v>
      </c>
      <c r="L244" s="5" t="s">
        <v>1682</v>
      </c>
    </row>
    <row r="245" spans="1:12" ht="65" customHeight="1">
      <c r="A245" s="5" t="s">
        <v>611</v>
      </c>
      <c r="B245" s="5" t="s">
        <v>1504</v>
      </c>
      <c r="C245" s="5" t="s">
        <v>1683</v>
      </c>
      <c r="D245" s="5" t="s">
        <v>1684</v>
      </c>
      <c r="E245" s="6"/>
      <c r="F245" s="5">
        <v>0</v>
      </c>
      <c r="G245" s="5">
        <v>0</v>
      </c>
      <c r="H245" s="5" t="s">
        <v>616</v>
      </c>
      <c r="I245" s="5">
        <v>0</v>
      </c>
      <c r="J245" s="5" t="s">
        <v>657</v>
      </c>
      <c r="K245" s="7" t="s">
        <v>1685</v>
      </c>
      <c r="L245" s="5" t="s">
        <v>1686</v>
      </c>
    </row>
    <row r="246" spans="1:12" ht="65" customHeight="1">
      <c r="A246" s="5" t="s">
        <v>611</v>
      </c>
      <c r="B246" s="5" t="s">
        <v>1504</v>
      </c>
      <c r="C246" s="5" t="s">
        <v>1687</v>
      </c>
      <c r="D246" s="5" t="s">
        <v>1688</v>
      </c>
      <c r="E246" s="6"/>
      <c r="F246" s="5">
        <v>0</v>
      </c>
      <c r="G246" s="5">
        <v>0</v>
      </c>
      <c r="H246" s="5" t="s">
        <v>616</v>
      </c>
      <c r="I246" s="5">
        <v>0</v>
      </c>
      <c r="J246" s="5" t="s">
        <v>657</v>
      </c>
      <c r="K246" s="7" t="s">
        <v>1689</v>
      </c>
      <c r="L246" s="5" t="s">
        <v>1690</v>
      </c>
    </row>
    <row r="247" spans="1:12" ht="65" customHeight="1">
      <c r="A247" s="5" t="s">
        <v>611</v>
      </c>
      <c r="B247" s="5" t="s">
        <v>1504</v>
      </c>
      <c r="C247" s="5" t="s">
        <v>1691</v>
      </c>
      <c r="D247" s="5" t="s">
        <v>1692</v>
      </c>
      <c r="E247" s="6"/>
      <c r="F247" s="5">
        <v>0</v>
      </c>
      <c r="G247" s="5">
        <v>0</v>
      </c>
      <c r="H247" s="5" t="s">
        <v>616</v>
      </c>
      <c r="I247" s="5">
        <v>0</v>
      </c>
      <c r="J247" s="5" t="s">
        <v>657</v>
      </c>
      <c r="K247" s="7" t="s">
        <v>1693</v>
      </c>
      <c r="L247" s="5" t="s">
        <v>1694</v>
      </c>
    </row>
    <row r="248" spans="1:12" ht="65" customHeight="1">
      <c r="A248" s="5" t="s">
        <v>611</v>
      </c>
      <c r="B248" s="5" t="s">
        <v>1504</v>
      </c>
      <c r="C248" s="5" t="s">
        <v>1695</v>
      </c>
      <c r="D248" s="5" t="s">
        <v>1696</v>
      </c>
      <c r="E248" s="6"/>
      <c r="F248" s="5">
        <v>0</v>
      </c>
      <c r="G248" s="5">
        <v>0</v>
      </c>
      <c r="H248" s="5" t="s">
        <v>616</v>
      </c>
      <c r="I248" s="5">
        <v>0</v>
      </c>
      <c r="J248" s="5" t="s">
        <v>657</v>
      </c>
      <c r="K248" s="7" t="s">
        <v>1697</v>
      </c>
      <c r="L248" s="5" t="s">
        <v>1698</v>
      </c>
    </row>
    <row r="249" spans="1:12" ht="65" customHeight="1">
      <c r="A249" s="5" t="s">
        <v>611</v>
      </c>
      <c r="B249" s="5" t="s">
        <v>1504</v>
      </c>
      <c r="C249" s="5" t="s">
        <v>1699</v>
      </c>
      <c r="D249" s="5" t="s">
        <v>1700</v>
      </c>
      <c r="E249" s="5" t="s">
        <v>1701</v>
      </c>
      <c r="F249" s="5">
        <v>9.4</v>
      </c>
      <c r="G249" s="5">
        <v>1</v>
      </c>
      <c r="H249" s="5" t="s">
        <v>623</v>
      </c>
      <c r="I249" s="5">
        <v>270408</v>
      </c>
      <c r="J249" s="5" t="s">
        <v>617</v>
      </c>
      <c r="K249" s="7" t="s">
        <v>1702</v>
      </c>
      <c r="L249" s="5" t="s">
        <v>1703</v>
      </c>
    </row>
    <row r="250" spans="1:12" ht="65" customHeight="1">
      <c r="A250" s="5" t="s">
        <v>611</v>
      </c>
      <c r="B250" s="5" t="s">
        <v>1504</v>
      </c>
      <c r="C250" s="5" t="s">
        <v>1704</v>
      </c>
      <c r="D250" s="5" t="s">
        <v>1705</v>
      </c>
      <c r="E250" s="6"/>
      <c r="F250" s="5">
        <v>0</v>
      </c>
      <c r="G250" s="5">
        <v>0</v>
      </c>
      <c r="H250" s="5" t="s">
        <v>616</v>
      </c>
      <c r="I250" s="5">
        <v>0</v>
      </c>
      <c r="J250" s="5" t="s">
        <v>657</v>
      </c>
      <c r="K250" s="7" t="s">
        <v>1706</v>
      </c>
      <c r="L250" s="5" t="s">
        <v>1707</v>
      </c>
    </row>
    <row r="251" spans="1:12" ht="65" customHeight="1">
      <c r="A251" s="5" t="s">
        <v>611</v>
      </c>
      <c r="B251" s="5" t="s">
        <v>1504</v>
      </c>
      <c r="C251" s="5" t="s">
        <v>1708</v>
      </c>
      <c r="D251" s="5" t="s">
        <v>1709</v>
      </c>
      <c r="E251" s="6"/>
      <c r="F251" s="5">
        <v>0</v>
      </c>
      <c r="G251" s="5">
        <v>0</v>
      </c>
      <c r="H251" s="5" t="s">
        <v>616</v>
      </c>
      <c r="I251" s="5">
        <v>0</v>
      </c>
      <c r="J251" s="5" t="s">
        <v>657</v>
      </c>
      <c r="K251" s="7" t="s">
        <v>1710</v>
      </c>
      <c r="L251" s="5" t="s">
        <v>1711</v>
      </c>
    </row>
    <row r="252" spans="1:12" ht="65" customHeight="1">
      <c r="A252" s="5" t="s">
        <v>611</v>
      </c>
      <c r="B252" s="5" t="s">
        <v>1504</v>
      </c>
      <c r="C252" s="5" t="s">
        <v>1712</v>
      </c>
      <c r="D252" s="5" t="s">
        <v>1713</v>
      </c>
      <c r="E252" s="6"/>
      <c r="F252" s="5">
        <v>0</v>
      </c>
      <c r="G252" s="5">
        <v>0</v>
      </c>
      <c r="H252" s="5" t="s">
        <v>616</v>
      </c>
      <c r="I252" s="5">
        <v>0</v>
      </c>
      <c r="J252" s="5" t="s">
        <v>657</v>
      </c>
      <c r="K252" s="7" t="s">
        <v>1714</v>
      </c>
      <c r="L252" s="5" t="s">
        <v>1715</v>
      </c>
    </row>
    <row r="253" spans="1:12" ht="65" customHeight="1">
      <c r="A253" s="5" t="s">
        <v>611</v>
      </c>
      <c r="B253" s="5" t="s">
        <v>1504</v>
      </c>
      <c r="C253" s="5" t="s">
        <v>1716</v>
      </c>
      <c r="D253" s="5" t="s">
        <v>1717</v>
      </c>
      <c r="E253" s="6"/>
      <c r="F253" s="5">
        <v>0</v>
      </c>
      <c r="G253" s="5">
        <v>0</v>
      </c>
      <c r="H253" s="5" t="s">
        <v>616</v>
      </c>
      <c r="I253" s="5">
        <v>0</v>
      </c>
      <c r="J253" s="5" t="s">
        <v>657</v>
      </c>
      <c r="K253" s="7" t="s">
        <v>1718</v>
      </c>
      <c r="L253" s="5" t="s">
        <v>1719</v>
      </c>
    </row>
    <row r="254" spans="1:12" ht="65" customHeight="1">
      <c r="A254" s="5" t="s">
        <v>611</v>
      </c>
      <c r="B254" s="5" t="s">
        <v>1504</v>
      </c>
      <c r="C254" s="5" t="s">
        <v>1720</v>
      </c>
      <c r="D254" s="5" t="s">
        <v>1721</v>
      </c>
      <c r="E254" s="6"/>
      <c r="F254" s="5">
        <v>0</v>
      </c>
      <c r="G254" s="5">
        <v>0</v>
      </c>
      <c r="H254" s="5" t="s">
        <v>616</v>
      </c>
      <c r="I254" s="5">
        <v>0</v>
      </c>
      <c r="J254" s="5" t="s">
        <v>657</v>
      </c>
      <c r="K254" s="7" t="s">
        <v>1722</v>
      </c>
      <c r="L254" s="5" t="s">
        <v>1723</v>
      </c>
    </row>
    <row r="255" spans="1:12" ht="65" customHeight="1">
      <c r="A255" s="5" t="s">
        <v>611</v>
      </c>
      <c r="B255" s="5" t="s">
        <v>1504</v>
      </c>
      <c r="C255" s="5" t="s">
        <v>1724</v>
      </c>
      <c r="D255" s="5" t="s">
        <v>1725</v>
      </c>
      <c r="E255" s="5" t="s">
        <v>1726</v>
      </c>
      <c r="F255" s="5">
        <v>0.74</v>
      </c>
      <c r="G255" s="5">
        <v>1</v>
      </c>
      <c r="H255" s="5" t="s">
        <v>616</v>
      </c>
      <c r="I255" s="5">
        <v>47757640</v>
      </c>
      <c r="J255" s="5" t="s">
        <v>617</v>
      </c>
      <c r="K255" s="7" t="s">
        <v>1727</v>
      </c>
      <c r="L255" s="5" t="s">
        <v>1728</v>
      </c>
    </row>
    <row r="256" spans="1:12" ht="65" customHeight="1">
      <c r="A256" s="5" t="s">
        <v>611</v>
      </c>
      <c r="B256" s="5" t="s">
        <v>1504</v>
      </c>
      <c r="C256" s="5" t="s">
        <v>1729</v>
      </c>
      <c r="D256" s="5" t="s">
        <v>1730</v>
      </c>
      <c r="E256" s="6"/>
      <c r="F256" s="5">
        <v>0</v>
      </c>
      <c r="G256" s="5">
        <v>0</v>
      </c>
      <c r="H256" s="5" t="s">
        <v>616</v>
      </c>
      <c r="I256" s="5">
        <v>0</v>
      </c>
      <c r="J256" s="5" t="s">
        <v>657</v>
      </c>
      <c r="K256" s="7" t="s">
        <v>1731</v>
      </c>
      <c r="L256" s="5" t="s">
        <v>1732</v>
      </c>
    </row>
    <row r="257" spans="1:12" ht="65" customHeight="1">
      <c r="A257" s="5" t="s">
        <v>611</v>
      </c>
      <c r="B257" s="5" t="s">
        <v>1504</v>
      </c>
      <c r="C257" s="5" t="s">
        <v>1733</v>
      </c>
      <c r="D257" s="5" t="s">
        <v>1734</v>
      </c>
      <c r="E257" s="6"/>
      <c r="F257" s="5">
        <v>0</v>
      </c>
      <c r="G257" s="5">
        <v>0</v>
      </c>
      <c r="H257" s="5" t="s">
        <v>616</v>
      </c>
      <c r="I257" s="5">
        <v>0</v>
      </c>
      <c r="J257" s="5" t="s">
        <v>657</v>
      </c>
      <c r="K257" s="7" t="s">
        <v>1735</v>
      </c>
      <c r="L257" s="5" t="s">
        <v>1736</v>
      </c>
    </row>
    <row r="258" spans="1:12" ht="65" customHeight="1">
      <c r="A258" s="5" t="s">
        <v>611</v>
      </c>
      <c r="B258" s="5" t="s">
        <v>1504</v>
      </c>
      <c r="C258" s="5" t="s">
        <v>1737</v>
      </c>
      <c r="D258" s="5" t="s">
        <v>1738</v>
      </c>
      <c r="E258" s="6"/>
      <c r="F258" s="5">
        <v>0</v>
      </c>
      <c r="G258" s="5">
        <v>0</v>
      </c>
      <c r="H258" s="5" t="s">
        <v>616</v>
      </c>
      <c r="I258" s="5">
        <v>0</v>
      </c>
      <c r="J258" s="5" t="s">
        <v>657</v>
      </c>
      <c r="K258" s="7" t="s">
        <v>1739</v>
      </c>
      <c r="L258" s="5" t="s">
        <v>1740</v>
      </c>
    </row>
    <row r="259" spans="1:12" ht="65" customHeight="1">
      <c r="A259" s="5" t="s">
        <v>611</v>
      </c>
      <c r="B259" s="5" t="s">
        <v>1504</v>
      </c>
      <c r="C259" s="5" t="s">
        <v>1741</v>
      </c>
      <c r="D259" s="5" t="s">
        <v>1742</v>
      </c>
      <c r="E259" s="6"/>
      <c r="F259" s="5">
        <v>0</v>
      </c>
      <c r="G259" s="5">
        <v>0</v>
      </c>
      <c r="H259" s="5" t="s">
        <v>616</v>
      </c>
      <c r="I259" s="5">
        <v>0</v>
      </c>
      <c r="J259" s="5" t="s">
        <v>657</v>
      </c>
      <c r="K259" s="7" t="s">
        <v>1743</v>
      </c>
      <c r="L259" s="5" t="s">
        <v>1744</v>
      </c>
    </row>
    <row r="260" spans="1:12" ht="65" customHeight="1">
      <c r="A260" s="5" t="s">
        <v>611</v>
      </c>
      <c r="B260" s="5" t="s">
        <v>1504</v>
      </c>
      <c r="C260" s="5" t="s">
        <v>1745</v>
      </c>
      <c r="D260" s="5" t="s">
        <v>1746</v>
      </c>
      <c r="E260" s="5" t="s">
        <v>1747</v>
      </c>
      <c r="F260" s="5">
        <v>3.5</v>
      </c>
      <c r="G260" s="5">
        <v>1</v>
      </c>
      <c r="H260" s="5" t="s">
        <v>616</v>
      </c>
      <c r="I260" s="5">
        <v>0</v>
      </c>
      <c r="J260" s="5" t="s">
        <v>617</v>
      </c>
      <c r="K260" s="7" t="s">
        <v>1748</v>
      </c>
      <c r="L260" s="5" t="s">
        <v>1749</v>
      </c>
    </row>
    <row r="261" spans="1:12" ht="65" customHeight="1">
      <c r="A261" s="5" t="s">
        <v>611</v>
      </c>
      <c r="B261" s="5" t="s">
        <v>1504</v>
      </c>
      <c r="C261" s="5" t="s">
        <v>1750</v>
      </c>
      <c r="D261" s="5" t="s">
        <v>1751</v>
      </c>
      <c r="E261" s="6"/>
      <c r="F261" s="5">
        <v>0</v>
      </c>
      <c r="G261" s="5">
        <v>0</v>
      </c>
      <c r="H261" s="5" t="s">
        <v>616</v>
      </c>
      <c r="I261" s="5">
        <v>0</v>
      </c>
      <c r="J261" s="5" t="s">
        <v>657</v>
      </c>
      <c r="K261" s="7" t="s">
        <v>1752</v>
      </c>
      <c r="L261" s="5" t="s">
        <v>1753</v>
      </c>
    </row>
    <row r="262" spans="1:12" ht="65" customHeight="1">
      <c r="A262" s="5" t="s">
        <v>611</v>
      </c>
      <c r="B262" s="5" t="s">
        <v>1504</v>
      </c>
      <c r="C262" s="5" t="s">
        <v>1754</v>
      </c>
      <c r="D262" s="5" t="s">
        <v>1755</v>
      </c>
      <c r="E262" s="6"/>
      <c r="F262" s="5">
        <v>0</v>
      </c>
      <c r="G262" s="5">
        <v>0</v>
      </c>
      <c r="H262" s="5" t="s">
        <v>616</v>
      </c>
      <c r="I262" s="5">
        <v>0</v>
      </c>
      <c r="J262" s="5" t="s">
        <v>657</v>
      </c>
      <c r="K262" s="7" t="s">
        <v>1756</v>
      </c>
      <c r="L262" s="5" t="s">
        <v>1757</v>
      </c>
    </row>
    <row r="263" spans="1:12" ht="65" customHeight="1">
      <c r="A263" s="5" t="s">
        <v>611</v>
      </c>
      <c r="B263" s="5" t="s">
        <v>1504</v>
      </c>
      <c r="C263" s="5" t="s">
        <v>1758</v>
      </c>
      <c r="D263" s="5" t="s">
        <v>1759</v>
      </c>
      <c r="E263" s="6"/>
      <c r="F263" s="5">
        <v>0</v>
      </c>
      <c r="G263" s="5">
        <v>0</v>
      </c>
      <c r="H263" s="5" t="s">
        <v>616</v>
      </c>
      <c r="I263" s="5">
        <v>0</v>
      </c>
      <c r="J263" s="5" t="s">
        <v>657</v>
      </c>
      <c r="K263" s="7" t="s">
        <v>1760</v>
      </c>
      <c r="L263" s="5" t="s">
        <v>1761</v>
      </c>
    </row>
    <row r="264" spans="1:12" ht="65" customHeight="1">
      <c r="A264" s="5" t="s">
        <v>611</v>
      </c>
      <c r="B264" s="5" t="s">
        <v>1504</v>
      </c>
      <c r="C264" s="5" t="s">
        <v>1762</v>
      </c>
      <c r="D264" s="5" t="s">
        <v>1763</v>
      </c>
      <c r="E264" s="6"/>
      <c r="F264" s="5">
        <v>0</v>
      </c>
      <c r="G264" s="5">
        <v>0</v>
      </c>
      <c r="H264" s="5" t="s">
        <v>616</v>
      </c>
      <c r="I264" s="5">
        <v>0</v>
      </c>
      <c r="J264" s="5" t="s">
        <v>657</v>
      </c>
      <c r="K264" s="7" t="s">
        <v>1764</v>
      </c>
      <c r="L264" s="5" t="s">
        <v>1765</v>
      </c>
    </row>
    <row r="265" spans="1:12" ht="65" customHeight="1">
      <c r="A265" s="5" t="s">
        <v>611</v>
      </c>
      <c r="B265" s="5" t="s">
        <v>1504</v>
      </c>
      <c r="C265" s="5" t="s">
        <v>1766</v>
      </c>
      <c r="D265" s="5" t="s">
        <v>1767</v>
      </c>
      <c r="E265" s="6"/>
      <c r="F265" s="5">
        <v>0</v>
      </c>
      <c r="G265" s="5">
        <v>0</v>
      </c>
      <c r="H265" s="5" t="s">
        <v>616</v>
      </c>
      <c r="I265" s="5">
        <v>0</v>
      </c>
      <c r="J265" s="5" t="s">
        <v>657</v>
      </c>
      <c r="K265" s="7" t="s">
        <v>1768</v>
      </c>
      <c r="L265" s="5" t="s">
        <v>1769</v>
      </c>
    </row>
    <row r="266" spans="1:12" ht="65" customHeight="1">
      <c r="A266" s="5" t="s">
        <v>611</v>
      </c>
      <c r="B266" s="5" t="s">
        <v>1504</v>
      </c>
      <c r="C266" s="5" t="s">
        <v>1770</v>
      </c>
      <c r="D266" s="5" t="s">
        <v>1771</v>
      </c>
      <c r="E266" s="6"/>
      <c r="F266" s="5">
        <v>0</v>
      </c>
      <c r="G266" s="5">
        <v>0</v>
      </c>
      <c r="H266" s="5" t="s">
        <v>616</v>
      </c>
      <c r="I266" s="5">
        <v>0</v>
      </c>
      <c r="J266" s="5" t="s">
        <v>657</v>
      </c>
      <c r="K266" s="7" t="s">
        <v>1772</v>
      </c>
      <c r="L266" s="5" t="s">
        <v>1773</v>
      </c>
    </row>
    <row r="267" spans="1:12" ht="65" customHeight="1">
      <c r="A267" s="5" t="s">
        <v>611</v>
      </c>
      <c r="B267" s="5" t="s">
        <v>1504</v>
      </c>
      <c r="C267" s="5" t="s">
        <v>1774</v>
      </c>
      <c r="D267" s="5" t="s">
        <v>1775</v>
      </c>
      <c r="E267" s="6"/>
      <c r="F267" s="5">
        <v>0</v>
      </c>
      <c r="G267" s="5">
        <v>0</v>
      </c>
      <c r="H267" s="5" t="s">
        <v>616</v>
      </c>
      <c r="I267" s="5">
        <v>0</v>
      </c>
      <c r="J267" s="5" t="s">
        <v>657</v>
      </c>
      <c r="K267" s="7" t="s">
        <v>1776</v>
      </c>
      <c r="L267" s="5" t="s">
        <v>1777</v>
      </c>
    </row>
    <row r="268" spans="1:12" ht="65" customHeight="1">
      <c r="A268" s="5" t="s">
        <v>611</v>
      </c>
      <c r="B268" s="5" t="s">
        <v>1504</v>
      </c>
      <c r="C268" s="5" t="s">
        <v>1778</v>
      </c>
      <c r="D268" s="5" t="s">
        <v>1779</v>
      </c>
      <c r="E268" s="6"/>
      <c r="F268" s="5">
        <v>0</v>
      </c>
      <c r="G268" s="5">
        <v>0</v>
      </c>
      <c r="H268" s="5" t="s">
        <v>616</v>
      </c>
      <c r="I268" s="5">
        <v>0</v>
      </c>
      <c r="J268" s="5" t="s">
        <v>657</v>
      </c>
      <c r="K268" s="7" t="s">
        <v>1780</v>
      </c>
      <c r="L268" s="5" t="s">
        <v>1781</v>
      </c>
    </row>
    <row r="269" spans="1:12" ht="65" customHeight="1">
      <c r="A269" s="5" t="s">
        <v>611</v>
      </c>
      <c r="B269" s="5" t="s">
        <v>1504</v>
      </c>
      <c r="C269" s="5" t="s">
        <v>1782</v>
      </c>
      <c r="D269" s="5" t="s">
        <v>1783</v>
      </c>
      <c r="E269" s="6"/>
      <c r="F269" s="5">
        <v>0</v>
      </c>
      <c r="G269" s="5">
        <v>0</v>
      </c>
      <c r="H269" s="5" t="s">
        <v>616</v>
      </c>
      <c r="I269" s="5">
        <v>0</v>
      </c>
      <c r="J269" s="5" t="s">
        <v>657</v>
      </c>
      <c r="K269" s="7" t="s">
        <v>1784</v>
      </c>
      <c r="L269" s="5" t="s">
        <v>1785</v>
      </c>
    </row>
    <row r="270" spans="1:12" ht="65" customHeight="1">
      <c r="A270" s="5" t="s">
        <v>611</v>
      </c>
      <c r="B270" s="5" t="s">
        <v>1504</v>
      </c>
      <c r="C270" s="5" t="s">
        <v>1786</v>
      </c>
      <c r="D270" s="5" t="s">
        <v>1787</v>
      </c>
      <c r="E270" s="6"/>
      <c r="F270" s="5">
        <v>0</v>
      </c>
      <c r="G270" s="5">
        <v>0</v>
      </c>
      <c r="H270" s="5" t="s">
        <v>616</v>
      </c>
      <c r="I270" s="5">
        <v>0</v>
      </c>
      <c r="J270" s="5" t="s">
        <v>657</v>
      </c>
      <c r="K270" s="7" t="s">
        <v>1788</v>
      </c>
      <c r="L270" s="5" t="s">
        <v>1789</v>
      </c>
    </row>
    <row r="271" spans="1:12" ht="65" customHeight="1">
      <c r="A271" s="5" t="s">
        <v>611</v>
      </c>
      <c r="B271" s="5" t="s">
        <v>1504</v>
      </c>
      <c r="C271" s="5" t="s">
        <v>1790</v>
      </c>
      <c r="D271" s="5" t="s">
        <v>1791</v>
      </c>
      <c r="E271" s="6"/>
      <c r="F271" s="5">
        <v>0</v>
      </c>
      <c r="G271" s="5">
        <v>0</v>
      </c>
      <c r="H271" s="5" t="s">
        <v>616</v>
      </c>
      <c r="I271" s="5">
        <v>0</v>
      </c>
      <c r="J271" s="5" t="s">
        <v>657</v>
      </c>
      <c r="K271" s="7" t="s">
        <v>1792</v>
      </c>
      <c r="L271" s="5" t="s">
        <v>1793</v>
      </c>
    </row>
    <row r="272" spans="1:12" ht="65" customHeight="1">
      <c r="A272" s="5" t="s">
        <v>611</v>
      </c>
      <c r="B272" s="5" t="s">
        <v>1504</v>
      </c>
      <c r="C272" s="5" t="s">
        <v>1794</v>
      </c>
      <c r="D272" s="5" t="s">
        <v>1795</v>
      </c>
      <c r="E272" s="6"/>
      <c r="F272" s="5">
        <v>0</v>
      </c>
      <c r="G272" s="5">
        <v>0</v>
      </c>
      <c r="H272" s="5" t="s">
        <v>616</v>
      </c>
      <c r="I272" s="5">
        <v>0</v>
      </c>
      <c r="J272" s="5" t="s">
        <v>657</v>
      </c>
      <c r="K272" s="7" t="s">
        <v>1796</v>
      </c>
      <c r="L272" s="5" t="s">
        <v>1797</v>
      </c>
    </row>
    <row r="273" spans="1:12" ht="65" customHeight="1">
      <c r="A273" s="5" t="s">
        <v>611</v>
      </c>
      <c r="B273" s="5" t="s">
        <v>1504</v>
      </c>
      <c r="C273" s="5" t="s">
        <v>1798</v>
      </c>
      <c r="D273" s="5" t="s">
        <v>1610</v>
      </c>
      <c r="E273" s="6"/>
      <c r="F273" s="5">
        <v>0</v>
      </c>
      <c r="G273" s="5">
        <v>0</v>
      </c>
      <c r="H273" s="5" t="s">
        <v>616</v>
      </c>
      <c r="I273" s="5">
        <v>0</v>
      </c>
      <c r="J273" s="5" t="s">
        <v>657</v>
      </c>
      <c r="K273" s="7" t="s">
        <v>1799</v>
      </c>
      <c r="L273" s="5" t="s">
        <v>1800</v>
      </c>
    </row>
    <row r="274" spans="1:12" ht="65" customHeight="1">
      <c r="A274" s="5" t="s">
        <v>611</v>
      </c>
      <c r="B274" s="5" t="s">
        <v>1504</v>
      </c>
      <c r="C274" s="5" t="s">
        <v>1801</v>
      </c>
      <c r="D274" s="5" t="s">
        <v>1802</v>
      </c>
      <c r="E274" s="6"/>
      <c r="F274" s="5">
        <v>0</v>
      </c>
      <c r="G274" s="5">
        <v>0</v>
      </c>
      <c r="H274" s="5" t="s">
        <v>616</v>
      </c>
      <c r="I274" s="5">
        <v>0</v>
      </c>
      <c r="J274" s="5" t="s">
        <v>657</v>
      </c>
      <c r="K274" s="7" t="s">
        <v>1803</v>
      </c>
      <c r="L274" s="5" t="s">
        <v>1804</v>
      </c>
    </row>
    <row r="275" spans="1:12" ht="65" customHeight="1">
      <c r="A275" s="5" t="s">
        <v>611</v>
      </c>
      <c r="B275" s="5" t="s">
        <v>1504</v>
      </c>
      <c r="C275" s="5" t="s">
        <v>1805</v>
      </c>
      <c r="D275" s="5" t="s">
        <v>1806</v>
      </c>
      <c r="E275" s="6"/>
      <c r="F275" s="5">
        <v>0</v>
      </c>
      <c r="G275" s="5">
        <v>0</v>
      </c>
      <c r="H275" s="5" t="s">
        <v>616</v>
      </c>
      <c r="I275" s="5">
        <v>0</v>
      </c>
      <c r="J275" s="5" t="s">
        <v>657</v>
      </c>
      <c r="K275" s="7" t="s">
        <v>1807</v>
      </c>
      <c r="L275" s="5" t="s">
        <v>1808</v>
      </c>
    </row>
    <row r="276" spans="1:12" ht="65" customHeight="1">
      <c r="A276" s="5" t="s">
        <v>611</v>
      </c>
      <c r="B276" s="5" t="s">
        <v>1504</v>
      </c>
      <c r="C276" s="5" t="s">
        <v>1809</v>
      </c>
      <c r="D276" s="5" t="s">
        <v>1810</v>
      </c>
      <c r="E276" s="6"/>
      <c r="F276" s="5">
        <v>0</v>
      </c>
      <c r="G276" s="5">
        <v>0</v>
      </c>
      <c r="H276" s="5" t="s">
        <v>616</v>
      </c>
      <c r="I276" s="5">
        <v>0</v>
      </c>
      <c r="J276" s="5" t="s">
        <v>657</v>
      </c>
      <c r="K276" s="7" t="s">
        <v>1811</v>
      </c>
      <c r="L276" s="5" t="s">
        <v>1812</v>
      </c>
    </row>
    <row r="277" spans="1:12" ht="65" customHeight="1">
      <c r="A277" s="5" t="s">
        <v>611</v>
      </c>
      <c r="B277" s="5" t="s">
        <v>1504</v>
      </c>
      <c r="C277" s="5" t="s">
        <v>1813</v>
      </c>
      <c r="D277" s="5" t="s">
        <v>1814</v>
      </c>
      <c r="E277" s="6"/>
      <c r="F277" s="5">
        <v>0</v>
      </c>
      <c r="G277" s="5">
        <v>0</v>
      </c>
      <c r="H277" s="5" t="s">
        <v>616</v>
      </c>
      <c r="I277" s="5">
        <v>0</v>
      </c>
      <c r="J277" s="5" t="s">
        <v>657</v>
      </c>
      <c r="K277" s="7" t="s">
        <v>1815</v>
      </c>
      <c r="L277" s="5" t="s">
        <v>1816</v>
      </c>
    </row>
    <row r="278" spans="1:12" ht="65" customHeight="1">
      <c r="A278" s="5" t="s">
        <v>611</v>
      </c>
      <c r="B278" s="5" t="s">
        <v>1504</v>
      </c>
      <c r="C278" s="5" t="s">
        <v>1817</v>
      </c>
      <c r="D278" s="5" t="s">
        <v>1818</v>
      </c>
      <c r="E278" s="6"/>
      <c r="F278" s="5">
        <v>0</v>
      </c>
      <c r="G278" s="5">
        <v>0</v>
      </c>
      <c r="H278" s="5" t="s">
        <v>616</v>
      </c>
      <c r="I278" s="5">
        <v>0</v>
      </c>
      <c r="J278" s="5" t="s">
        <v>657</v>
      </c>
      <c r="K278" s="7" t="s">
        <v>1819</v>
      </c>
      <c r="L278" s="5" t="s">
        <v>1820</v>
      </c>
    </row>
    <row r="279" spans="1:12" ht="65" customHeight="1">
      <c r="A279" s="5" t="s">
        <v>611</v>
      </c>
      <c r="B279" s="5" t="s">
        <v>1504</v>
      </c>
      <c r="C279" s="5" t="s">
        <v>1821</v>
      </c>
      <c r="D279" s="5" t="s">
        <v>1822</v>
      </c>
      <c r="E279" s="6"/>
      <c r="F279" s="5">
        <v>0</v>
      </c>
      <c r="G279" s="5">
        <v>0</v>
      </c>
      <c r="H279" s="5" t="s">
        <v>616</v>
      </c>
      <c r="I279" s="5">
        <v>0</v>
      </c>
      <c r="J279" s="5" t="s">
        <v>657</v>
      </c>
      <c r="K279" s="7" t="s">
        <v>1823</v>
      </c>
      <c r="L279" s="5" t="s">
        <v>1824</v>
      </c>
    </row>
    <row r="280" spans="1:12" ht="65" customHeight="1">
      <c r="A280" s="5" t="s">
        <v>611</v>
      </c>
      <c r="B280" s="5" t="s">
        <v>1504</v>
      </c>
      <c r="C280" s="5" t="s">
        <v>1825</v>
      </c>
      <c r="D280" s="5" t="s">
        <v>1826</v>
      </c>
      <c r="E280" s="6"/>
      <c r="F280" s="5">
        <v>0</v>
      </c>
      <c r="G280" s="5">
        <v>0</v>
      </c>
      <c r="H280" s="5" t="s">
        <v>616</v>
      </c>
      <c r="I280" s="5">
        <v>0</v>
      </c>
      <c r="J280" s="5" t="s">
        <v>657</v>
      </c>
      <c r="K280" s="7" t="s">
        <v>1827</v>
      </c>
      <c r="L280" s="5" t="s">
        <v>1828</v>
      </c>
    </row>
    <row r="281" spans="1:12" ht="65" customHeight="1">
      <c r="A281" s="5" t="s">
        <v>611</v>
      </c>
      <c r="B281" s="5" t="s">
        <v>1504</v>
      </c>
      <c r="C281" s="5" t="s">
        <v>1829</v>
      </c>
      <c r="D281" s="5" t="s">
        <v>1830</v>
      </c>
      <c r="E281" s="6"/>
      <c r="F281" s="5">
        <v>0</v>
      </c>
      <c r="G281" s="5">
        <v>0</v>
      </c>
      <c r="H281" s="5" t="s">
        <v>616</v>
      </c>
      <c r="I281" s="5">
        <v>0</v>
      </c>
      <c r="J281" s="5" t="s">
        <v>657</v>
      </c>
      <c r="K281" s="7" t="s">
        <v>1831</v>
      </c>
      <c r="L281" s="5" t="s">
        <v>1832</v>
      </c>
    </row>
    <row r="282" spans="1:12" ht="65" customHeight="1">
      <c r="A282" s="5" t="s">
        <v>611</v>
      </c>
      <c r="B282" s="5" t="s">
        <v>1504</v>
      </c>
      <c r="C282" s="5" t="s">
        <v>1833</v>
      </c>
      <c r="D282" s="5" t="s">
        <v>1834</v>
      </c>
      <c r="E282" s="6"/>
      <c r="F282" s="5">
        <v>0</v>
      </c>
      <c r="G282" s="5">
        <v>0</v>
      </c>
      <c r="H282" s="5" t="s">
        <v>616</v>
      </c>
      <c r="I282" s="5">
        <v>0</v>
      </c>
      <c r="J282" s="5" t="s">
        <v>657</v>
      </c>
      <c r="K282" s="7" t="s">
        <v>1835</v>
      </c>
      <c r="L282" s="5" t="s">
        <v>1836</v>
      </c>
    </row>
    <row r="283" spans="1:12" ht="65" customHeight="1">
      <c r="A283" s="5" t="s">
        <v>611</v>
      </c>
      <c r="B283" s="5" t="s">
        <v>1504</v>
      </c>
      <c r="C283" s="5" t="s">
        <v>1837</v>
      </c>
      <c r="D283" s="5" t="s">
        <v>1838</v>
      </c>
      <c r="E283" s="6"/>
      <c r="F283" s="5">
        <v>0</v>
      </c>
      <c r="G283" s="5">
        <v>0</v>
      </c>
      <c r="H283" s="5" t="s">
        <v>616</v>
      </c>
      <c r="I283" s="5">
        <v>0</v>
      </c>
      <c r="J283" s="5" t="s">
        <v>657</v>
      </c>
      <c r="K283" s="7" t="s">
        <v>1839</v>
      </c>
      <c r="L283" s="5" t="s">
        <v>1840</v>
      </c>
    </row>
    <row r="284" spans="1:12" ht="65" customHeight="1">
      <c r="A284" s="5" t="s">
        <v>611</v>
      </c>
      <c r="B284" s="5" t="s">
        <v>1504</v>
      </c>
      <c r="C284" s="5" t="s">
        <v>1841</v>
      </c>
      <c r="D284" s="5" t="s">
        <v>1842</v>
      </c>
      <c r="E284" s="6"/>
      <c r="F284" s="5">
        <v>0</v>
      </c>
      <c r="G284" s="5">
        <v>0</v>
      </c>
      <c r="H284" s="5" t="s">
        <v>616</v>
      </c>
      <c r="I284" s="5">
        <v>0</v>
      </c>
      <c r="J284" s="5" t="s">
        <v>657</v>
      </c>
      <c r="K284" s="7" t="s">
        <v>1843</v>
      </c>
      <c r="L284" s="5" t="s">
        <v>1844</v>
      </c>
    </row>
    <row r="285" spans="1:12" ht="65" customHeight="1">
      <c r="A285" s="5" t="s">
        <v>611</v>
      </c>
      <c r="B285" s="5" t="s">
        <v>1504</v>
      </c>
      <c r="C285" s="5" t="s">
        <v>1845</v>
      </c>
      <c r="D285" s="5" t="s">
        <v>1846</v>
      </c>
      <c r="E285" s="6"/>
      <c r="F285" s="5">
        <v>0</v>
      </c>
      <c r="G285" s="5">
        <v>0</v>
      </c>
      <c r="H285" s="5" t="s">
        <v>616</v>
      </c>
      <c r="I285" s="5">
        <v>0</v>
      </c>
      <c r="J285" s="5" t="s">
        <v>657</v>
      </c>
      <c r="K285" s="7" t="s">
        <v>1847</v>
      </c>
      <c r="L285" s="5" t="s">
        <v>1848</v>
      </c>
    </row>
    <row r="286" spans="1:12" ht="65" customHeight="1">
      <c r="A286" s="5" t="s">
        <v>611</v>
      </c>
      <c r="B286" s="5" t="s">
        <v>1504</v>
      </c>
      <c r="C286" s="5" t="s">
        <v>1849</v>
      </c>
      <c r="D286" s="5" t="s">
        <v>1850</v>
      </c>
      <c r="E286" s="6"/>
      <c r="F286" s="5">
        <v>0</v>
      </c>
      <c r="G286" s="5">
        <v>0</v>
      </c>
      <c r="H286" s="5" t="s">
        <v>616</v>
      </c>
      <c r="I286" s="5">
        <v>0</v>
      </c>
      <c r="J286" s="5" t="s">
        <v>657</v>
      </c>
      <c r="K286" s="7" t="s">
        <v>1851</v>
      </c>
      <c r="L286" s="5" t="s">
        <v>1852</v>
      </c>
    </row>
    <row r="287" spans="1:12" ht="65" customHeight="1">
      <c r="A287" s="5" t="s">
        <v>611</v>
      </c>
      <c r="B287" s="5" t="s">
        <v>1504</v>
      </c>
      <c r="C287" s="5" t="s">
        <v>1853</v>
      </c>
      <c r="D287" s="5" t="s">
        <v>1854</v>
      </c>
      <c r="E287" s="6"/>
      <c r="F287" s="5">
        <v>0</v>
      </c>
      <c r="G287" s="5">
        <v>0</v>
      </c>
      <c r="H287" s="5" t="s">
        <v>616</v>
      </c>
      <c r="I287" s="5">
        <v>0</v>
      </c>
      <c r="J287" s="5" t="s">
        <v>657</v>
      </c>
      <c r="K287" s="7" t="s">
        <v>1855</v>
      </c>
      <c r="L287" s="5" t="s">
        <v>1856</v>
      </c>
    </row>
    <row r="288" spans="1:12" ht="65" customHeight="1">
      <c r="A288" s="5" t="s">
        <v>611</v>
      </c>
      <c r="B288" s="5" t="s">
        <v>1504</v>
      </c>
      <c r="C288" s="5" t="s">
        <v>1857</v>
      </c>
      <c r="D288" s="5" t="s">
        <v>1858</v>
      </c>
      <c r="E288" s="6"/>
      <c r="F288" s="5">
        <v>0</v>
      </c>
      <c r="G288" s="5">
        <v>0</v>
      </c>
      <c r="H288" s="5" t="s">
        <v>616</v>
      </c>
      <c r="I288" s="5">
        <v>0</v>
      </c>
      <c r="J288" s="5" t="s">
        <v>657</v>
      </c>
      <c r="K288" s="7" t="s">
        <v>1859</v>
      </c>
      <c r="L288" s="5" t="s">
        <v>1860</v>
      </c>
    </row>
    <row r="289" spans="1:12" ht="65" customHeight="1">
      <c r="A289" s="5" t="s">
        <v>611</v>
      </c>
      <c r="B289" s="5" t="s">
        <v>1504</v>
      </c>
      <c r="C289" s="5" t="s">
        <v>1861</v>
      </c>
      <c r="D289" s="5" t="s">
        <v>1862</v>
      </c>
      <c r="E289" s="6"/>
      <c r="F289" s="5">
        <v>0</v>
      </c>
      <c r="G289" s="5">
        <v>0</v>
      </c>
      <c r="H289" s="5" t="s">
        <v>616</v>
      </c>
      <c r="I289" s="5">
        <v>0</v>
      </c>
      <c r="J289" s="5" t="s">
        <v>657</v>
      </c>
      <c r="K289" s="7" t="s">
        <v>1863</v>
      </c>
      <c r="L289" s="5" t="s">
        <v>1864</v>
      </c>
    </row>
    <row r="290" spans="1:12" ht="65" customHeight="1">
      <c r="A290" s="5" t="s">
        <v>611</v>
      </c>
      <c r="B290" s="5" t="s">
        <v>1504</v>
      </c>
      <c r="C290" s="5" t="s">
        <v>1865</v>
      </c>
      <c r="D290" s="5" t="s">
        <v>1866</v>
      </c>
      <c r="E290" s="6"/>
      <c r="F290" s="5">
        <v>0</v>
      </c>
      <c r="G290" s="5">
        <v>0</v>
      </c>
      <c r="H290" s="5" t="s">
        <v>616</v>
      </c>
      <c r="I290" s="5">
        <v>0</v>
      </c>
      <c r="J290" s="5" t="s">
        <v>657</v>
      </c>
      <c r="K290" s="7" t="s">
        <v>1867</v>
      </c>
      <c r="L290" s="5" t="s">
        <v>1868</v>
      </c>
    </row>
    <row r="291" spans="1:12" ht="65" customHeight="1">
      <c r="A291" s="5" t="s">
        <v>611</v>
      </c>
      <c r="B291" s="5" t="s">
        <v>1504</v>
      </c>
      <c r="C291" s="5" t="s">
        <v>1869</v>
      </c>
      <c r="D291" s="5" t="s">
        <v>1870</v>
      </c>
      <c r="E291" s="6"/>
      <c r="F291" s="5">
        <v>0</v>
      </c>
      <c r="G291" s="5">
        <v>0</v>
      </c>
      <c r="H291" s="5" t="s">
        <v>616</v>
      </c>
      <c r="I291" s="5">
        <v>0</v>
      </c>
      <c r="J291" s="5" t="s">
        <v>657</v>
      </c>
      <c r="K291" s="7" t="s">
        <v>1871</v>
      </c>
      <c r="L291" s="5" t="s">
        <v>1872</v>
      </c>
    </row>
    <row r="292" spans="1:12" ht="65" customHeight="1">
      <c r="A292" s="5" t="s">
        <v>611</v>
      </c>
      <c r="B292" s="5" t="s">
        <v>1504</v>
      </c>
      <c r="C292" s="5" t="s">
        <v>1873</v>
      </c>
      <c r="D292" s="5" t="s">
        <v>1874</v>
      </c>
      <c r="E292" s="6"/>
      <c r="F292" s="5">
        <v>0</v>
      </c>
      <c r="G292" s="5">
        <v>0</v>
      </c>
      <c r="H292" s="5" t="s">
        <v>616</v>
      </c>
      <c r="I292" s="5">
        <v>0</v>
      </c>
      <c r="J292" s="5" t="s">
        <v>657</v>
      </c>
      <c r="K292" s="7" t="s">
        <v>1875</v>
      </c>
      <c r="L292" s="5" t="s">
        <v>1876</v>
      </c>
    </row>
    <row r="293" spans="1:12" ht="65" customHeight="1">
      <c r="A293" s="5" t="s">
        <v>611</v>
      </c>
      <c r="B293" s="5" t="s">
        <v>1504</v>
      </c>
      <c r="C293" s="5" t="s">
        <v>1877</v>
      </c>
      <c r="D293" s="5" t="s">
        <v>1878</v>
      </c>
      <c r="E293" s="6"/>
      <c r="F293" s="5">
        <v>0</v>
      </c>
      <c r="G293" s="5">
        <v>0</v>
      </c>
      <c r="H293" s="5" t="s">
        <v>616</v>
      </c>
      <c r="I293" s="5">
        <v>0</v>
      </c>
      <c r="J293" s="5" t="s">
        <v>657</v>
      </c>
      <c r="K293" s="7" t="s">
        <v>1879</v>
      </c>
      <c r="L293" s="5" t="s">
        <v>1880</v>
      </c>
    </row>
    <row r="294" spans="1:12" ht="65" customHeight="1">
      <c r="A294" s="5" t="s">
        <v>611</v>
      </c>
      <c r="B294" s="5" t="s">
        <v>1504</v>
      </c>
      <c r="C294" s="5" t="s">
        <v>1881</v>
      </c>
      <c r="D294" s="5" t="s">
        <v>1882</v>
      </c>
      <c r="E294" s="6"/>
      <c r="F294" s="5">
        <v>0</v>
      </c>
      <c r="G294" s="5">
        <v>0</v>
      </c>
      <c r="H294" s="5" t="s">
        <v>616</v>
      </c>
      <c r="I294" s="5">
        <v>0</v>
      </c>
      <c r="J294" s="5" t="s">
        <v>657</v>
      </c>
      <c r="K294" s="7" t="s">
        <v>1883</v>
      </c>
      <c r="L294" s="5" t="s">
        <v>1884</v>
      </c>
    </row>
    <row r="295" spans="1:12" ht="65" customHeight="1">
      <c r="A295" s="5" t="s">
        <v>611</v>
      </c>
      <c r="B295" s="5" t="s">
        <v>1504</v>
      </c>
      <c r="C295" s="5" t="s">
        <v>1885</v>
      </c>
      <c r="D295" s="5" t="s">
        <v>1886</v>
      </c>
      <c r="E295" s="6"/>
      <c r="F295" s="5">
        <v>0</v>
      </c>
      <c r="G295" s="5">
        <v>0</v>
      </c>
      <c r="H295" s="5" t="s">
        <v>616</v>
      </c>
      <c r="I295" s="5">
        <v>0</v>
      </c>
      <c r="J295" s="5" t="s">
        <v>657</v>
      </c>
      <c r="K295" s="7" t="s">
        <v>1887</v>
      </c>
      <c r="L295" s="5" t="s">
        <v>1888</v>
      </c>
    </row>
    <row r="296" spans="1:12" ht="65" customHeight="1">
      <c r="A296" s="5" t="s">
        <v>611</v>
      </c>
      <c r="B296" s="5" t="s">
        <v>1504</v>
      </c>
      <c r="C296" s="5" t="s">
        <v>1889</v>
      </c>
      <c r="D296" s="5" t="s">
        <v>1890</v>
      </c>
      <c r="E296" s="6"/>
      <c r="F296" s="5">
        <v>0</v>
      </c>
      <c r="G296" s="5">
        <v>0</v>
      </c>
      <c r="H296" s="5" t="s">
        <v>616</v>
      </c>
      <c r="I296" s="5">
        <v>0</v>
      </c>
      <c r="J296" s="5" t="s">
        <v>657</v>
      </c>
      <c r="K296" s="7" t="s">
        <v>1891</v>
      </c>
      <c r="L296" s="5" t="s">
        <v>1892</v>
      </c>
    </row>
    <row r="297" spans="1:12" ht="65" customHeight="1">
      <c r="A297" s="5" t="s">
        <v>611</v>
      </c>
      <c r="B297" s="5" t="s">
        <v>1504</v>
      </c>
      <c r="C297" s="5" t="s">
        <v>1893</v>
      </c>
      <c r="D297" s="5" t="s">
        <v>1894</v>
      </c>
      <c r="E297" s="6"/>
      <c r="F297" s="5">
        <v>0</v>
      </c>
      <c r="G297" s="5">
        <v>0</v>
      </c>
      <c r="H297" s="5" t="s">
        <v>616</v>
      </c>
      <c r="I297" s="5">
        <v>0</v>
      </c>
      <c r="J297" s="5" t="s">
        <v>657</v>
      </c>
      <c r="K297" s="7" t="s">
        <v>1895</v>
      </c>
      <c r="L297" s="5" t="s">
        <v>1896</v>
      </c>
    </row>
    <row r="298" spans="1:12" ht="65" customHeight="1">
      <c r="A298" s="5" t="s">
        <v>611</v>
      </c>
      <c r="B298" s="5" t="s">
        <v>1504</v>
      </c>
      <c r="C298" s="5" t="s">
        <v>1897</v>
      </c>
      <c r="D298" s="5" t="s">
        <v>1898</v>
      </c>
      <c r="E298" s="6"/>
      <c r="F298" s="5">
        <v>0</v>
      </c>
      <c r="G298" s="5">
        <v>0</v>
      </c>
      <c r="H298" s="5" t="s">
        <v>616</v>
      </c>
      <c r="I298" s="5">
        <v>0</v>
      </c>
      <c r="J298" s="5" t="s">
        <v>657</v>
      </c>
      <c r="K298" s="7" t="s">
        <v>1899</v>
      </c>
      <c r="L298" s="5" t="s">
        <v>1900</v>
      </c>
    </row>
    <row r="299" spans="1:12" ht="65" customHeight="1">
      <c r="A299" s="5" t="s">
        <v>611</v>
      </c>
      <c r="B299" s="5" t="s">
        <v>1504</v>
      </c>
      <c r="C299" s="5" t="s">
        <v>1901</v>
      </c>
      <c r="D299" s="5" t="s">
        <v>1902</v>
      </c>
      <c r="E299" s="6"/>
      <c r="F299" s="5">
        <v>0</v>
      </c>
      <c r="G299" s="5">
        <v>0</v>
      </c>
      <c r="H299" s="5" t="s">
        <v>616</v>
      </c>
      <c r="I299" s="5">
        <v>0</v>
      </c>
      <c r="J299" s="5" t="s">
        <v>657</v>
      </c>
      <c r="K299" s="7" t="s">
        <v>1903</v>
      </c>
      <c r="L299" s="5" t="s">
        <v>1904</v>
      </c>
    </row>
    <row r="300" spans="1:12" ht="65" customHeight="1">
      <c r="A300" s="5" t="s">
        <v>611</v>
      </c>
      <c r="B300" s="5" t="s">
        <v>1504</v>
      </c>
      <c r="C300" s="5" t="s">
        <v>1905</v>
      </c>
      <c r="D300" s="5" t="s">
        <v>1906</v>
      </c>
      <c r="E300" s="6"/>
      <c r="F300" s="5">
        <v>0</v>
      </c>
      <c r="G300" s="5">
        <v>0</v>
      </c>
      <c r="H300" s="5" t="s">
        <v>616</v>
      </c>
      <c r="I300" s="5">
        <v>0</v>
      </c>
      <c r="J300" s="5" t="s">
        <v>657</v>
      </c>
      <c r="K300" s="7" t="s">
        <v>1907</v>
      </c>
      <c r="L300" s="5" t="s">
        <v>1908</v>
      </c>
    </row>
    <row r="301" spans="1:12" ht="65" customHeight="1">
      <c r="A301" s="5" t="s">
        <v>611</v>
      </c>
      <c r="B301" s="5" t="s">
        <v>1504</v>
      </c>
      <c r="C301" s="5" t="s">
        <v>1909</v>
      </c>
      <c r="D301" s="5" t="s">
        <v>1910</v>
      </c>
      <c r="E301" s="6"/>
      <c r="F301" s="5">
        <v>0</v>
      </c>
      <c r="G301" s="5">
        <v>0</v>
      </c>
      <c r="H301" s="5" t="s">
        <v>616</v>
      </c>
      <c r="I301" s="5">
        <v>0</v>
      </c>
      <c r="J301" s="5" t="s">
        <v>657</v>
      </c>
      <c r="K301" s="7" t="s">
        <v>1911</v>
      </c>
      <c r="L301" s="5" t="s">
        <v>1912</v>
      </c>
    </row>
    <row r="302" spans="1:12" ht="65" customHeight="1">
      <c r="A302" s="5" t="s">
        <v>611</v>
      </c>
      <c r="B302" s="5" t="s">
        <v>1504</v>
      </c>
      <c r="C302" s="5" t="s">
        <v>1913</v>
      </c>
      <c r="D302" s="5" t="s">
        <v>1914</v>
      </c>
      <c r="E302" s="6"/>
      <c r="F302" s="5">
        <v>0</v>
      </c>
      <c r="G302" s="5">
        <v>0</v>
      </c>
      <c r="H302" s="5" t="s">
        <v>616</v>
      </c>
      <c r="I302" s="5">
        <v>0</v>
      </c>
      <c r="J302" s="5" t="s">
        <v>657</v>
      </c>
      <c r="K302" s="7" t="s">
        <v>1915</v>
      </c>
      <c r="L302" s="5" t="s">
        <v>1916</v>
      </c>
    </row>
    <row r="303" spans="1:12" ht="65" customHeight="1">
      <c r="A303" s="5" t="s">
        <v>611</v>
      </c>
      <c r="B303" s="5" t="s">
        <v>1504</v>
      </c>
      <c r="C303" s="5" t="s">
        <v>1917</v>
      </c>
      <c r="D303" s="5" t="s">
        <v>1918</v>
      </c>
      <c r="E303" s="6"/>
      <c r="F303" s="5">
        <v>0</v>
      </c>
      <c r="G303" s="5">
        <v>0</v>
      </c>
      <c r="H303" s="5" t="s">
        <v>616</v>
      </c>
      <c r="I303" s="5">
        <v>0</v>
      </c>
      <c r="J303" s="5" t="s">
        <v>657</v>
      </c>
      <c r="K303" s="7" t="s">
        <v>1919</v>
      </c>
      <c r="L303" s="5" t="s">
        <v>1920</v>
      </c>
    </row>
    <row r="304" spans="1:12" ht="65" customHeight="1">
      <c r="A304" s="5" t="s">
        <v>611</v>
      </c>
      <c r="B304" s="5" t="s">
        <v>1504</v>
      </c>
      <c r="C304" s="5" t="s">
        <v>1921</v>
      </c>
      <c r="D304" s="5" t="s">
        <v>1922</v>
      </c>
      <c r="E304" s="6"/>
      <c r="F304" s="5">
        <v>0</v>
      </c>
      <c r="G304" s="5">
        <v>0</v>
      </c>
      <c r="H304" s="5" t="s">
        <v>616</v>
      </c>
      <c r="I304" s="5">
        <v>0</v>
      </c>
      <c r="J304" s="5" t="s">
        <v>657</v>
      </c>
      <c r="K304" s="7" t="s">
        <v>1923</v>
      </c>
      <c r="L304" s="5" t="s">
        <v>1924</v>
      </c>
    </row>
    <row r="305" spans="1:12" ht="65" customHeight="1">
      <c r="A305" s="5" t="s">
        <v>1925</v>
      </c>
      <c r="B305" s="5" t="s">
        <v>1926</v>
      </c>
      <c r="C305" s="5" t="s">
        <v>1927</v>
      </c>
      <c r="D305" s="5" t="s">
        <v>1928</v>
      </c>
      <c r="E305" s="6"/>
      <c r="F305" s="5">
        <v>0</v>
      </c>
      <c r="G305" s="5">
        <v>0</v>
      </c>
      <c r="H305" s="5" t="s">
        <v>616</v>
      </c>
      <c r="I305" s="5">
        <v>0</v>
      </c>
      <c r="J305" s="5" t="s">
        <v>657</v>
      </c>
      <c r="K305" s="7" t="s">
        <v>1929</v>
      </c>
      <c r="L305" s="5" t="s">
        <v>1930</v>
      </c>
    </row>
    <row r="306" spans="1:12" ht="65" customHeight="1">
      <c r="A306" s="5" t="s">
        <v>1925</v>
      </c>
      <c r="B306" s="5" t="s">
        <v>1926</v>
      </c>
      <c r="C306" s="5" t="s">
        <v>1931</v>
      </c>
      <c r="D306" s="5" t="s">
        <v>1932</v>
      </c>
      <c r="E306" s="5" t="s">
        <v>1933</v>
      </c>
      <c r="F306" s="5">
        <v>0</v>
      </c>
      <c r="G306" s="5">
        <v>1</v>
      </c>
      <c r="H306" s="5" t="s">
        <v>616</v>
      </c>
      <c r="I306" s="5">
        <v>0</v>
      </c>
      <c r="J306" s="5" t="s">
        <v>657</v>
      </c>
      <c r="K306" s="7" t="s">
        <v>1934</v>
      </c>
      <c r="L306" s="5" t="s">
        <v>1935</v>
      </c>
    </row>
    <row r="307" spans="1:12" ht="65" customHeight="1">
      <c r="A307" s="5" t="s">
        <v>1925</v>
      </c>
      <c r="B307" s="5" t="s">
        <v>1926</v>
      </c>
      <c r="C307" s="5" t="s">
        <v>1936</v>
      </c>
      <c r="D307" s="5" t="s">
        <v>1937</v>
      </c>
      <c r="E307" s="5" t="s">
        <v>1938</v>
      </c>
      <c r="F307" s="5">
        <v>0.72</v>
      </c>
      <c r="G307" s="5">
        <v>1</v>
      </c>
      <c r="H307" s="5" t="s">
        <v>616</v>
      </c>
      <c r="I307" s="5">
        <v>82285592</v>
      </c>
      <c r="J307" s="5" t="s">
        <v>617</v>
      </c>
      <c r="K307" s="7" t="s">
        <v>1939</v>
      </c>
      <c r="L307" s="5" t="s">
        <v>1940</v>
      </c>
    </row>
    <row r="308" spans="1:12" ht="65" customHeight="1">
      <c r="A308" s="5" t="s">
        <v>1925</v>
      </c>
      <c r="B308" s="5" t="s">
        <v>1926</v>
      </c>
      <c r="C308" s="5" t="s">
        <v>1941</v>
      </c>
      <c r="D308" s="5" t="s">
        <v>1942</v>
      </c>
      <c r="E308" s="5" t="s">
        <v>1943</v>
      </c>
      <c r="F308" s="5">
        <v>0</v>
      </c>
      <c r="G308" s="5">
        <v>2</v>
      </c>
      <c r="H308" s="5" t="s">
        <v>616</v>
      </c>
      <c r="I308" s="5">
        <v>0</v>
      </c>
      <c r="J308" s="5" t="s">
        <v>657</v>
      </c>
      <c r="K308" s="7" t="s">
        <v>1944</v>
      </c>
      <c r="L308" s="5" t="s">
        <v>1945</v>
      </c>
    </row>
    <row r="309" spans="1:12" ht="65" customHeight="1">
      <c r="A309" s="5" t="s">
        <v>1925</v>
      </c>
      <c r="B309" s="5" t="s">
        <v>1926</v>
      </c>
      <c r="C309" s="5" t="s">
        <v>1946</v>
      </c>
      <c r="D309" s="5" t="s">
        <v>1947</v>
      </c>
      <c r="E309" s="5" t="s">
        <v>1948</v>
      </c>
      <c r="F309" s="5">
        <v>0</v>
      </c>
      <c r="G309" s="5">
        <v>0</v>
      </c>
      <c r="H309" s="5" t="s">
        <v>616</v>
      </c>
      <c r="I309" s="5">
        <v>0</v>
      </c>
      <c r="J309" s="5" t="s">
        <v>657</v>
      </c>
      <c r="K309" s="7" t="s">
        <v>1949</v>
      </c>
      <c r="L309" s="5" t="s">
        <v>1950</v>
      </c>
    </row>
    <row r="310" spans="1:12" ht="65" customHeight="1">
      <c r="A310" s="5" t="s">
        <v>1925</v>
      </c>
      <c r="B310" s="5" t="s">
        <v>1926</v>
      </c>
      <c r="C310" s="5" t="s">
        <v>1951</v>
      </c>
      <c r="D310" s="5" t="s">
        <v>1952</v>
      </c>
      <c r="E310" s="5" t="s">
        <v>1953</v>
      </c>
      <c r="F310" s="5">
        <v>12.6</v>
      </c>
      <c r="G310" s="5">
        <v>1</v>
      </c>
      <c r="H310" s="5" t="s">
        <v>616</v>
      </c>
      <c r="I310" s="5">
        <v>0</v>
      </c>
      <c r="J310" s="5" t="s">
        <v>617</v>
      </c>
      <c r="K310" s="7" t="s">
        <v>1954</v>
      </c>
      <c r="L310" s="5" t="s">
        <v>1955</v>
      </c>
    </row>
    <row r="311" spans="1:12" ht="65" customHeight="1">
      <c r="A311" s="5" t="s">
        <v>1925</v>
      </c>
      <c r="B311" s="5" t="s">
        <v>1926</v>
      </c>
      <c r="C311" s="5" t="s">
        <v>1956</v>
      </c>
      <c r="D311" s="5" t="s">
        <v>1957</v>
      </c>
      <c r="E311" s="5" t="s">
        <v>1958</v>
      </c>
      <c r="F311" s="5">
        <v>0.35</v>
      </c>
      <c r="G311" s="5">
        <v>1</v>
      </c>
      <c r="H311" s="5" t="s">
        <v>623</v>
      </c>
      <c r="I311" s="5">
        <v>1163204</v>
      </c>
      <c r="J311" s="5" t="s">
        <v>617</v>
      </c>
      <c r="K311" s="7" t="s">
        <v>1959</v>
      </c>
      <c r="L311" s="5" t="s">
        <v>1960</v>
      </c>
    </row>
    <row r="312" spans="1:12" ht="65" customHeight="1">
      <c r="A312" s="5" t="s">
        <v>1925</v>
      </c>
      <c r="B312" s="5" t="s">
        <v>1926</v>
      </c>
      <c r="C312" s="5" t="s">
        <v>1961</v>
      </c>
      <c r="D312" s="5" t="s">
        <v>1962</v>
      </c>
      <c r="E312" s="5" t="s">
        <v>1963</v>
      </c>
      <c r="F312" s="5">
        <v>8.5</v>
      </c>
      <c r="G312" s="5">
        <v>1</v>
      </c>
      <c r="H312" s="5" t="s">
        <v>623</v>
      </c>
      <c r="I312" s="5">
        <v>9970367</v>
      </c>
      <c r="J312" s="5" t="s">
        <v>617</v>
      </c>
      <c r="K312" s="7" t="s">
        <v>179</v>
      </c>
      <c r="L312" s="5" t="s">
        <v>409</v>
      </c>
    </row>
    <row r="313" spans="1:12" ht="65" customHeight="1">
      <c r="A313" s="5" t="s">
        <v>1925</v>
      </c>
      <c r="B313" s="5" t="s">
        <v>1926</v>
      </c>
      <c r="C313" s="5" t="s">
        <v>1964</v>
      </c>
      <c r="D313" s="5" t="s">
        <v>1965</v>
      </c>
      <c r="E313" s="5" t="s">
        <v>1966</v>
      </c>
      <c r="F313" s="5">
        <v>8.52</v>
      </c>
      <c r="G313" s="5">
        <v>1</v>
      </c>
      <c r="H313" s="5" t="s">
        <v>616</v>
      </c>
      <c r="I313" s="5">
        <v>0</v>
      </c>
      <c r="J313" s="5" t="s">
        <v>617</v>
      </c>
      <c r="K313" s="7" t="s">
        <v>1967</v>
      </c>
      <c r="L313" s="5" t="s">
        <v>1968</v>
      </c>
    </row>
    <row r="314" spans="1:12" ht="65" customHeight="1">
      <c r="A314" s="5" t="s">
        <v>1925</v>
      </c>
      <c r="B314" s="5" t="s">
        <v>1926</v>
      </c>
      <c r="C314" s="5" t="s">
        <v>1969</v>
      </c>
      <c r="D314" s="5" t="s">
        <v>1970</v>
      </c>
      <c r="E314" s="5" t="s">
        <v>1971</v>
      </c>
      <c r="F314" s="5">
        <v>0.9</v>
      </c>
      <c r="G314" s="5">
        <v>2</v>
      </c>
      <c r="H314" s="5" t="s">
        <v>623</v>
      </c>
      <c r="I314" s="5">
        <v>234477</v>
      </c>
      <c r="J314" s="5" t="s">
        <v>617</v>
      </c>
      <c r="K314" s="7" t="s">
        <v>1972</v>
      </c>
      <c r="L314" s="5" t="s">
        <v>1973</v>
      </c>
    </row>
    <row r="315" spans="1:12" ht="65" customHeight="1">
      <c r="A315" s="5" t="s">
        <v>1925</v>
      </c>
      <c r="B315" s="5" t="s">
        <v>1926</v>
      </c>
      <c r="C315" s="5" t="s">
        <v>1974</v>
      </c>
      <c r="D315" s="5" t="s">
        <v>1975</v>
      </c>
      <c r="E315" s="5" t="s">
        <v>1976</v>
      </c>
      <c r="F315" s="5">
        <v>6.5</v>
      </c>
      <c r="G315" s="5">
        <v>1</v>
      </c>
      <c r="H315" s="5" t="s">
        <v>623</v>
      </c>
      <c r="I315" s="5">
        <v>622780</v>
      </c>
      <c r="J315" s="5" t="s">
        <v>617</v>
      </c>
      <c r="K315" s="7" t="s">
        <v>1977</v>
      </c>
      <c r="L315" s="5" t="s">
        <v>1978</v>
      </c>
    </row>
    <row r="316" spans="1:12" ht="65" customHeight="1">
      <c r="A316" s="5" t="s">
        <v>1925</v>
      </c>
      <c r="B316" s="5" t="s">
        <v>1926</v>
      </c>
      <c r="C316" s="5" t="s">
        <v>1979</v>
      </c>
      <c r="D316" s="5" t="s">
        <v>1980</v>
      </c>
      <c r="E316" s="5" t="s">
        <v>1981</v>
      </c>
      <c r="F316" s="5">
        <v>0</v>
      </c>
      <c r="G316" s="5">
        <v>1</v>
      </c>
      <c r="H316" s="5" t="s">
        <v>616</v>
      </c>
      <c r="I316" s="5">
        <v>0</v>
      </c>
      <c r="J316" s="5" t="s">
        <v>657</v>
      </c>
      <c r="K316" s="7" t="s">
        <v>1982</v>
      </c>
      <c r="L316" s="5" t="s">
        <v>1983</v>
      </c>
    </row>
    <row r="317" spans="1:12" ht="65" customHeight="1">
      <c r="A317" s="5" t="s">
        <v>1925</v>
      </c>
      <c r="B317" s="5" t="s">
        <v>1926</v>
      </c>
      <c r="C317" s="5" t="s">
        <v>1984</v>
      </c>
      <c r="D317" s="5" t="s">
        <v>1985</v>
      </c>
      <c r="E317" s="5" t="s">
        <v>1963</v>
      </c>
      <c r="F317" s="5">
        <v>5.5</v>
      </c>
      <c r="G317" s="5">
        <v>1</v>
      </c>
      <c r="H317" s="5" t="s">
        <v>623</v>
      </c>
      <c r="I317" s="5">
        <v>3573047</v>
      </c>
      <c r="J317" s="5" t="s">
        <v>617</v>
      </c>
      <c r="K317" s="7" t="s">
        <v>1986</v>
      </c>
      <c r="L317" s="5" t="s">
        <v>1987</v>
      </c>
    </row>
    <row r="318" spans="1:12" ht="65" customHeight="1">
      <c r="A318" s="5" t="s">
        <v>1925</v>
      </c>
      <c r="B318" s="5" t="s">
        <v>1926</v>
      </c>
      <c r="C318" s="5" t="s">
        <v>1988</v>
      </c>
      <c r="D318" s="5" t="s">
        <v>1989</v>
      </c>
      <c r="E318" s="5" t="s">
        <v>1990</v>
      </c>
      <c r="F318" s="5">
        <v>0</v>
      </c>
      <c r="G318" s="5">
        <v>0</v>
      </c>
      <c r="H318" s="5" t="s">
        <v>616</v>
      </c>
      <c r="I318" s="5">
        <v>0</v>
      </c>
      <c r="J318" s="5" t="s">
        <v>657</v>
      </c>
      <c r="K318" s="7" t="s">
        <v>1991</v>
      </c>
      <c r="L318" s="5" t="s">
        <v>1992</v>
      </c>
    </row>
    <row r="319" spans="1:12" ht="65" customHeight="1">
      <c r="A319" s="5" t="s">
        <v>1925</v>
      </c>
      <c r="B319" s="5" t="s">
        <v>1926</v>
      </c>
      <c r="C319" s="5" t="s">
        <v>1993</v>
      </c>
      <c r="D319" s="5" t="s">
        <v>1994</v>
      </c>
      <c r="E319" s="5" t="s">
        <v>1995</v>
      </c>
      <c r="F319" s="5">
        <v>5.9</v>
      </c>
      <c r="G319" s="5">
        <v>1</v>
      </c>
      <c r="H319" s="5" t="s">
        <v>623</v>
      </c>
      <c r="I319" s="5">
        <v>275426</v>
      </c>
      <c r="J319" s="5" t="s">
        <v>617</v>
      </c>
      <c r="K319" s="7" t="s">
        <v>1996</v>
      </c>
      <c r="L319" s="5" t="s">
        <v>1997</v>
      </c>
    </row>
    <row r="320" spans="1:12" ht="65" customHeight="1">
      <c r="A320" s="5" t="s">
        <v>1925</v>
      </c>
      <c r="B320" s="5" t="s">
        <v>1926</v>
      </c>
      <c r="C320" s="5" t="s">
        <v>1998</v>
      </c>
      <c r="D320" s="5" t="s">
        <v>1999</v>
      </c>
      <c r="E320" s="5" t="s">
        <v>2000</v>
      </c>
      <c r="F320" s="5">
        <v>10.9</v>
      </c>
      <c r="G320" s="5">
        <v>1</v>
      </c>
      <c r="H320" s="5" t="s">
        <v>623</v>
      </c>
      <c r="I320" s="5">
        <v>357060</v>
      </c>
      <c r="J320" s="5" t="s">
        <v>617</v>
      </c>
      <c r="K320" s="7" t="s">
        <v>2001</v>
      </c>
      <c r="L320" s="5" t="s">
        <v>2002</v>
      </c>
    </row>
    <row r="321" spans="1:12" ht="65" customHeight="1">
      <c r="A321" s="5" t="s">
        <v>1925</v>
      </c>
      <c r="B321" s="5" t="s">
        <v>1926</v>
      </c>
      <c r="C321" s="5" t="s">
        <v>2003</v>
      </c>
      <c r="D321" s="5" t="s">
        <v>2004</v>
      </c>
      <c r="E321" s="5" t="s">
        <v>2005</v>
      </c>
      <c r="F321" s="5">
        <v>0</v>
      </c>
      <c r="G321" s="5">
        <v>0</v>
      </c>
      <c r="H321" s="5" t="s">
        <v>616</v>
      </c>
      <c r="I321" s="5">
        <v>0</v>
      </c>
      <c r="J321" s="5" t="s">
        <v>657</v>
      </c>
      <c r="K321" s="7" t="s">
        <v>2006</v>
      </c>
      <c r="L321" s="5" t="s">
        <v>2007</v>
      </c>
    </row>
    <row r="322" spans="1:12" ht="65" customHeight="1">
      <c r="A322" s="5" t="s">
        <v>1925</v>
      </c>
      <c r="B322" s="5" t="s">
        <v>1926</v>
      </c>
      <c r="C322" s="5" t="s">
        <v>2008</v>
      </c>
      <c r="D322" s="5" t="s">
        <v>2009</v>
      </c>
      <c r="E322" s="5" t="s">
        <v>2010</v>
      </c>
      <c r="F322" s="5">
        <v>1.97</v>
      </c>
      <c r="G322" s="5">
        <v>1</v>
      </c>
      <c r="H322" s="5" t="s">
        <v>616</v>
      </c>
      <c r="I322" s="5">
        <v>26635</v>
      </c>
      <c r="J322" s="5" t="s">
        <v>617</v>
      </c>
      <c r="K322" s="7" t="s">
        <v>2011</v>
      </c>
      <c r="L322" s="5" t="s">
        <v>2012</v>
      </c>
    </row>
    <row r="323" spans="1:12" ht="65" customHeight="1">
      <c r="A323" s="5" t="s">
        <v>1925</v>
      </c>
      <c r="B323" s="5" t="s">
        <v>1926</v>
      </c>
      <c r="C323" s="5" t="s">
        <v>2013</v>
      </c>
      <c r="D323" s="5" t="s">
        <v>2014</v>
      </c>
      <c r="E323" s="5" t="s">
        <v>2015</v>
      </c>
      <c r="F323" s="5">
        <v>0</v>
      </c>
      <c r="G323" s="5">
        <v>1</v>
      </c>
      <c r="H323" s="5" t="s">
        <v>616</v>
      </c>
      <c r="I323" s="5">
        <v>0</v>
      </c>
      <c r="J323" s="5" t="s">
        <v>657</v>
      </c>
      <c r="K323" s="7" t="s">
        <v>2016</v>
      </c>
      <c r="L323" s="5" t="s">
        <v>2017</v>
      </c>
    </row>
    <row r="324" spans="1:12" ht="65" customHeight="1">
      <c r="A324" s="5" t="s">
        <v>1925</v>
      </c>
      <c r="B324" s="5" t="s">
        <v>1926</v>
      </c>
      <c r="C324" s="5" t="s">
        <v>2018</v>
      </c>
      <c r="D324" s="5" t="s">
        <v>2019</v>
      </c>
      <c r="E324" s="5" t="s">
        <v>2020</v>
      </c>
      <c r="F324" s="5">
        <v>2.59</v>
      </c>
      <c r="G324" s="5">
        <v>2</v>
      </c>
      <c r="H324" s="5" t="s">
        <v>623</v>
      </c>
      <c r="I324" s="5">
        <v>70986</v>
      </c>
      <c r="J324" s="5" t="s">
        <v>617</v>
      </c>
      <c r="K324" s="7" t="s">
        <v>2021</v>
      </c>
      <c r="L324" s="5" t="s">
        <v>2022</v>
      </c>
    </row>
    <row r="325" spans="1:12" ht="65" customHeight="1">
      <c r="A325" s="5" t="s">
        <v>1925</v>
      </c>
      <c r="B325" s="5" t="s">
        <v>1926</v>
      </c>
      <c r="C325" s="5" t="s">
        <v>2023</v>
      </c>
      <c r="D325" s="5" t="s">
        <v>2024</v>
      </c>
      <c r="E325" s="5" t="s">
        <v>2025</v>
      </c>
      <c r="F325" s="5">
        <v>2.3</v>
      </c>
      <c r="G325" s="5">
        <v>1</v>
      </c>
      <c r="H325" s="5" t="s">
        <v>616</v>
      </c>
      <c r="I325" s="5">
        <v>1404243</v>
      </c>
      <c r="J325" s="5" t="s">
        <v>617</v>
      </c>
      <c r="K325" s="7" t="s">
        <v>2026</v>
      </c>
      <c r="L325" s="5" t="s">
        <v>2027</v>
      </c>
    </row>
    <row r="326" spans="1:12" ht="65" customHeight="1">
      <c r="A326" s="5" t="s">
        <v>1925</v>
      </c>
      <c r="B326" s="5" t="s">
        <v>1926</v>
      </c>
      <c r="C326" s="5" t="s">
        <v>2028</v>
      </c>
      <c r="D326" s="5" t="s">
        <v>2029</v>
      </c>
      <c r="E326" s="5" t="s">
        <v>2030</v>
      </c>
      <c r="F326" s="5">
        <v>7.92</v>
      </c>
      <c r="G326" s="5">
        <v>1</v>
      </c>
      <c r="H326" s="5" t="s">
        <v>616</v>
      </c>
      <c r="I326" s="5">
        <v>0</v>
      </c>
      <c r="J326" s="5" t="s">
        <v>617</v>
      </c>
      <c r="K326" s="7" t="s">
        <v>2031</v>
      </c>
      <c r="L326" s="5" t="s">
        <v>2032</v>
      </c>
    </row>
    <row r="327" spans="1:12" ht="65" customHeight="1">
      <c r="A327" s="5" t="s">
        <v>1925</v>
      </c>
      <c r="B327" s="5" t="s">
        <v>1926</v>
      </c>
      <c r="C327" s="5" t="s">
        <v>2033</v>
      </c>
      <c r="D327" s="5" t="s">
        <v>2034</v>
      </c>
      <c r="E327" s="5" t="s">
        <v>2035</v>
      </c>
      <c r="F327" s="5">
        <v>0</v>
      </c>
      <c r="G327" s="5">
        <v>1</v>
      </c>
      <c r="H327" s="5" t="s">
        <v>616</v>
      </c>
      <c r="I327" s="5">
        <v>0</v>
      </c>
      <c r="J327" s="5" t="s">
        <v>657</v>
      </c>
      <c r="K327" s="7" t="s">
        <v>2036</v>
      </c>
      <c r="L327" s="5" t="s">
        <v>2037</v>
      </c>
    </row>
    <row r="328" spans="1:12" ht="65" customHeight="1">
      <c r="A328" s="5" t="s">
        <v>1925</v>
      </c>
      <c r="B328" s="5" t="s">
        <v>1926</v>
      </c>
      <c r="C328" s="5" t="s">
        <v>2038</v>
      </c>
      <c r="D328" s="5" t="s">
        <v>2039</v>
      </c>
      <c r="E328" s="5" t="s">
        <v>1995</v>
      </c>
      <c r="F328" s="5">
        <v>11</v>
      </c>
      <c r="G328" s="5">
        <v>1</v>
      </c>
      <c r="H328" s="5" t="s">
        <v>616</v>
      </c>
      <c r="I328" s="5">
        <v>0</v>
      </c>
      <c r="J328" s="5" t="s">
        <v>617</v>
      </c>
      <c r="K328" s="7" t="s">
        <v>2040</v>
      </c>
      <c r="L328" s="5" t="s">
        <v>2041</v>
      </c>
    </row>
    <row r="329" spans="1:12" ht="65" customHeight="1">
      <c r="A329" s="5" t="s">
        <v>1925</v>
      </c>
      <c r="B329" s="5" t="s">
        <v>1926</v>
      </c>
      <c r="C329" s="5" t="s">
        <v>2042</v>
      </c>
      <c r="D329" s="5" t="s">
        <v>2043</v>
      </c>
      <c r="E329" s="5" t="s">
        <v>2044</v>
      </c>
      <c r="F329" s="5">
        <v>0.58</v>
      </c>
      <c r="G329" s="5">
        <v>10</v>
      </c>
      <c r="H329" s="5" t="s">
        <v>616</v>
      </c>
      <c r="I329" s="5">
        <v>0</v>
      </c>
      <c r="J329" s="5" t="s">
        <v>617</v>
      </c>
      <c r="K329" s="7" t="s">
        <v>2045</v>
      </c>
      <c r="L329" s="5" t="s">
        <v>2046</v>
      </c>
    </row>
    <row r="330" spans="1:12" ht="65" customHeight="1">
      <c r="A330" s="5" t="s">
        <v>1925</v>
      </c>
      <c r="B330" s="5" t="s">
        <v>1926</v>
      </c>
      <c r="C330" s="5" t="s">
        <v>2047</v>
      </c>
      <c r="D330" s="5" t="s">
        <v>2048</v>
      </c>
      <c r="E330" s="5" t="s">
        <v>2049</v>
      </c>
      <c r="F330" s="5">
        <v>2.6</v>
      </c>
      <c r="G330" s="5">
        <v>100</v>
      </c>
      <c r="H330" s="5" t="s">
        <v>623</v>
      </c>
      <c r="I330" s="5">
        <v>192948</v>
      </c>
      <c r="J330" s="5" t="s">
        <v>617</v>
      </c>
      <c r="K330" s="7" t="s">
        <v>2050</v>
      </c>
      <c r="L330" s="5" t="s">
        <v>2051</v>
      </c>
    </row>
    <row r="331" spans="1:12" ht="65" customHeight="1">
      <c r="A331" s="5" t="s">
        <v>1925</v>
      </c>
      <c r="B331" s="5" t="s">
        <v>1926</v>
      </c>
      <c r="C331" s="5" t="s">
        <v>2052</v>
      </c>
      <c r="D331" s="5" t="s">
        <v>2053</v>
      </c>
      <c r="E331" s="5" t="s">
        <v>2054</v>
      </c>
      <c r="F331" s="5">
        <v>0</v>
      </c>
      <c r="G331" s="5">
        <v>0</v>
      </c>
      <c r="H331" s="5" t="s">
        <v>616</v>
      </c>
      <c r="I331" s="5">
        <v>0</v>
      </c>
      <c r="J331" s="5" t="s">
        <v>657</v>
      </c>
      <c r="K331" s="7" t="s">
        <v>2055</v>
      </c>
      <c r="L331" s="5" t="s">
        <v>2056</v>
      </c>
    </row>
    <row r="332" spans="1:12" ht="65" customHeight="1">
      <c r="A332" s="5" t="s">
        <v>1925</v>
      </c>
      <c r="B332" s="5" t="s">
        <v>1926</v>
      </c>
      <c r="C332" s="5" t="s">
        <v>2057</v>
      </c>
      <c r="D332" s="5" t="s">
        <v>2058</v>
      </c>
      <c r="E332" s="5" t="s">
        <v>2059</v>
      </c>
      <c r="F332" s="5">
        <v>0.65</v>
      </c>
      <c r="G332" s="5">
        <v>1</v>
      </c>
      <c r="H332" s="5" t="s">
        <v>616</v>
      </c>
      <c r="I332" s="5">
        <v>230865</v>
      </c>
      <c r="J332" s="5" t="s">
        <v>617</v>
      </c>
      <c r="K332" s="7" t="s">
        <v>2060</v>
      </c>
      <c r="L332" s="5" t="s">
        <v>2061</v>
      </c>
    </row>
    <row r="333" spans="1:12" ht="65" customHeight="1">
      <c r="A333" s="5" t="s">
        <v>1925</v>
      </c>
      <c r="B333" s="5" t="s">
        <v>1926</v>
      </c>
      <c r="C333" s="5" t="s">
        <v>2062</v>
      </c>
      <c r="D333" s="5" t="s">
        <v>2063</v>
      </c>
      <c r="E333" s="5" t="s">
        <v>2064</v>
      </c>
      <c r="F333" s="5">
        <v>0</v>
      </c>
      <c r="G333" s="5">
        <v>10</v>
      </c>
      <c r="H333" s="5" t="s">
        <v>616</v>
      </c>
      <c r="I333" s="5">
        <v>0</v>
      </c>
      <c r="J333" s="5" t="s">
        <v>657</v>
      </c>
      <c r="K333" s="7" t="s">
        <v>2065</v>
      </c>
      <c r="L333" s="5" t="s">
        <v>2066</v>
      </c>
    </row>
    <row r="334" spans="1:12" ht="65" customHeight="1">
      <c r="A334" s="5" t="s">
        <v>1925</v>
      </c>
      <c r="B334" s="5" t="s">
        <v>1926</v>
      </c>
      <c r="C334" s="5" t="s">
        <v>2067</v>
      </c>
      <c r="D334" s="5" t="s">
        <v>2068</v>
      </c>
      <c r="E334" s="5" t="s">
        <v>2069</v>
      </c>
      <c r="F334" s="5">
        <v>0</v>
      </c>
      <c r="G334" s="5">
        <v>0</v>
      </c>
      <c r="H334" s="5" t="s">
        <v>616</v>
      </c>
      <c r="I334" s="5">
        <v>0</v>
      </c>
      <c r="J334" s="5" t="s">
        <v>657</v>
      </c>
      <c r="K334" s="7" t="s">
        <v>2070</v>
      </c>
      <c r="L334" s="5" t="s">
        <v>2071</v>
      </c>
    </row>
    <row r="335" spans="1:12" ht="65" customHeight="1">
      <c r="A335" s="5" t="s">
        <v>1925</v>
      </c>
      <c r="B335" s="5" t="s">
        <v>1926</v>
      </c>
      <c r="C335" s="5" t="s">
        <v>2072</v>
      </c>
      <c r="D335" s="5" t="s">
        <v>2073</v>
      </c>
      <c r="E335" s="5"/>
      <c r="F335" s="5">
        <v>0</v>
      </c>
      <c r="G335" s="5">
        <v>0</v>
      </c>
      <c r="H335" s="5" t="s">
        <v>616</v>
      </c>
      <c r="I335" s="5">
        <v>0</v>
      </c>
      <c r="J335" s="5" t="s">
        <v>657</v>
      </c>
      <c r="K335" s="7" t="s">
        <v>2074</v>
      </c>
      <c r="L335" s="5" t="s">
        <v>2075</v>
      </c>
    </row>
    <row r="336" spans="1:12" ht="65" customHeight="1">
      <c r="A336" s="5" t="s">
        <v>1925</v>
      </c>
      <c r="B336" s="5" t="s">
        <v>1926</v>
      </c>
      <c r="C336" s="5" t="s">
        <v>2076</v>
      </c>
      <c r="D336" s="5" t="s">
        <v>2077</v>
      </c>
      <c r="E336" s="5" t="s">
        <v>2078</v>
      </c>
      <c r="F336" s="5">
        <v>1.1</v>
      </c>
      <c r="G336" s="5">
        <v>1</v>
      </c>
      <c r="H336" s="5" t="s">
        <v>623</v>
      </c>
      <c r="I336" s="5">
        <v>4022733</v>
      </c>
      <c r="J336" s="5" t="s">
        <v>617</v>
      </c>
      <c r="K336" s="7" t="s">
        <v>2079</v>
      </c>
      <c r="L336" s="5" t="s">
        <v>2080</v>
      </c>
    </row>
    <row r="337" spans="1:12" ht="65" customHeight="1">
      <c r="A337" s="5" t="s">
        <v>1925</v>
      </c>
      <c r="B337" s="5" t="s">
        <v>1926</v>
      </c>
      <c r="C337" s="5" t="s">
        <v>2081</v>
      </c>
      <c r="D337" s="5" t="s">
        <v>2082</v>
      </c>
      <c r="E337" s="5" t="s">
        <v>2083</v>
      </c>
      <c r="F337" s="5">
        <v>0.75</v>
      </c>
      <c r="G337" s="5">
        <v>1</v>
      </c>
      <c r="H337" s="5" t="s">
        <v>616</v>
      </c>
      <c r="I337" s="5">
        <v>2889370</v>
      </c>
      <c r="J337" s="5" t="s">
        <v>617</v>
      </c>
      <c r="K337" s="7" t="s">
        <v>2084</v>
      </c>
      <c r="L337" s="5" t="s">
        <v>2085</v>
      </c>
    </row>
    <row r="338" spans="1:12" ht="65" customHeight="1">
      <c r="A338" s="5" t="s">
        <v>1925</v>
      </c>
      <c r="B338" s="5" t="s">
        <v>1926</v>
      </c>
      <c r="C338" s="5" t="s">
        <v>2086</v>
      </c>
      <c r="D338" s="5" t="s">
        <v>2087</v>
      </c>
      <c r="E338" s="5" t="s">
        <v>2088</v>
      </c>
      <c r="F338" s="5">
        <v>0</v>
      </c>
      <c r="G338" s="5">
        <v>1</v>
      </c>
      <c r="H338" s="5" t="s">
        <v>616</v>
      </c>
      <c r="I338" s="5">
        <v>0</v>
      </c>
      <c r="J338" s="5" t="s">
        <v>657</v>
      </c>
      <c r="K338" s="7" t="s">
        <v>2089</v>
      </c>
      <c r="L338" s="5" t="s">
        <v>2090</v>
      </c>
    </row>
    <row r="339" spans="1:12" ht="65" customHeight="1">
      <c r="A339" s="5" t="s">
        <v>1925</v>
      </c>
      <c r="B339" s="5" t="s">
        <v>1926</v>
      </c>
      <c r="C339" s="5" t="s">
        <v>2091</v>
      </c>
      <c r="D339" s="5" t="s">
        <v>2092</v>
      </c>
      <c r="E339" s="5" t="s">
        <v>2093</v>
      </c>
      <c r="F339" s="5">
        <v>0</v>
      </c>
      <c r="G339" s="5">
        <v>0</v>
      </c>
      <c r="H339" s="5" t="s">
        <v>616</v>
      </c>
      <c r="I339" s="5">
        <v>0</v>
      </c>
      <c r="J339" s="5" t="s">
        <v>657</v>
      </c>
      <c r="K339" s="7" t="s">
        <v>2094</v>
      </c>
      <c r="L339" s="5" t="s">
        <v>2095</v>
      </c>
    </row>
    <row r="340" spans="1:12" ht="65" customHeight="1">
      <c r="A340" s="5" t="s">
        <v>1925</v>
      </c>
      <c r="B340" s="5" t="s">
        <v>1926</v>
      </c>
      <c r="C340" s="5" t="s">
        <v>2096</v>
      </c>
      <c r="D340" s="5" t="s">
        <v>2097</v>
      </c>
      <c r="E340" s="5" t="s">
        <v>2098</v>
      </c>
      <c r="F340" s="5">
        <v>0</v>
      </c>
      <c r="G340" s="5">
        <v>1</v>
      </c>
      <c r="H340" s="5" t="s">
        <v>616</v>
      </c>
      <c r="I340" s="5">
        <v>0</v>
      </c>
      <c r="J340" s="5" t="s">
        <v>657</v>
      </c>
      <c r="K340" s="7" t="s">
        <v>2099</v>
      </c>
      <c r="L340" s="5" t="s">
        <v>2100</v>
      </c>
    </row>
    <row r="341" spans="1:12" ht="65" customHeight="1">
      <c r="A341" s="5" t="s">
        <v>1925</v>
      </c>
      <c r="B341" s="5" t="s">
        <v>1926</v>
      </c>
      <c r="C341" s="5" t="s">
        <v>2101</v>
      </c>
      <c r="D341" s="5" t="s">
        <v>2102</v>
      </c>
      <c r="E341" s="5" t="s">
        <v>1963</v>
      </c>
      <c r="F341" s="5">
        <v>7.5</v>
      </c>
      <c r="G341" s="5">
        <v>1</v>
      </c>
      <c r="H341" s="5" t="s">
        <v>623</v>
      </c>
      <c r="I341" s="5">
        <v>11951162</v>
      </c>
      <c r="J341" s="5" t="s">
        <v>617</v>
      </c>
      <c r="K341" s="7" t="s">
        <v>2103</v>
      </c>
      <c r="L341" s="5" t="s">
        <v>2104</v>
      </c>
    </row>
    <row r="342" spans="1:12" ht="65" customHeight="1">
      <c r="A342" s="5" t="s">
        <v>1925</v>
      </c>
      <c r="B342" s="5" t="s">
        <v>1926</v>
      </c>
      <c r="C342" s="5" t="s">
        <v>2105</v>
      </c>
      <c r="D342" s="5" t="s">
        <v>2106</v>
      </c>
      <c r="E342" s="5" t="s">
        <v>2107</v>
      </c>
      <c r="F342" s="5">
        <v>0</v>
      </c>
      <c r="G342" s="5">
        <v>0</v>
      </c>
      <c r="H342" s="5" t="s">
        <v>616</v>
      </c>
      <c r="I342" s="5">
        <v>0</v>
      </c>
      <c r="J342" s="5" t="s">
        <v>657</v>
      </c>
      <c r="K342" s="7" t="s">
        <v>2108</v>
      </c>
      <c r="L342" s="5" t="s">
        <v>2109</v>
      </c>
    </row>
    <row r="343" spans="1:12" ht="65" customHeight="1">
      <c r="A343" s="5" t="s">
        <v>1925</v>
      </c>
      <c r="B343" s="5" t="s">
        <v>1926</v>
      </c>
      <c r="C343" s="5" t="s">
        <v>2110</v>
      </c>
      <c r="D343" s="5" t="s">
        <v>2111</v>
      </c>
      <c r="E343" s="5" t="s">
        <v>2112</v>
      </c>
      <c r="F343" s="5">
        <v>0</v>
      </c>
      <c r="G343" s="5">
        <v>2</v>
      </c>
      <c r="H343" s="5" t="s">
        <v>616</v>
      </c>
      <c r="I343" s="5">
        <v>0</v>
      </c>
      <c r="J343" s="5" t="s">
        <v>657</v>
      </c>
      <c r="K343" s="7" t="s">
        <v>2113</v>
      </c>
      <c r="L343" s="5" t="s">
        <v>2114</v>
      </c>
    </row>
    <row r="344" spans="1:12" ht="65" customHeight="1">
      <c r="A344" s="5" t="s">
        <v>1925</v>
      </c>
      <c r="B344" s="5" t="s">
        <v>1926</v>
      </c>
      <c r="C344" s="5" t="s">
        <v>2115</v>
      </c>
      <c r="D344" s="5" t="s">
        <v>2116</v>
      </c>
      <c r="E344" s="5" t="s">
        <v>2020</v>
      </c>
      <c r="F344" s="5">
        <v>0</v>
      </c>
      <c r="G344" s="5">
        <v>1</v>
      </c>
      <c r="H344" s="5" t="s">
        <v>616</v>
      </c>
      <c r="I344" s="5">
        <v>0</v>
      </c>
      <c r="J344" s="5" t="s">
        <v>657</v>
      </c>
      <c r="K344" s="7" t="s">
        <v>2117</v>
      </c>
      <c r="L344" s="5" t="s">
        <v>2118</v>
      </c>
    </row>
    <row r="345" spans="1:12" ht="65" customHeight="1">
      <c r="A345" s="5" t="s">
        <v>1925</v>
      </c>
      <c r="B345" s="5" t="s">
        <v>1926</v>
      </c>
      <c r="C345" s="5" t="s">
        <v>2119</v>
      </c>
      <c r="D345" s="5" t="s">
        <v>2120</v>
      </c>
      <c r="E345" s="5" t="s">
        <v>2121</v>
      </c>
      <c r="F345" s="5">
        <v>0</v>
      </c>
      <c r="G345" s="5">
        <v>1</v>
      </c>
      <c r="H345" s="5" t="s">
        <v>616</v>
      </c>
      <c r="I345" s="5">
        <v>0</v>
      </c>
      <c r="J345" s="5" t="s">
        <v>657</v>
      </c>
      <c r="K345" s="7" t="s">
        <v>2122</v>
      </c>
      <c r="L345" s="5" t="s">
        <v>2123</v>
      </c>
    </row>
    <row r="346" spans="1:12" ht="65" customHeight="1">
      <c r="A346" s="5" t="s">
        <v>1925</v>
      </c>
      <c r="B346" s="5" t="s">
        <v>1926</v>
      </c>
      <c r="C346" s="5" t="s">
        <v>2124</v>
      </c>
      <c r="D346" s="5" t="s">
        <v>2125</v>
      </c>
      <c r="E346" s="5" t="s">
        <v>2126</v>
      </c>
      <c r="F346" s="5">
        <v>0</v>
      </c>
      <c r="G346" s="5">
        <v>2</v>
      </c>
      <c r="H346" s="5" t="s">
        <v>616</v>
      </c>
      <c r="I346" s="5">
        <v>0</v>
      </c>
      <c r="J346" s="5" t="s">
        <v>657</v>
      </c>
      <c r="K346" s="7" t="s">
        <v>2127</v>
      </c>
      <c r="L346" s="5" t="s">
        <v>2128</v>
      </c>
    </row>
    <row r="347" spans="1:12" ht="65" customHeight="1">
      <c r="A347" s="5" t="s">
        <v>1925</v>
      </c>
      <c r="B347" s="5" t="s">
        <v>1926</v>
      </c>
      <c r="C347" s="5" t="s">
        <v>2129</v>
      </c>
      <c r="D347" s="5" t="s">
        <v>2029</v>
      </c>
      <c r="E347" s="5" t="s">
        <v>2130</v>
      </c>
      <c r="F347" s="5">
        <v>0</v>
      </c>
      <c r="G347" s="5">
        <v>1</v>
      </c>
      <c r="H347" s="5" t="s">
        <v>616</v>
      </c>
      <c r="I347" s="5">
        <v>0</v>
      </c>
      <c r="J347" s="5" t="s">
        <v>657</v>
      </c>
      <c r="K347" s="7" t="s">
        <v>2131</v>
      </c>
      <c r="L347" s="5" t="s">
        <v>2132</v>
      </c>
    </row>
    <row r="348" spans="1:12" ht="65" customHeight="1">
      <c r="A348" s="5" t="s">
        <v>1925</v>
      </c>
      <c r="B348" s="5" t="s">
        <v>1926</v>
      </c>
      <c r="C348" s="5" t="s">
        <v>2133</v>
      </c>
      <c r="D348" s="5" t="s">
        <v>2134</v>
      </c>
      <c r="E348" s="5" t="s">
        <v>2135</v>
      </c>
      <c r="F348" s="5">
        <v>0</v>
      </c>
      <c r="G348" s="5">
        <v>5</v>
      </c>
      <c r="H348" s="5" t="s">
        <v>616</v>
      </c>
      <c r="I348" s="5">
        <v>0</v>
      </c>
      <c r="J348" s="5" t="s">
        <v>657</v>
      </c>
      <c r="K348" s="7" t="s">
        <v>2136</v>
      </c>
      <c r="L348" s="5" t="s">
        <v>2137</v>
      </c>
    </row>
    <row r="349" spans="1:12" ht="65" customHeight="1">
      <c r="A349" s="5" t="s">
        <v>1925</v>
      </c>
      <c r="B349" s="5" t="s">
        <v>1926</v>
      </c>
      <c r="C349" s="5" t="s">
        <v>2138</v>
      </c>
      <c r="D349" s="5" t="s">
        <v>2139</v>
      </c>
      <c r="E349" s="5" t="s">
        <v>2140</v>
      </c>
      <c r="F349" s="5">
        <v>0</v>
      </c>
      <c r="G349" s="5">
        <v>1</v>
      </c>
      <c r="H349" s="5" t="s">
        <v>616</v>
      </c>
      <c r="I349" s="5">
        <v>0</v>
      </c>
      <c r="J349" s="5" t="s">
        <v>657</v>
      </c>
      <c r="K349" s="7" t="s">
        <v>2141</v>
      </c>
      <c r="L349" s="5" t="s">
        <v>2142</v>
      </c>
    </row>
    <row r="350" spans="1:12" ht="65" customHeight="1">
      <c r="A350" s="5" t="s">
        <v>1925</v>
      </c>
      <c r="B350" s="5" t="s">
        <v>1926</v>
      </c>
      <c r="C350" s="5" t="s">
        <v>2143</v>
      </c>
      <c r="D350" s="5" t="s">
        <v>2144</v>
      </c>
      <c r="E350" s="5" t="s">
        <v>2145</v>
      </c>
      <c r="F350" s="5">
        <v>0</v>
      </c>
      <c r="G350" s="5">
        <v>10</v>
      </c>
      <c r="H350" s="5" t="s">
        <v>616</v>
      </c>
      <c r="I350" s="5">
        <v>0</v>
      </c>
      <c r="J350" s="5" t="s">
        <v>657</v>
      </c>
      <c r="K350" s="7" t="s">
        <v>2146</v>
      </c>
      <c r="L350" s="5" t="s">
        <v>2147</v>
      </c>
    </row>
    <row r="351" spans="1:12" ht="65" customHeight="1">
      <c r="A351" s="5" t="s">
        <v>1925</v>
      </c>
      <c r="B351" s="5" t="s">
        <v>1926</v>
      </c>
      <c r="C351" s="5" t="s">
        <v>2148</v>
      </c>
      <c r="D351" s="5" t="s">
        <v>2149</v>
      </c>
      <c r="E351" s="5" t="s">
        <v>2150</v>
      </c>
      <c r="F351" s="5">
        <v>0.44</v>
      </c>
      <c r="G351" s="5">
        <v>1</v>
      </c>
      <c r="H351" s="5" t="s">
        <v>623</v>
      </c>
      <c r="I351" s="5">
        <v>201655</v>
      </c>
      <c r="J351" s="5" t="s">
        <v>617</v>
      </c>
      <c r="K351" s="7" t="s">
        <v>2151</v>
      </c>
      <c r="L351" s="5" t="s">
        <v>2152</v>
      </c>
    </row>
    <row r="352" spans="1:12" ht="65" customHeight="1">
      <c r="A352" s="5" t="s">
        <v>1925</v>
      </c>
      <c r="B352" s="5" t="s">
        <v>1926</v>
      </c>
      <c r="C352" s="5" t="s">
        <v>2153</v>
      </c>
      <c r="D352" s="5" t="s">
        <v>2154</v>
      </c>
      <c r="E352" s="5" t="s">
        <v>2155</v>
      </c>
      <c r="F352" s="5">
        <v>0</v>
      </c>
      <c r="G352" s="5">
        <v>1</v>
      </c>
      <c r="H352" s="5" t="s">
        <v>616</v>
      </c>
      <c r="I352" s="5">
        <v>0</v>
      </c>
      <c r="J352" s="5" t="s">
        <v>657</v>
      </c>
      <c r="K352" s="7" t="s">
        <v>2156</v>
      </c>
      <c r="L352" s="5" t="s">
        <v>2157</v>
      </c>
    </row>
    <row r="353" spans="1:12" ht="65" customHeight="1">
      <c r="A353" s="5" t="s">
        <v>1925</v>
      </c>
      <c r="B353" s="5" t="s">
        <v>1926</v>
      </c>
      <c r="C353" s="5" t="s">
        <v>2158</v>
      </c>
      <c r="D353" s="5" t="s">
        <v>2159</v>
      </c>
      <c r="E353" s="5" t="s">
        <v>2160</v>
      </c>
      <c r="F353" s="5">
        <v>0</v>
      </c>
      <c r="G353" s="5">
        <v>1</v>
      </c>
      <c r="H353" s="5" t="s">
        <v>616</v>
      </c>
      <c r="I353" s="5">
        <v>0</v>
      </c>
      <c r="J353" s="5" t="s">
        <v>657</v>
      </c>
      <c r="K353" s="7" t="s">
        <v>2161</v>
      </c>
      <c r="L353" s="5" t="s">
        <v>2162</v>
      </c>
    </row>
    <row r="354" spans="1:12" ht="65" customHeight="1">
      <c r="A354" s="5" t="s">
        <v>1925</v>
      </c>
      <c r="B354" s="5" t="s">
        <v>1926</v>
      </c>
      <c r="C354" s="5" t="s">
        <v>2163</v>
      </c>
      <c r="D354" s="5" t="s">
        <v>2164</v>
      </c>
      <c r="E354" s="5" t="s">
        <v>2165</v>
      </c>
      <c r="F354" s="5">
        <v>0</v>
      </c>
      <c r="G354" s="5">
        <v>2</v>
      </c>
      <c r="H354" s="5" t="s">
        <v>616</v>
      </c>
      <c r="I354" s="5">
        <v>0</v>
      </c>
      <c r="J354" s="5" t="s">
        <v>657</v>
      </c>
      <c r="K354" s="7" t="s">
        <v>2166</v>
      </c>
      <c r="L354" s="5" t="s">
        <v>2167</v>
      </c>
    </row>
    <row r="355" spans="1:12" ht="65" customHeight="1">
      <c r="A355" s="5" t="s">
        <v>1925</v>
      </c>
      <c r="B355" s="5" t="s">
        <v>1926</v>
      </c>
      <c r="C355" s="5" t="s">
        <v>2168</v>
      </c>
      <c r="D355" s="5" t="s">
        <v>2169</v>
      </c>
      <c r="E355" s="5" t="s">
        <v>2170</v>
      </c>
      <c r="F355" s="5">
        <v>9.300000000000001</v>
      </c>
      <c r="G355" s="5">
        <v>1</v>
      </c>
      <c r="H355" s="5" t="s">
        <v>616</v>
      </c>
      <c r="I355" s="5">
        <v>0</v>
      </c>
      <c r="J355" s="5" t="s">
        <v>617</v>
      </c>
      <c r="K355" s="7" t="s">
        <v>2171</v>
      </c>
      <c r="L355" s="5" t="s">
        <v>2172</v>
      </c>
    </row>
    <row r="356" spans="1:12" ht="65" customHeight="1">
      <c r="A356" s="5" t="s">
        <v>1925</v>
      </c>
      <c r="B356" s="5" t="s">
        <v>1926</v>
      </c>
      <c r="C356" s="5" t="s">
        <v>2173</v>
      </c>
      <c r="D356" s="5" t="s">
        <v>2174</v>
      </c>
      <c r="E356" s="5" t="s">
        <v>2175</v>
      </c>
      <c r="F356" s="5">
        <v>0</v>
      </c>
      <c r="G356" s="5">
        <v>1</v>
      </c>
      <c r="H356" s="5" t="s">
        <v>616</v>
      </c>
      <c r="I356" s="5">
        <v>0</v>
      </c>
      <c r="J356" s="5" t="s">
        <v>657</v>
      </c>
      <c r="K356" s="7" t="s">
        <v>2176</v>
      </c>
      <c r="L356" s="5" t="s">
        <v>2177</v>
      </c>
    </row>
    <row r="357" spans="1:12" ht="65" customHeight="1">
      <c r="A357" s="5" t="s">
        <v>1925</v>
      </c>
      <c r="B357" s="5" t="s">
        <v>1926</v>
      </c>
      <c r="C357" s="5" t="s">
        <v>2178</v>
      </c>
      <c r="D357" s="5" t="s">
        <v>2029</v>
      </c>
      <c r="E357" s="6"/>
      <c r="F357" s="5">
        <v>0</v>
      </c>
      <c r="G357" s="5">
        <v>0</v>
      </c>
      <c r="H357" s="5" t="s">
        <v>616</v>
      </c>
      <c r="I357" s="5">
        <v>0</v>
      </c>
      <c r="J357" s="5" t="s">
        <v>657</v>
      </c>
      <c r="K357" s="7" t="s">
        <v>2179</v>
      </c>
      <c r="L357" s="5" t="s">
        <v>2180</v>
      </c>
    </row>
    <row r="358" spans="1:12" ht="65" customHeight="1">
      <c r="A358" s="5" t="s">
        <v>1925</v>
      </c>
      <c r="B358" s="5" t="s">
        <v>1926</v>
      </c>
      <c r="C358" s="5" t="s">
        <v>2181</v>
      </c>
      <c r="D358" s="5" t="s">
        <v>2182</v>
      </c>
      <c r="E358" s="6"/>
      <c r="F358" s="5">
        <v>0</v>
      </c>
      <c r="G358" s="5">
        <v>0</v>
      </c>
      <c r="H358" s="5" t="s">
        <v>616</v>
      </c>
      <c r="I358" s="5">
        <v>0</v>
      </c>
      <c r="J358" s="5" t="s">
        <v>657</v>
      </c>
      <c r="K358" s="7" t="s">
        <v>2183</v>
      </c>
      <c r="L358" s="5" t="s">
        <v>2184</v>
      </c>
    </row>
    <row r="359" spans="1:12" ht="65" customHeight="1">
      <c r="A359" s="5" t="s">
        <v>1925</v>
      </c>
      <c r="B359" s="5" t="s">
        <v>1926</v>
      </c>
      <c r="C359" s="5" t="s">
        <v>2185</v>
      </c>
      <c r="D359" s="5" t="s">
        <v>2186</v>
      </c>
      <c r="E359" s="6"/>
      <c r="F359" s="5">
        <v>0</v>
      </c>
      <c r="G359" s="5">
        <v>0</v>
      </c>
      <c r="H359" s="5" t="s">
        <v>616</v>
      </c>
      <c r="I359" s="5">
        <v>0</v>
      </c>
      <c r="J359" s="5" t="s">
        <v>657</v>
      </c>
      <c r="K359" s="7" t="s">
        <v>2187</v>
      </c>
      <c r="L359" s="5" t="s">
        <v>2188</v>
      </c>
    </row>
    <row r="360" spans="1:12" ht="65" customHeight="1">
      <c r="A360" s="5" t="s">
        <v>1925</v>
      </c>
      <c r="B360" s="5" t="s">
        <v>1926</v>
      </c>
      <c r="C360" s="5" t="s">
        <v>2189</v>
      </c>
      <c r="D360" s="5" t="s">
        <v>2029</v>
      </c>
      <c r="E360" s="6"/>
      <c r="F360" s="5">
        <v>0</v>
      </c>
      <c r="G360" s="5">
        <v>0</v>
      </c>
      <c r="H360" s="5" t="s">
        <v>616</v>
      </c>
      <c r="I360" s="5">
        <v>0</v>
      </c>
      <c r="J360" s="5" t="s">
        <v>657</v>
      </c>
      <c r="K360" s="7" t="s">
        <v>2190</v>
      </c>
      <c r="L360" s="5" t="s">
        <v>2191</v>
      </c>
    </row>
    <row r="361" spans="1:12" ht="65" customHeight="1">
      <c r="A361" s="5" t="s">
        <v>1925</v>
      </c>
      <c r="B361" s="5" t="s">
        <v>1926</v>
      </c>
      <c r="C361" s="5" t="s">
        <v>2192</v>
      </c>
      <c r="D361" s="5" t="s">
        <v>2193</v>
      </c>
      <c r="E361" s="6"/>
      <c r="F361" s="5">
        <v>0</v>
      </c>
      <c r="G361" s="5">
        <v>0</v>
      </c>
      <c r="H361" s="5" t="s">
        <v>616</v>
      </c>
      <c r="I361" s="5">
        <v>0</v>
      </c>
      <c r="J361" s="5" t="s">
        <v>657</v>
      </c>
      <c r="K361" s="7" t="s">
        <v>2194</v>
      </c>
      <c r="L361" s="5" t="s">
        <v>2195</v>
      </c>
    </row>
    <row r="362" spans="1:12" ht="65" customHeight="1">
      <c r="A362" s="5" t="s">
        <v>1925</v>
      </c>
      <c r="B362" s="5" t="s">
        <v>1926</v>
      </c>
      <c r="C362" s="5" t="s">
        <v>2196</v>
      </c>
      <c r="D362" s="5" t="s">
        <v>2197</v>
      </c>
      <c r="E362" s="5" t="s">
        <v>2198</v>
      </c>
      <c r="F362" s="5">
        <v>12.8</v>
      </c>
      <c r="G362" s="5">
        <v>1</v>
      </c>
      <c r="H362" s="5" t="s">
        <v>616</v>
      </c>
      <c r="I362" s="5">
        <v>1987330</v>
      </c>
      <c r="J362" s="5" t="s">
        <v>617</v>
      </c>
      <c r="K362" s="7" t="s">
        <v>2199</v>
      </c>
      <c r="L362" s="5" t="s">
        <v>2200</v>
      </c>
    </row>
    <row r="363" spans="1:12" ht="65" customHeight="1">
      <c r="A363" s="5" t="s">
        <v>1925</v>
      </c>
      <c r="B363" s="5" t="s">
        <v>1926</v>
      </c>
      <c r="C363" s="5" t="s">
        <v>2201</v>
      </c>
      <c r="D363" s="5" t="s">
        <v>2202</v>
      </c>
      <c r="E363" s="6"/>
      <c r="F363" s="5">
        <v>0</v>
      </c>
      <c r="G363" s="5">
        <v>0</v>
      </c>
      <c r="H363" s="5" t="s">
        <v>616</v>
      </c>
      <c r="I363" s="5">
        <v>0</v>
      </c>
      <c r="J363" s="5" t="s">
        <v>657</v>
      </c>
      <c r="K363" s="7" t="s">
        <v>2203</v>
      </c>
      <c r="L363" s="5" t="s">
        <v>2204</v>
      </c>
    </row>
    <row r="364" spans="1:12" ht="65" customHeight="1">
      <c r="A364" s="5" t="s">
        <v>1925</v>
      </c>
      <c r="B364" s="5" t="s">
        <v>1926</v>
      </c>
      <c r="C364" s="5" t="s">
        <v>2205</v>
      </c>
      <c r="D364" s="5" t="s">
        <v>2206</v>
      </c>
      <c r="E364" s="6"/>
      <c r="F364" s="5">
        <v>0</v>
      </c>
      <c r="G364" s="5">
        <v>0</v>
      </c>
      <c r="H364" s="5" t="s">
        <v>616</v>
      </c>
      <c r="I364" s="5">
        <v>0</v>
      </c>
      <c r="J364" s="5" t="s">
        <v>657</v>
      </c>
      <c r="K364" s="7" t="s">
        <v>2207</v>
      </c>
      <c r="L364" s="5" t="s">
        <v>2208</v>
      </c>
    </row>
    <row r="365" spans="1:12" ht="65" customHeight="1">
      <c r="A365" s="5" t="s">
        <v>1925</v>
      </c>
      <c r="B365" s="5" t="s">
        <v>1926</v>
      </c>
      <c r="C365" s="5" t="s">
        <v>2209</v>
      </c>
      <c r="D365" s="5" t="s">
        <v>2210</v>
      </c>
      <c r="E365" s="5" t="s">
        <v>2211</v>
      </c>
      <c r="F365" s="5">
        <v>11.27</v>
      </c>
      <c r="G365" s="5">
        <v>1</v>
      </c>
      <c r="H365" s="5" t="s">
        <v>616</v>
      </c>
      <c r="I365" s="5">
        <v>999257</v>
      </c>
      <c r="J365" s="5" t="s">
        <v>617</v>
      </c>
      <c r="K365" s="7" t="s">
        <v>2212</v>
      </c>
      <c r="L365" s="5" t="s">
        <v>2213</v>
      </c>
    </row>
    <row r="366" spans="1:12" ht="65" customHeight="1">
      <c r="A366" s="5" t="s">
        <v>1925</v>
      </c>
      <c r="B366" s="5" t="s">
        <v>1926</v>
      </c>
      <c r="C366" s="5" t="s">
        <v>2214</v>
      </c>
      <c r="D366" s="5" t="s">
        <v>2215</v>
      </c>
      <c r="E366" s="6"/>
      <c r="F366" s="5">
        <v>0</v>
      </c>
      <c r="G366" s="5">
        <v>0</v>
      </c>
      <c r="H366" s="5" t="s">
        <v>616</v>
      </c>
      <c r="I366" s="5">
        <v>0</v>
      </c>
      <c r="J366" s="5" t="s">
        <v>657</v>
      </c>
      <c r="K366" s="7" t="s">
        <v>2216</v>
      </c>
      <c r="L366" s="5" t="s">
        <v>2217</v>
      </c>
    </row>
    <row r="367" spans="1:12" ht="65" customHeight="1">
      <c r="A367" s="5" t="s">
        <v>1925</v>
      </c>
      <c r="B367" s="5" t="s">
        <v>1926</v>
      </c>
      <c r="C367" s="5" t="s">
        <v>2218</v>
      </c>
      <c r="D367" s="5" t="s">
        <v>2219</v>
      </c>
      <c r="E367" s="6"/>
      <c r="F367" s="5">
        <v>0</v>
      </c>
      <c r="G367" s="5">
        <v>0</v>
      </c>
      <c r="H367" s="5" t="s">
        <v>616</v>
      </c>
      <c r="I367" s="5">
        <v>0</v>
      </c>
      <c r="J367" s="5" t="s">
        <v>657</v>
      </c>
      <c r="K367" s="7" t="s">
        <v>2220</v>
      </c>
      <c r="L367" s="5" t="s">
        <v>2221</v>
      </c>
    </row>
    <row r="368" spans="1:12" ht="65" customHeight="1">
      <c r="A368" s="5" t="s">
        <v>1925</v>
      </c>
      <c r="B368" s="5" t="s">
        <v>1926</v>
      </c>
      <c r="C368" s="5" t="s">
        <v>2222</v>
      </c>
      <c r="D368" s="5" t="s">
        <v>2223</v>
      </c>
      <c r="E368" s="5" t="s">
        <v>2224</v>
      </c>
      <c r="F368" s="5">
        <v>0.63</v>
      </c>
      <c r="G368" s="5">
        <v>10</v>
      </c>
      <c r="H368" s="5" t="s">
        <v>616</v>
      </c>
      <c r="I368" s="5">
        <v>0</v>
      </c>
      <c r="J368" s="5" t="s">
        <v>617</v>
      </c>
      <c r="K368" s="7" t="s">
        <v>2225</v>
      </c>
      <c r="L368" s="5" t="s">
        <v>2226</v>
      </c>
    </row>
    <row r="369" spans="1:12" ht="65" customHeight="1">
      <c r="A369" s="5" t="s">
        <v>1925</v>
      </c>
      <c r="B369" s="5" t="s">
        <v>1926</v>
      </c>
      <c r="C369" s="5" t="s">
        <v>2227</v>
      </c>
      <c r="D369" s="5" t="s">
        <v>2228</v>
      </c>
      <c r="E369" s="5" t="s">
        <v>2229</v>
      </c>
      <c r="F369" s="5">
        <v>0.55</v>
      </c>
      <c r="G369" s="5">
        <v>10</v>
      </c>
      <c r="H369" s="5" t="s">
        <v>623</v>
      </c>
      <c r="I369" s="5">
        <v>370667</v>
      </c>
      <c r="J369" s="5" t="s">
        <v>617</v>
      </c>
      <c r="K369" s="7" t="s">
        <v>2230</v>
      </c>
      <c r="L369" s="5" t="s">
        <v>2231</v>
      </c>
    </row>
    <row r="370" spans="1:12" ht="65" customHeight="1">
      <c r="A370" s="5" t="s">
        <v>1925</v>
      </c>
      <c r="B370" s="5" t="s">
        <v>1926</v>
      </c>
      <c r="C370" s="5" t="s">
        <v>2232</v>
      </c>
      <c r="D370" s="5" t="s">
        <v>2233</v>
      </c>
      <c r="E370" s="5" t="s">
        <v>2234</v>
      </c>
      <c r="F370" s="5">
        <v>2.25</v>
      </c>
      <c r="G370" s="5">
        <v>1</v>
      </c>
      <c r="H370" s="5" t="s">
        <v>623</v>
      </c>
      <c r="I370" s="5">
        <v>3857950</v>
      </c>
      <c r="J370" s="5" t="s">
        <v>617</v>
      </c>
      <c r="K370" s="7" t="s">
        <v>2235</v>
      </c>
      <c r="L370" s="5" t="s">
        <v>2236</v>
      </c>
    </row>
    <row r="371" spans="1:12" ht="65" customHeight="1">
      <c r="A371" s="5" t="s">
        <v>1925</v>
      </c>
      <c r="B371" s="5" t="s">
        <v>1926</v>
      </c>
      <c r="C371" s="5" t="s">
        <v>2237</v>
      </c>
      <c r="D371" s="5" t="s">
        <v>2238</v>
      </c>
      <c r="E371" s="6"/>
      <c r="F371" s="5">
        <v>0</v>
      </c>
      <c r="G371" s="5">
        <v>0</v>
      </c>
      <c r="H371" s="5" t="s">
        <v>616</v>
      </c>
      <c r="I371" s="5">
        <v>0</v>
      </c>
      <c r="J371" s="5" t="s">
        <v>657</v>
      </c>
      <c r="K371" s="7" t="s">
        <v>2239</v>
      </c>
      <c r="L371" s="5" t="s">
        <v>2240</v>
      </c>
    </row>
    <row r="372" spans="1:12" ht="65" customHeight="1">
      <c r="A372" s="5" t="s">
        <v>1925</v>
      </c>
      <c r="B372" s="5" t="s">
        <v>1926</v>
      </c>
      <c r="C372" s="5" t="s">
        <v>2241</v>
      </c>
      <c r="D372" s="5" t="s">
        <v>2242</v>
      </c>
      <c r="E372" s="6"/>
      <c r="F372" s="5">
        <v>0</v>
      </c>
      <c r="G372" s="5">
        <v>0</v>
      </c>
      <c r="H372" s="5" t="s">
        <v>616</v>
      </c>
      <c r="I372" s="5">
        <v>0</v>
      </c>
      <c r="J372" s="5" t="s">
        <v>657</v>
      </c>
      <c r="K372" s="7" t="s">
        <v>2243</v>
      </c>
      <c r="L372" s="5" t="s">
        <v>2244</v>
      </c>
    </row>
    <row r="373" spans="1:12" ht="65" customHeight="1">
      <c r="A373" s="5" t="s">
        <v>1925</v>
      </c>
      <c r="B373" s="5" t="s">
        <v>1926</v>
      </c>
      <c r="C373" s="5" t="s">
        <v>2245</v>
      </c>
      <c r="D373" s="5" t="s">
        <v>2246</v>
      </c>
      <c r="E373" s="6"/>
      <c r="F373" s="5">
        <v>0</v>
      </c>
      <c r="G373" s="5">
        <v>0</v>
      </c>
      <c r="H373" s="5" t="s">
        <v>616</v>
      </c>
      <c r="I373" s="5">
        <v>0</v>
      </c>
      <c r="J373" s="5" t="s">
        <v>657</v>
      </c>
      <c r="K373" s="7" t="s">
        <v>2247</v>
      </c>
      <c r="L373" s="5" t="s">
        <v>2248</v>
      </c>
    </row>
    <row r="374" spans="1:12" ht="65" customHeight="1">
      <c r="A374" s="5" t="s">
        <v>1925</v>
      </c>
      <c r="B374" s="5" t="s">
        <v>1926</v>
      </c>
      <c r="C374" s="5" t="s">
        <v>2249</v>
      </c>
      <c r="D374" s="5" t="s">
        <v>2250</v>
      </c>
      <c r="E374" s="5" t="s">
        <v>2251</v>
      </c>
      <c r="F374" s="5">
        <v>0.16</v>
      </c>
      <c r="G374" s="5">
        <v>1</v>
      </c>
      <c r="H374" s="5" t="s">
        <v>616</v>
      </c>
      <c r="I374" s="5">
        <v>0</v>
      </c>
      <c r="J374" s="5" t="s">
        <v>617</v>
      </c>
      <c r="K374" s="7" t="s">
        <v>2252</v>
      </c>
      <c r="L374" s="5" t="s">
        <v>2253</v>
      </c>
    </row>
    <row r="375" spans="1:12" ht="65" customHeight="1">
      <c r="A375" s="5" t="s">
        <v>1925</v>
      </c>
      <c r="B375" s="5" t="s">
        <v>1926</v>
      </c>
      <c r="C375" s="5" t="s">
        <v>2254</v>
      </c>
      <c r="D375" s="5" t="s">
        <v>2255</v>
      </c>
      <c r="E375" s="6"/>
      <c r="F375" s="5">
        <v>0</v>
      </c>
      <c r="G375" s="5">
        <v>0</v>
      </c>
      <c r="H375" s="5" t="s">
        <v>616</v>
      </c>
      <c r="I375" s="5">
        <v>0</v>
      </c>
      <c r="J375" s="5" t="s">
        <v>657</v>
      </c>
      <c r="K375" s="7" t="s">
        <v>2256</v>
      </c>
      <c r="L375" s="5" t="s">
        <v>2257</v>
      </c>
    </row>
    <row r="376" spans="1:12" ht="65" customHeight="1">
      <c r="A376" s="5" t="s">
        <v>1925</v>
      </c>
      <c r="B376" s="5" t="s">
        <v>1926</v>
      </c>
      <c r="C376" s="5" t="s">
        <v>2258</v>
      </c>
      <c r="D376" s="5" t="s">
        <v>2139</v>
      </c>
      <c r="E376" s="6"/>
      <c r="F376" s="5">
        <v>0</v>
      </c>
      <c r="G376" s="5">
        <v>0</v>
      </c>
      <c r="H376" s="5" t="s">
        <v>616</v>
      </c>
      <c r="I376" s="5">
        <v>0</v>
      </c>
      <c r="J376" s="5" t="s">
        <v>657</v>
      </c>
      <c r="K376" s="7" t="s">
        <v>2259</v>
      </c>
      <c r="L376" s="5" t="s">
        <v>2260</v>
      </c>
    </row>
    <row r="377" spans="1:12" ht="65" customHeight="1">
      <c r="A377" s="5" t="s">
        <v>1925</v>
      </c>
      <c r="B377" s="5" t="s">
        <v>1926</v>
      </c>
      <c r="C377" s="5" t="s">
        <v>2261</v>
      </c>
      <c r="D377" s="5" t="s">
        <v>2262</v>
      </c>
      <c r="E377" s="5" t="s">
        <v>2263</v>
      </c>
      <c r="F377" s="5">
        <v>16.8</v>
      </c>
      <c r="G377" s="5">
        <v>1</v>
      </c>
      <c r="H377" s="5" t="s">
        <v>616</v>
      </c>
      <c r="I377" s="5">
        <v>0</v>
      </c>
      <c r="J377" s="5" t="s">
        <v>617</v>
      </c>
      <c r="K377" s="7" t="s">
        <v>2264</v>
      </c>
      <c r="L377" s="5" t="s">
        <v>2265</v>
      </c>
    </row>
    <row r="378" spans="1:12" ht="65" customHeight="1">
      <c r="A378" s="5" t="s">
        <v>1925</v>
      </c>
      <c r="B378" s="5" t="s">
        <v>1926</v>
      </c>
      <c r="C378" s="5" t="s">
        <v>2266</v>
      </c>
      <c r="D378" s="5" t="s">
        <v>2267</v>
      </c>
      <c r="E378" s="6"/>
      <c r="F378" s="5">
        <v>0</v>
      </c>
      <c r="G378" s="5">
        <v>0</v>
      </c>
      <c r="H378" s="5" t="s">
        <v>616</v>
      </c>
      <c r="I378" s="5">
        <v>0</v>
      </c>
      <c r="J378" s="5" t="s">
        <v>657</v>
      </c>
      <c r="K378" s="7" t="s">
        <v>2268</v>
      </c>
      <c r="L378" s="5" t="s">
        <v>2269</v>
      </c>
    </row>
    <row r="379" spans="1:12" ht="65" customHeight="1">
      <c r="A379" s="5" t="s">
        <v>1925</v>
      </c>
      <c r="B379" s="5" t="s">
        <v>1926</v>
      </c>
      <c r="C379" s="5" t="s">
        <v>2270</v>
      </c>
      <c r="D379" s="5" t="s">
        <v>2271</v>
      </c>
      <c r="E379" s="5" t="s">
        <v>2272</v>
      </c>
      <c r="F379" s="5">
        <v>2.56</v>
      </c>
      <c r="G379" s="5">
        <v>2</v>
      </c>
      <c r="H379" s="5" t="s">
        <v>616</v>
      </c>
      <c r="I379" s="5">
        <v>0</v>
      </c>
      <c r="J379" s="5" t="s">
        <v>617</v>
      </c>
      <c r="K379" s="7" t="s">
        <v>2273</v>
      </c>
      <c r="L379" s="5" t="s">
        <v>2274</v>
      </c>
    </row>
    <row r="380" spans="1:12" ht="65" customHeight="1">
      <c r="A380" s="5" t="s">
        <v>1925</v>
      </c>
      <c r="B380" s="5" t="s">
        <v>1926</v>
      </c>
      <c r="C380" s="5" t="s">
        <v>2275</v>
      </c>
      <c r="D380" s="5" t="s">
        <v>2276</v>
      </c>
      <c r="E380" s="6"/>
      <c r="F380" s="5">
        <v>0</v>
      </c>
      <c r="G380" s="5">
        <v>0</v>
      </c>
      <c r="H380" s="5" t="s">
        <v>616</v>
      </c>
      <c r="I380" s="5">
        <v>0</v>
      </c>
      <c r="J380" s="5" t="s">
        <v>657</v>
      </c>
      <c r="K380" s="7" t="s">
        <v>2277</v>
      </c>
      <c r="L380" s="5" t="s">
        <v>2278</v>
      </c>
    </row>
    <row r="381" spans="1:12" ht="65" customHeight="1">
      <c r="A381" s="5" t="s">
        <v>1925</v>
      </c>
      <c r="B381" s="5" t="s">
        <v>1926</v>
      </c>
      <c r="C381" s="5" t="s">
        <v>2279</v>
      </c>
      <c r="D381" s="5" t="s">
        <v>2280</v>
      </c>
      <c r="E381" s="5" t="s">
        <v>2281</v>
      </c>
      <c r="F381" s="5">
        <v>0.67</v>
      </c>
      <c r="G381" s="5">
        <v>1</v>
      </c>
      <c r="H381" s="5" t="s">
        <v>623</v>
      </c>
      <c r="I381" s="5">
        <v>887762</v>
      </c>
      <c r="J381" s="5" t="s">
        <v>617</v>
      </c>
      <c r="K381" s="7" t="s">
        <v>2282</v>
      </c>
      <c r="L381" s="5" t="s">
        <v>2283</v>
      </c>
    </row>
    <row r="382" spans="1:12" ht="65" customHeight="1">
      <c r="A382" s="5" t="s">
        <v>1925</v>
      </c>
      <c r="B382" s="5" t="s">
        <v>1926</v>
      </c>
      <c r="C382" s="5" t="s">
        <v>2284</v>
      </c>
      <c r="D382" s="5" t="s">
        <v>1962</v>
      </c>
      <c r="E382" s="6"/>
      <c r="F382" s="5">
        <v>0</v>
      </c>
      <c r="G382" s="5">
        <v>0</v>
      </c>
      <c r="H382" s="5" t="s">
        <v>616</v>
      </c>
      <c r="I382" s="5">
        <v>0</v>
      </c>
      <c r="J382" s="5" t="s">
        <v>657</v>
      </c>
      <c r="K382" s="7" t="s">
        <v>2285</v>
      </c>
      <c r="L382" s="5" t="s">
        <v>2286</v>
      </c>
    </row>
    <row r="383" spans="1:12" ht="65" customHeight="1">
      <c r="A383" s="5" t="s">
        <v>1925</v>
      </c>
      <c r="B383" s="5" t="s">
        <v>1926</v>
      </c>
      <c r="C383" s="5" t="s">
        <v>2287</v>
      </c>
      <c r="D383" s="5" t="s">
        <v>2288</v>
      </c>
      <c r="E383" s="6"/>
      <c r="F383" s="5">
        <v>0</v>
      </c>
      <c r="G383" s="5">
        <v>0</v>
      </c>
      <c r="H383" s="5" t="s">
        <v>616</v>
      </c>
      <c r="I383" s="5">
        <v>0</v>
      </c>
      <c r="J383" s="5" t="s">
        <v>657</v>
      </c>
      <c r="K383" s="7" t="s">
        <v>2289</v>
      </c>
      <c r="L383" s="5" t="s">
        <v>2290</v>
      </c>
    </row>
    <row r="384" spans="1:12" ht="65" customHeight="1">
      <c r="A384" s="5" t="s">
        <v>1925</v>
      </c>
      <c r="B384" s="5" t="s">
        <v>1926</v>
      </c>
      <c r="C384" s="5" t="s">
        <v>2291</v>
      </c>
      <c r="D384" s="5" t="s">
        <v>2186</v>
      </c>
      <c r="E384" s="6"/>
      <c r="F384" s="5">
        <v>0</v>
      </c>
      <c r="G384" s="5">
        <v>0</v>
      </c>
      <c r="H384" s="5" t="s">
        <v>616</v>
      </c>
      <c r="I384" s="5">
        <v>0</v>
      </c>
      <c r="J384" s="5" t="s">
        <v>657</v>
      </c>
      <c r="K384" s="7" t="s">
        <v>2292</v>
      </c>
      <c r="L384" s="5" t="s">
        <v>2293</v>
      </c>
    </row>
    <row r="385" spans="1:12" ht="65" customHeight="1">
      <c r="A385" s="5" t="s">
        <v>1925</v>
      </c>
      <c r="B385" s="5" t="s">
        <v>1926</v>
      </c>
      <c r="C385" s="5" t="s">
        <v>2294</v>
      </c>
      <c r="D385" s="5" t="s">
        <v>2295</v>
      </c>
      <c r="E385" s="6"/>
      <c r="F385" s="5">
        <v>0</v>
      </c>
      <c r="G385" s="5">
        <v>0</v>
      </c>
      <c r="H385" s="5" t="s">
        <v>616</v>
      </c>
      <c r="I385" s="5">
        <v>0</v>
      </c>
      <c r="J385" s="5" t="s">
        <v>657</v>
      </c>
      <c r="K385" s="7" t="s">
        <v>2296</v>
      </c>
      <c r="L385" s="5" t="s">
        <v>2297</v>
      </c>
    </row>
    <row r="386" spans="1:12" ht="65" customHeight="1">
      <c r="A386" s="5" t="s">
        <v>1925</v>
      </c>
      <c r="B386" s="5" t="s">
        <v>1926</v>
      </c>
      <c r="C386" s="5" t="s">
        <v>2298</v>
      </c>
      <c r="D386" s="5" t="s">
        <v>2299</v>
      </c>
      <c r="E386" s="5" t="s">
        <v>2300</v>
      </c>
      <c r="F386" s="5">
        <v>0.75</v>
      </c>
      <c r="G386" s="5">
        <v>1</v>
      </c>
      <c r="H386" s="5" t="s">
        <v>616</v>
      </c>
      <c r="I386" s="5">
        <v>0</v>
      </c>
      <c r="J386" s="5" t="s">
        <v>617</v>
      </c>
      <c r="K386" s="7" t="s">
        <v>2301</v>
      </c>
      <c r="L386" s="5" t="s">
        <v>2302</v>
      </c>
    </row>
    <row r="387" spans="1:12" ht="65" customHeight="1">
      <c r="A387" s="5" t="s">
        <v>1925</v>
      </c>
      <c r="B387" s="5" t="s">
        <v>1926</v>
      </c>
      <c r="C387" s="5" t="s">
        <v>2303</v>
      </c>
      <c r="D387" s="5" t="s">
        <v>2304</v>
      </c>
      <c r="E387" s="6"/>
      <c r="F387" s="5">
        <v>0</v>
      </c>
      <c r="G387" s="5">
        <v>0</v>
      </c>
      <c r="H387" s="5" t="s">
        <v>616</v>
      </c>
      <c r="I387" s="5">
        <v>0</v>
      </c>
      <c r="J387" s="5" t="s">
        <v>657</v>
      </c>
      <c r="K387" s="7" t="s">
        <v>2305</v>
      </c>
      <c r="L387" s="5" t="s">
        <v>2306</v>
      </c>
    </row>
    <row r="388" spans="1:12" ht="65" customHeight="1">
      <c r="A388" s="5" t="s">
        <v>1925</v>
      </c>
      <c r="B388" s="5" t="s">
        <v>1926</v>
      </c>
      <c r="C388" s="5" t="s">
        <v>2307</v>
      </c>
      <c r="D388" s="5" t="s">
        <v>2308</v>
      </c>
      <c r="E388" s="5" t="s">
        <v>2309</v>
      </c>
      <c r="F388" s="5">
        <v>0.3</v>
      </c>
      <c r="G388" s="5">
        <v>1</v>
      </c>
      <c r="H388" s="5" t="s">
        <v>616</v>
      </c>
      <c r="I388" s="5">
        <v>0</v>
      </c>
      <c r="J388" s="5" t="s">
        <v>617</v>
      </c>
      <c r="K388" s="7" t="s">
        <v>2310</v>
      </c>
      <c r="L388" s="5" t="s">
        <v>2311</v>
      </c>
    </row>
    <row r="389" spans="1:12" ht="65" customHeight="1">
      <c r="A389" s="5" t="s">
        <v>1925</v>
      </c>
      <c r="B389" s="5" t="s">
        <v>1926</v>
      </c>
      <c r="C389" s="5" t="s">
        <v>2312</v>
      </c>
      <c r="D389" s="5" t="s">
        <v>2313</v>
      </c>
      <c r="E389" s="6"/>
      <c r="F389" s="5">
        <v>0</v>
      </c>
      <c r="G389" s="5">
        <v>0</v>
      </c>
      <c r="H389" s="5" t="s">
        <v>616</v>
      </c>
      <c r="I389" s="5">
        <v>0</v>
      </c>
      <c r="J389" s="5" t="s">
        <v>657</v>
      </c>
      <c r="K389" s="7" t="s">
        <v>2314</v>
      </c>
      <c r="L389" s="5" t="s">
        <v>2315</v>
      </c>
    </row>
    <row r="390" spans="1:12" ht="65" customHeight="1">
      <c r="A390" s="5" t="s">
        <v>1925</v>
      </c>
      <c r="B390" s="5" t="s">
        <v>1926</v>
      </c>
      <c r="C390" s="5" t="s">
        <v>2316</v>
      </c>
      <c r="D390" s="5" t="s">
        <v>2317</v>
      </c>
      <c r="E390" s="5" t="s">
        <v>2318</v>
      </c>
      <c r="F390" s="5">
        <v>0.39</v>
      </c>
      <c r="G390" s="5">
        <v>4</v>
      </c>
      <c r="H390" s="5" t="s">
        <v>616</v>
      </c>
      <c r="I390" s="5">
        <v>0</v>
      </c>
      <c r="J390" s="5" t="s">
        <v>617</v>
      </c>
      <c r="K390" s="7" t="s">
        <v>2319</v>
      </c>
      <c r="L390" s="5" t="s">
        <v>2320</v>
      </c>
    </row>
    <row r="391" spans="1:12" ht="65" customHeight="1">
      <c r="A391" s="5" t="s">
        <v>1925</v>
      </c>
      <c r="B391" s="5" t="s">
        <v>1926</v>
      </c>
      <c r="C391" s="5" t="s">
        <v>2321</v>
      </c>
      <c r="D391" s="5" t="s">
        <v>2322</v>
      </c>
      <c r="E391" s="5" t="s">
        <v>2323</v>
      </c>
      <c r="F391" s="5">
        <v>22.5</v>
      </c>
      <c r="G391" s="5">
        <v>1</v>
      </c>
      <c r="H391" s="5" t="s">
        <v>616</v>
      </c>
      <c r="I391" s="5">
        <v>0</v>
      </c>
      <c r="J391" s="5" t="s">
        <v>617</v>
      </c>
      <c r="K391" s="7" t="s">
        <v>2324</v>
      </c>
      <c r="L391" s="5" t="s">
        <v>2325</v>
      </c>
    </row>
    <row r="392" spans="1:12" ht="65" customHeight="1">
      <c r="A392" s="5" t="s">
        <v>1925</v>
      </c>
      <c r="B392" s="5" t="s">
        <v>1926</v>
      </c>
      <c r="C392" s="5" t="s">
        <v>2326</v>
      </c>
      <c r="D392" s="5" t="s">
        <v>2327</v>
      </c>
      <c r="E392" s="6"/>
      <c r="F392" s="5">
        <v>0</v>
      </c>
      <c r="G392" s="5">
        <v>0</v>
      </c>
      <c r="H392" s="5" t="s">
        <v>616</v>
      </c>
      <c r="I392" s="5">
        <v>0</v>
      </c>
      <c r="J392" s="5" t="s">
        <v>657</v>
      </c>
      <c r="K392" s="7" t="s">
        <v>2328</v>
      </c>
      <c r="L392" s="5" t="s">
        <v>2329</v>
      </c>
    </row>
    <row r="393" spans="1:12" ht="65" customHeight="1">
      <c r="A393" s="5" t="s">
        <v>1925</v>
      </c>
      <c r="B393" s="5" t="s">
        <v>1926</v>
      </c>
      <c r="C393" s="5" t="s">
        <v>2330</v>
      </c>
      <c r="D393" s="5" t="s">
        <v>2331</v>
      </c>
      <c r="E393" s="6"/>
      <c r="F393" s="5">
        <v>0</v>
      </c>
      <c r="G393" s="5">
        <v>0</v>
      </c>
      <c r="H393" s="5" t="s">
        <v>616</v>
      </c>
      <c r="I393" s="5">
        <v>0</v>
      </c>
      <c r="J393" s="5" t="s">
        <v>657</v>
      </c>
      <c r="K393" s="7" t="s">
        <v>2332</v>
      </c>
      <c r="L393" s="5" t="s">
        <v>2333</v>
      </c>
    </row>
    <row r="394" spans="1:12" ht="65" customHeight="1">
      <c r="A394" s="5" t="s">
        <v>1925</v>
      </c>
      <c r="B394" s="5" t="s">
        <v>1926</v>
      </c>
      <c r="C394" s="5" t="s">
        <v>2334</v>
      </c>
      <c r="D394" s="5" t="s">
        <v>2335</v>
      </c>
      <c r="E394" s="6"/>
      <c r="F394" s="5">
        <v>0</v>
      </c>
      <c r="G394" s="5">
        <v>0</v>
      </c>
      <c r="H394" s="5" t="s">
        <v>616</v>
      </c>
      <c r="I394" s="5">
        <v>0</v>
      </c>
      <c r="J394" s="5" t="s">
        <v>657</v>
      </c>
      <c r="K394" s="7" t="s">
        <v>2336</v>
      </c>
      <c r="L394" s="5" t="s">
        <v>2337</v>
      </c>
    </row>
    <row r="395" spans="1:12" ht="65" customHeight="1">
      <c r="A395" s="5" t="s">
        <v>1925</v>
      </c>
      <c r="B395" s="5" t="s">
        <v>1926</v>
      </c>
      <c r="C395" s="5" t="s">
        <v>2338</v>
      </c>
      <c r="D395" s="5" t="s">
        <v>2339</v>
      </c>
      <c r="E395" s="5" t="s">
        <v>2340</v>
      </c>
      <c r="F395" s="5">
        <v>10</v>
      </c>
      <c r="G395" s="5">
        <v>1</v>
      </c>
      <c r="H395" s="5" t="s">
        <v>616</v>
      </c>
      <c r="I395" s="5">
        <v>0</v>
      </c>
      <c r="J395" s="5" t="s">
        <v>617</v>
      </c>
      <c r="K395" s="7" t="s">
        <v>2341</v>
      </c>
      <c r="L395" s="5" t="s">
        <v>2342</v>
      </c>
    </row>
    <row r="396" spans="1:12" ht="65" customHeight="1">
      <c r="A396" s="5" t="s">
        <v>1925</v>
      </c>
      <c r="B396" s="5" t="s">
        <v>1926</v>
      </c>
      <c r="C396" s="5" t="s">
        <v>2343</v>
      </c>
      <c r="D396" s="5" t="s">
        <v>2344</v>
      </c>
      <c r="E396" s="6"/>
      <c r="F396" s="5">
        <v>0</v>
      </c>
      <c r="G396" s="5">
        <v>0</v>
      </c>
      <c r="H396" s="5" t="s">
        <v>616</v>
      </c>
      <c r="I396" s="5">
        <v>0</v>
      </c>
      <c r="J396" s="5" t="s">
        <v>657</v>
      </c>
      <c r="K396" s="7" t="s">
        <v>2345</v>
      </c>
      <c r="L396" s="5" t="s">
        <v>2346</v>
      </c>
    </row>
    <row r="397" spans="1:12" ht="65" customHeight="1">
      <c r="A397" s="5" t="s">
        <v>1925</v>
      </c>
      <c r="B397" s="5" t="s">
        <v>1926</v>
      </c>
      <c r="C397" s="5" t="s">
        <v>2347</v>
      </c>
      <c r="D397" s="5" t="s">
        <v>2348</v>
      </c>
      <c r="E397" s="6"/>
      <c r="F397" s="5">
        <v>0</v>
      </c>
      <c r="G397" s="5">
        <v>0</v>
      </c>
      <c r="H397" s="5" t="s">
        <v>616</v>
      </c>
      <c r="I397" s="5">
        <v>0</v>
      </c>
      <c r="J397" s="5" t="s">
        <v>657</v>
      </c>
      <c r="K397" s="7" t="s">
        <v>2349</v>
      </c>
      <c r="L397" s="5" t="s">
        <v>2350</v>
      </c>
    </row>
    <row r="398" spans="1:12" ht="65" customHeight="1">
      <c r="A398" s="5" t="s">
        <v>1925</v>
      </c>
      <c r="B398" s="5" t="s">
        <v>1926</v>
      </c>
      <c r="C398" s="5" t="s">
        <v>2351</v>
      </c>
      <c r="D398" s="5" t="s">
        <v>2352</v>
      </c>
      <c r="E398" s="5" t="s">
        <v>2353</v>
      </c>
      <c r="F398" s="5">
        <v>9.5</v>
      </c>
      <c r="G398" s="5">
        <v>1</v>
      </c>
      <c r="H398" s="5" t="s">
        <v>616</v>
      </c>
      <c r="I398" s="5">
        <v>0</v>
      </c>
      <c r="J398" s="5" t="s">
        <v>617</v>
      </c>
      <c r="K398" s="7" t="s">
        <v>2354</v>
      </c>
      <c r="L398" s="5" t="s">
        <v>2355</v>
      </c>
    </row>
    <row r="399" spans="1:12" ht="65" customHeight="1">
      <c r="A399" s="5" t="s">
        <v>1925</v>
      </c>
      <c r="B399" s="5" t="s">
        <v>1926</v>
      </c>
      <c r="C399" s="5" t="s">
        <v>2356</v>
      </c>
      <c r="D399" s="5" t="s">
        <v>2357</v>
      </c>
      <c r="E399" s="5" t="s">
        <v>2358</v>
      </c>
      <c r="F399" s="5">
        <v>6.5</v>
      </c>
      <c r="G399" s="5">
        <v>1</v>
      </c>
      <c r="H399" s="5" t="s">
        <v>616</v>
      </c>
      <c r="I399" s="5">
        <v>0</v>
      </c>
      <c r="J399" s="5" t="s">
        <v>617</v>
      </c>
      <c r="K399" s="7" t="s">
        <v>2359</v>
      </c>
      <c r="L399" s="5" t="s">
        <v>2360</v>
      </c>
    </row>
    <row r="400" spans="1:12" ht="65" customHeight="1">
      <c r="A400" s="5" t="s">
        <v>1925</v>
      </c>
      <c r="B400" s="5" t="s">
        <v>1926</v>
      </c>
      <c r="C400" s="5" t="s">
        <v>2361</v>
      </c>
      <c r="D400" s="5" t="s">
        <v>2125</v>
      </c>
      <c r="E400" s="6"/>
      <c r="F400" s="5">
        <v>0</v>
      </c>
      <c r="G400" s="5">
        <v>0</v>
      </c>
      <c r="H400" s="5" t="s">
        <v>616</v>
      </c>
      <c r="I400" s="5">
        <v>0</v>
      </c>
      <c r="J400" s="5" t="s">
        <v>657</v>
      </c>
      <c r="K400" s="7" t="s">
        <v>2362</v>
      </c>
      <c r="L400" s="5" t="s">
        <v>2363</v>
      </c>
    </row>
    <row r="401" spans="1:12" ht="65" customHeight="1">
      <c r="A401" s="5" t="s">
        <v>1925</v>
      </c>
      <c r="B401" s="5" t="s">
        <v>1926</v>
      </c>
      <c r="C401" s="5" t="s">
        <v>2364</v>
      </c>
      <c r="D401" s="5" t="s">
        <v>2365</v>
      </c>
      <c r="E401" s="6"/>
      <c r="F401" s="5">
        <v>0</v>
      </c>
      <c r="G401" s="5">
        <v>0</v>
      </c>
      <c r="H401" s="5" t="s">
        <v>616</v>
      </c>
      <c r="I401" s="5">
        <v>0</v>
      </c>
      <c r="J401" s="5" t="s">
        <v>657</v>
      </c>
      <c r="K401" s="7" t="s">
        <v>2366</v>
      </c>
      <c r="L401" s="5" t="s">
        <v>2367</v>
      </c>
    </row>
    <row r="402" spans="1:12" ht="65" customHeight="1">
      <c r="A402" s="5" t="s">
        <v>1925</v>
      </c>
      <c r="B402" s="5" t="s">
        <v>1926</v>
      </c>
      <c r="C402" s="5" t="s">
        <v>2368</v>
      </c>
      <c r="D402" s="5" t="s">
        <v>2369</v>
      </c>
      <c r="E402" s="6"/>
      <c r="F402" s="5">
        <v>0</v>
      </c>
      <c r="G402" s="5">
        <v>0</v>
      </c>
      <c r="H402" s="5" t="s">
        <v>616</v>
      </c>
      <c r="I402" s="5">
        <v>0</v>
      </c>
      <c r="J402" s="5" t="s">
        <v>657</v>
      </c>
      <c r="K402" s="7" t="s">
        <v>2370</v>
      </c>
      <c r="L402" s="5" t="s">
        <v>2371</v>
      </c>
    </row>
    <row r="403" spans="1:12" ht="65" customHeight="1">
      <c r="A403" s="5" t="s">
        <v>1925</v>
      </c>
      <c r="B403" s="5" t="s">
        <v>1926</v>
      </c>
      <c r="C403" s="5" t="s">
        <v>2372</v>
      </c>
      <c r="D403" s="5" t="s">
        <v>2373</v>
      </c>
      <c r="E403" s="6"/>
      <c r="F403" s="5">
        <v>0</v>
      </c>
      <c r="G403" s="5">
        <v>0</v>
      </c>
      <c r="H403" s="5" t="s">
        <v>616</v>
      </c>
      <c r="I403" s="5">
        <v>0</v>
      </c>
      <c r="J403" s="5" t="s">
        <v>657</v>
      </c>
      <c r="K403" s="7" t="s">
        <v>2374</v>
      </c>
      <c r="L403" s="5" t="s">
        <v>2375</v>
      </c>
    </row>
    <row r="404" spans="1:12" ht="65" customHeight="1">
      <c r="A404" s="5" t="s">
        <v>1925</v>
      </c>
      <c r="B404" s="5" t="s">
        <v>1926</v>
      </c>
      <c r="C404" s="5" t="s">
        <v>2376</v>
      </c>
      <c r="D404" s="5" t="s">
        <v>2377</v>
      </c>
      <c r="E404" s="5" t="s">
        <v>2378</v>
      </c>
      <c r="F404" s="5">
        <v>3.41</v>
      </c>
      <c r="G404" s="5">
        <v>1</v>
      </c>
      <c r="H404" s="5" t="s">
        <v>616</v>
      </c>
      <c r="I404" s="5">
        <v>0</v>
      </c>
      <c r="J404" s="5" t="s">
        <v>617</v>
      </c>
      <c r="K404" s="7" t="s">
        <v>2379</v>
      </c>
      <c r="L404" s="5" t="s">
        <v>2380</v>
      </c>
    </row>
    <row r="405" spans="1:12" ht="65" customHeight="1">
      <c r="A405" s="5" t="s">
        <v>2381</v>
      </c>
      <c r="B405" s="5" t="s">
        <v>2382</v>
      </c>
      <c r="C405" s="5" t="s">
        <v>2383</v>
      </c>
      <c r="D405" s="5" t="s">
        <v>2384</v>
      </c>
      <c r="E405" s="5" t="s">
        <v>2385</v>
      </c>
      <c r="F405" s="5">
        <v>1.5</v>
      </c>
      <c r="G405" s="5">
        <v>1</v>
      </c>
      <c r="H405" s="5" t="s">
        <v>616</v>
      </c>
      <c r="I405" s="5">
        <v>69454</v>
      </c>
      <c r="J405" s="5" t="s">
        <v>617</v>
      </c>
      <c r="K405" s="7" t="s">
        <v>2386</v>
      </c>
      <c r="L405" s="5" t="s">
        <v>2387</v>
      </c>
    </row>
    <row r="406" spans="1:12" ht="65" customHeight="1">
      <c r="A406" s="5" t="s">
        <v>2381</v>
      </c>
      <c r="B406" s="5" t="s">
        <v>2382</v>
      </c>
      <c r="C406" s="5" t="s">
        <v>2388</v>
      </c>
      <c r="D406" s="5" t="s">
        <v>2389</v>
      </c>
      <c r="E406" s="5" t="s">
        <v>2390</v>
      </c>
      <c r="F406" s="5">
        <v>19.88</v>
      </c>
      <c r="G406" s="5">
        <v>1</v>
      </c>
      <c r="H406" s="5" t="s">
        <v>623</v>
      </c>
      <c r="I406" s="5">
        <v>187578</v>
      </c>
      <c r="J406" s="5" t="s">
        <v>617</v>
      </c>
      <c r="K406" s="7" t="s">
        <v>2391</v>
      </c>
      <c r="L406" s="5" t="s">
        <v>2392</v>
      </c>
    </row>
    <row r="407" spans="1:12" ht="65" customHeight="1">
      <c r="A407" s="5" t="s">
        <v>2381</v>
      </c>
      <c r="B407" s="5" t="s">
        <v>2382</v>
      </c>
      <c r="C407" s="5" t="s">
        <v>2393</v>
      </c>
      <c r="D407" s="5" t="s">
        <v>2394</v>
      </c>
      <c r="E407" s="6"/>
      <c r="F407" s="5">
        <v>0</v>
      </c>
      <c r="G407" s="5">
        <v>0</v>
      </c>
      <c r="H407" s="5" t="s">
        <v>616</v>
      </c>
      <c r="I407" s="5">
        <v>0</v>
      </c>
      <c r="J407" s="5" t="s">
        <v>657</v>
      </c>
      <c r="K407" s="7" t="s">
        <v>2395</v>
      </c>
      <c r="L407" s="5" t="s">
        <v>2396</v>
      </c>
    </row>
    <row r="408" spans="1:12" ht="65" customHeight="1">
      <c r="A408" s="5" t="s">
        <v>2381</v>
      </c>
      <c r="B408" s="5" t="s">
        <v>2382</v>
      </c>
      <c r="C408" s="5" t="s">
        <v>2397</v>
      </c>
      <c r="D408" s="5" t="s">
        <v>2398</v>
      </c>
      <c r="E408" s="6"/>
      <c r="F408" s="5">
        <v>0</v>
      </c>
      <c r="G408" s="5">
        <v>0</v>
      </c>
      <c r="H408" s="5" t="s">
        <v>616</v>
      </c>
      <c r="I408" s="5">
        <v>0</v>
      </c>
      <c r="J408" s="5" t="s">
        <v>657</v>
      </c>
      <c r="K408" s="7" t="s">
        <v>2399</v>
      </c>
      <c r="L408" s="5" t="s">
        <v>2400</v>
      </c>
    </row>
    <row r="409" spans="1:12" ht="65" customHeight="1">
      <c r="A409" s="5" t="s">
        <v>2381</v>
      </c>
      <c r="B409" s="5" t="s">
        <v>2382</v>
      </c>
      <c r="C409" s="5" t="s">
        <v>2401</v>
      </c>
      <c r="D409" s="5" t="s">
        <v>2402</v>
      </c>
      <c r="E409" s="5" t="s">
        <v>2403</v>
      </c>
      <c r="F409" s="5">
        <v>0</v>
      </c>
      <c r="G409" s="5">
        <v>1</v>
      </c>
      <c r="H409" s="5" t="s">
        <v>616</v>
      </c>
      <c r="I409" s="5">
        <v>0</v>
      </c>
      <c r="J409" s="5" t="s">
        <v>657</v>
      </c>
      <c r="K409" s="7" t="s">
        <v>2404</v>
      </c>
      <c r="L409" s="5" t="s">
        <v>2405</v>
      </c>
    </row>
    <row r="410" spans="1:12" ht="65" customHeight="1">
      <c r="A410" s="5" t="s">
        <v>2381</v>
      </c>
      <c r="B410" s="5" t="s">
        <v>2382</v>
      </c>
      <c r="C410" s="5" t="s">
        <v>2406</v>
      </c>
      <c r="D410" s="5" t="s">
        <v>2407</v>
      </c>
      <c r="E410" s="5" t="s">
        <v>2408</v>
      </c>
      <c r="F410" s="5">
        <v>0</v>
      </c>
      <c r="G410" s="5">
        <v>1</v>
      </c>
      <c r="H410" s="5" t="s">
        <v>616</v>
      </c>
      <c r="I410" s="5">
        <v>0</v>
      </c>
      <c r="J410" s="5" t="s">
        <v>657</v>
      </c>
      <c r="K410" s="7" t="s">
        <v>2409</v>
      </c>
      <c r="L410" s="5" t="s">
        <v>2410</v>
      </c>
    </row>
    <row r="411" spans="1:12" ht="65" customHeight="1">
      <c r="A411" s="5" t="s">
        <v>2381</v>
      </c>
      <c r="B411" s="5" t="s">
        <v>2382</v>
      </c>
      <c r="C411" s="5" t="s">
        <v>2411</v>
      </c>
      <c r="D411" s="5" t="s">
        <v>2412</v>
      </c>
      <c r="E411" s="5" t="s">
        <v>2413</v>
      </c>
      <c r="F411" s="5">
        <v>0</v>
      </c>
      <c r="G411" s="5">
        <v>1</v>
      </c>
      <c r="H411" s="5" t="s">
        <v>616</v>
      </c>
      <c r="I411" s="5">
        <v>0</v>
      </c>
      <c r="J411" s="5" t="s">
        <v>657</v>
      </c>
      <c r="K411" s="7" t="s">
        <v>2414</v>
      </c>
      <c r="L411" s="5" t="s">
        <v>2415</v>
      </c>
    </row>
    <row r="412" spans="1:12" ht="65" customHeight="1">
      <c r="A412" s="5" t="s">
        <v>2381</v>
      </c>
      <c r="B412" s="5" t="s">
        <v>2382</v>
      </c>
      <c r="C412" s="5" t="s">
        <v>2416</v>
      </c>
      <c r="D412" s="5" t="s">
        <v>2417</v>
      </c>
      <c r="E412" s="5" t="s">
        <v>2418</v>
      </c>
      <c r="F412" s="5">
        <v>1.13</v>
      </c>
      <c r="G412" s="5">
        <v>1</v>
      </c>
      <c r="H412" s="5" t="s">
        <v>616</v>
      </c>
      <c r="I412" s="5">
        <v>0</v>
      </c>
      <c r="J412" s="5" t="s">
        <v>617</v>
      </c>
      <c r="K412" s="7" t="s">
        <v>170</v>
      </c>
      <c r="L412" s="5" t="s">
        <v>399</v>
      </c>
    </row>
    <row r="413" spans="1:12" ht="65" customHeight="1">
      <c r="A413" s="5" t="s">
        <v>2381</v>
      </c>
      <c r="B413" s="5" t="s">
        <v>2382</v>
      </c>
      <c r="C413" s="5" t="s">
        <v>2419</v>
      </c>
      <c r="D413" s="5" t="s">
        <v>2420</v>
      </c>
      <c r="E413" s="5" t="s">
        <v>2421</v>
      </c>
      <c r="F413" s="5">
        <v>0</v>
      </c>
      <c r="G413" s="5">
        <v>2</v>
      </c>
      <c r="H413" s="5" t="s">
        <v>616</v>
      </c>
      <c r="I413" s="5">
        <v>0</v>
      </c>
      <c r="J413" s="5" t="s">
        <v>657</v>
      </c>
      <c r="K413" s="7" t="s">
        <v>2422</v>
      </c>
      <c r="L413" s="5" t="s">
        <v>2423</v>
      </c>
    </row>
    <row r="414" spans="1:12" ht="65" customHeight="1">
      <c r="A414" s="5" t="s">
        <v>2381</v>
      </c>
      <c r="B414" s="5" t="s">
        <v>2382</v>
      </c>
      <c r="C414" s="5" t="s">
        <v>2424</v>
      </c>
      <c r="D414" s="5" t="s">
        <v>2425</v>
      </c>
      <c r="E414" s="5" t="s">
        <v>2426</v>
      </c>
      <c r="F414" s="5">
        <v>0</v>
      </c>
      <c r="G414" s="5">
        <v>500</v>
      </c>
      <c r="H414" s="5" t="s">
        <v>616</v>
      </c>
      <c r="I414" s="5">
        <v>0</v>
      </c>
      <c r="J414" s="5" t="s">
        <v>657</v>
      </c>
      <c r="K414" s="7" t="s">
        <v>2427</v>
      </c>
      <c r="L414" s="5" t="s">
        <v>2428</v>
      </c>
    </row>
    <row r="415" spans="1:12" ht="65" customHeight="1">
      <c r="A415" s="5" t="s">
        <v>2381</v>
      </c>
      <c r="B415" s="5" t="s">
        <v>2382</v>
      </c>
      <c r="C415" s="5" t="s">
        <v>2429</v>
      </c>
      <c r="D415" s="5" t="s">
        <v>2430</v>
      </c>
      <c r="E415" s="5" t="s">
        <v>2431</v>
      </c>
      <c r="F415" s="5">
        <v>0.55</v>
      </c>
      <c r="G415" s="5">
        <v>1</v>
      </c>
      <c r="H415" s="5" t="s">
        <v>616</v>
      </c>
      <c r="I415" s="5">
        <v>0</v>
      </c>
      <c r="J415" s="5" t="s">
        <v>617</v>
      </c>
      <c r="K415" s="7" t="s">
        <v>2432</v>
      </c>
      <c r="L415" s="5" t="s">
        <v>2433</v>
      </c>
    </row>
    <row r="416" spans="1:12" ht="65" customHeight="1">
      <c r="A416" s="5" t="s">
        <v>2381</v>
      </c>
      <c r="B416" s="5" t="s">
        <v>2382</v>
      </c>
      <c r="C416" s="5" t="s">
        <v>2434</v>
      </c>
      <c r="D416" s="5" t="s">
        <v>2435</v>
      </c>
      <c r="E416" s="5" t="s">
        <v>2436</v>
      </c>
      <c r="F416" s="5">
        <v>0</v>
      </c>
      <c r="G416" s="5">
        <v>1</v>
      </c>
      <c r="H416" s="5" t="s">
        <v>616</v>
      </c>
      <c r="I416" s="5">
        <v>0</v>
      </c>
      <c r="J416" s="5" t="s">
        <v>657</v>
      </c>
      <c r="K416" s="7" t="s">
        <v>2437</v>
      </c>
      <c r="L416" s="5" t="s">
        <v>2438</v>
      </c>
    </row>
    <row r="417" spans="1:12" ht="65" customHeight="1">
      <c r="A417" s="5" t="s">
        <v>2381</v>
      </c>
      <c r="B417" s="5" t="s">
        <v>2382</v>
      </c>
      <c r="C417" s="5" t="s">
        <v>2439</v>
      </c>
      <c r="D417" s="5" t="s">
        <v>2440</v>
      </c>
      <c r="E417" s="5" t="s">
        <v>2441</v>
      </c>
      <c r="F417" s="5">
        <v>0</v>
      </c>
      <c r="G417" s="5">
        <v>0</v>
      </c>
      <c r="H417" s="5" t="s">
        <v>616</v>
      </c>
      <c r="I417" s="5">
        <v>0</v>
      </c>
      <c r="J417" s="5" t="s">
        <v>657</v>
      </c>
      <c r="K417" s="7" t="s">
        <v>2442</v>
      </c>
      <c r="L417" s="5" t="s">
        <v>2443</v>
      </c>
    </row>
    <row r="418" spans="1:12" ht="65" customHeight="1">
      <c r="A418" s="5" t="s">
        <v>2381</v>
      </c>
      <c r="B418" s="5" t="s">
        <v>2382</v>
      </c>
      <c r="C418" s="5" t="s">
        <v>2444</v>
      </c>
      <c r="D418" s="5" t="s">
        <v>2445</v>
      </c>
      <c r="E418" s="5" t="s">
        <v>2446</v>
      </c>
      <c r="F418" s="5">
        <v>0</v>
      </c>
      <c r="G418" s="5">
        <v>0</v>
      </c>
      <c r="H418" s="5" t="s">
        <v>616</v>
      </c>
      <c r="I418" s="5">
        <v>0</v>
      </c>
      <c r="J418" s="5" t="s">
        <v>657</v>
      </c>
      <c r="K418" s="7" t="s">
        <v>2447</v>
      </c>
      <c r="L418" s="5" t="s">
        <v>2448</v>
      </c>
    </row>
    <row r="419" spans="1:12" ht="65" customHeight="1">
      <c r="A419" s="5" t="s">
        <v>2381</v>
      </c>
      <c r="B419" s="5" t="s">
        <v>2382</v>
      </c>
      <c r="C419" s="5" t="s">
        <v>2449</v>
      </c>
      <c r="D419" s="5" t="s">
        <v>2450</v>
      </c>
      <c r="E419" s="5"/>
      <c r="F419" s="5">
        <v>0</v>
      </c>
      <c r="G419" s="5">
        <v>0</v>
      </c>
      <c r="H419" s="5" t="s">
        <v>616</v>
      </c>
      <c r="I419" s="5">
        <v>0</v>
      </c>
      <c r="J419" s="5" t="s">
        <v>657</v>
      </c>
      <c r="K419" s="7" t="s">
        <v>2451</v>
      </c>
      <c r="L419" s="5" t="s">
        <v>2452</v>
      </c>
    </row>
    <row r="420" spans="1:12" ht="65" customHeight="1">
      <c r="A420" s="5" t="s">
        <v>2381</v>
      </c>
      <c r="B420" s="5" t="s">
        <v>2382</v>
      </c>
      <c r="C420" s="5" t="s">
        <v>2453</v>
      </c>
      <c r="D420" s="5" t="s">
        <v>2454</v>
      </c>
      <c r="E420" s="5"/>
      <c r="F420" s="5">
        <v>0</v>
      </c>
      <c r="G420" s="5">
        <v>0</v>
      </c>
      <c r="H420" s="5" t="s">
        <v>616</v>
      </c>
      <c r="I420" s="5">
        <v>0</v>
      </c>
      <c r="J420" s="5" t="s">
        <v>657</v>
      </c>
      <c r="K420" s="7" t="s">
        <v>2455</v>
      </c>
      <c r="L420" s="5" t="s">
        <v>2456</v>
      </c>
    </row>
    <row r="421" spans="1:12" ht="65" customHeight="1">
      <c r="A421" s="5" t="s">
        <v>2381</v>
      </c>
      <c r="B421" s="5" t="s">
        <v>2382</v>
      </c>
      <c r="C421" s="5" t="s">
        <v>2457</v>
      </c>
      <c r="D421" s="5" t="s">
        <v>2458</v>
      </c>
      <c r="E421" s="5" t="s">
        <v>2459</v>
      </c>
      <c r="F421" s="5">
        <v>1.15</v>
      </c>
      <c r="G421" s="5">
        <v>1</v>
      </c>
      <c r="H421" s="5" t="s">
        <v>616</v>
      </c>
      <c r="I421" s="5">
        <v>0</v>
      </c>
      <c r="J421" s="5" t="s">
        <v>617</v>
      </c>
      <c r="K421" s="7" t="s">
        <v>2460</v>
      </c>
      <c r="L421" s="5" t="s">
        <v>2461</v>
      </c>
    </row>
    <row r="422" spans="1:12" ht="65" customHeight="1">
      <c r="A422" s="5" t="s">
        <v>2381</v>
      </c>
      <c r="B422" s="5" t="s">
        <v>2382</v>
      </c>
      <c r="C422" s="5" t="s">
        <v>2462</v>
      </c>
      <c r="D422" s="5" t="s">
        <v>2463</v>
      </c>
      <c r="E422" s="5" t="s">
        <v>2464</v>
      </c>
      <c r="F422" s="5">
        <v>0</v>
      </c>
      <c r="G422" s="5">
        <v>1</v>
      </c>
      <c r="H422" s="5" t="s">
        <v>616</v>
      </c>
      <c r="I422" s="5">
        <v>0</v>
      </c>
      <c r="J422" s="5" t="s">
        <v>657</v>
      </c>
      <c r="K422" s="7" t="s">
        <v>2465</v>
      </c>
      <c r="L422" s="5" t="s">
        <v>2466</v>
      </c>
    </row>
    <row r="423" spans="1:12" ht="65" customHeight="1">
      <c r="A423" s="5" t="s">
        <v>2381</v>
      </c>
      <c r="B423" s="5" t="s">
        <v>2382</v>
      </c>
      <c r="C423" s="5" t="s">
        <v>2467</v>
      </c>
      <c r="D423" s="5" t="s">
        <v>2468</v>
      </c>
      <c r="E423" s="5" t="s">
        <v>2469</v>
      </c>
      <c r="F423" s="5">
        <v>7.8</v>
      </c>
      <c r="G423" s="5">
        <v>1</v>
      </c>
      <c r="H423" s="5" t="s">
        <v>616</v>
      </c>
      <c r="I423" s="5">
        <v>0</v>
      </c>
      <c r="J423" s="5" t="s">
        <v>617</v>
      </c>
      <c r="K423" s="7" t="s">
        <v>2470</v>
      </c>
      <c r="L423" s="5" t="s">
        <v>2471</v>
      </c>
    </row>
    <row r="424" spans="1:12" ht="65" customHeight="1">
      <c r="A424" s="5" t="s">
        <v>2381</v>
      </c>
      <c r="B424" s="5" t="s">
        <v>2382</v>
      </c>
      <c r="C424" s="5" t="s">
        <v>2472</v>
      </c>
      <c r="D424" s="5" t="s">
        <v>2473</v>
      </c>
      <c r="E424" s="5" t="s">
        <v>2474</v>
      </c>
      <c r="F424" s="5">
        <v>5</v>
      </c>
      <c r="G424" s="5">
        <v>1</v>
      </c>
      <c r="H424" s="5" t="s">
        <v>623</v>
      </c>
      <c r="I424" s="5">
        <v>39998250</v>
      </c>
      <c r="J424" s="5" t="s">
        <v>617</v>
      </c>
      <c r="K424" s="7" t="s">
        <v>2475</v>
      </c>
      <c r="L424" s="5" t="s">
        <v>2476</v>
      </c>
    </row>
    <row r="425" spans="1:12" ht="65" customHeight="1">
      <c r="A425" s="5" t="s">
        <v>2381</v>
      </c>
      <c r="B425" s="5" t="s">
        <v>2382</v>
      </c>
      <c r="C425" s="5" t="s">
        <v>2477</v>
      </c>
      <c r="D425" s="5" t="s">
        <v>2478</v>
      </c>
      <c r="E425" s="5" t="s">
        <v>2479</v>
      </c>
      <c r="F425" s="5">
        <v>0</v>
      </c>
      <c r="G425" s="5">
        <v>1</v>
      </c>
      <c r="H425" s="5" t="s">
        <v>616</v>
      </c>
      <c r="I425" s="5">
        <v>0</v>
      </c>
      <c r="J425" s="5" t="s">
        <v>657</v>
      </c>
      <c r="K425" s="7" t="s">
        <v>2480</v>
      </c>
      <c r="L425" s="5" t="s">
        <v>2481</v>
      </c>
    </row>
    <row r="426" spans="1:12" ht="65" customHeight="1">
      <c r="A426" s="5" t="s">
        <v>2381</v>
      </c>
      <c r="B426" s="5" t="s">
        <v>2382</v>
      </c>
      <c r="C426" s="5" t="s">
        <v>2482</v>
      </c>
      <c r="D426" s="5" t="s">
        <v>2483</v>
      </c>
      <c r="E426" s="5" t="s">
        <v>2484</v>
      </c>
      <c r="F426" s="5">
        <v>0</v>
      </c>
      <c r="G426" s="5">
        <v>1</v>
      </c>
      <c r="H426" s="5" t="s">
        <v>616</v>
      </c>
      <c r="I426" s="5">
        <v>0</v>
      </c>
      <c r="J426" s="5" t="s">
        <v>657</v>
      </c>
      <c r="K426" s="7" t="s">
        <v>2485</v>
      </c>
      <c r="L426" s="5" t="s">
        <v>2486</v>
      </c>
    </row>
    <row r="427" spans="1:12" ht="65" customHeight="1">
      <c r="A427" s="5" t="s">
        <v>2381</v>
      </c>
      <c r="B427" s="5" t="s">
        <v>2382</v>
      </c>
      <c r="C427" s="5" t="s">
        <v>2487</v>
      </c>
      <c r="D427" s="5" t="s">
        <v>2488</v>
      </c>
      <c r="E427" s="5" t="s">
        <v>2489</v>
      </c>
      <c r="F427" s="5">
        <v>0</v>
      </c>
      <c r="G427" s="5">
        <v>1</v>
      </c>
      <c r="H427" s="5" t="s">
        <v>616</v>
      </c>
      <c r="I427" s="5">
        <v>0</v>
      </c>
      <c r="J427" s="5" t="s">
        <v>657</v>
      </c>
      <c r="K427" s="7" t="s">
        <v>2490</v>
      </c>
      <c r="L427" s="5" t="s">
        <v>2491</v>
      </c>
    </row>
    <row r="428" spans="1:12" ht="65" customHeight="1">
      <c r="A428" s="5" t="s">
        <v>2381</v>
      </c>
      <c r="B428" s="5" t="s">
        <v>2382</v>
      </c>
      <c r="C428" s="5" t="s">
        <v>2492</v>
      </c>
      <c r="D428" s="5" t="s">
        <v>2493</v>
      </c>
      <c r="E428" s="5" t="s">
        <v>2494</v>
      </c>
      <c r="F428" s="5">
        <v>1.2</v>
      </c>
      <c r="G428" s="5">
        <v>1</v>
      </c>
      <c r="H428" s="5" t="s">
        <v>616</v>
      </c>
      <c r="I428" s="5">
        <v>0</v>
      </c>
      <c r="J428" s="5" t="s">
        <v>617</v>
      </c>
      <c r="K428" s="7" t="s">
        <v>2495</v>
      </c>
      <c r="L428" s="5" t="s">
        <v>2496</v>
      </c>
    </row>
    <row r="429" spans="1:12" ht="65" customHeight="1">
      <c r="A429" s="5" t="s">
        <v>2381</v>
      </c>
      <c r="B429" s="5" t="s">
        <v>2382</v>
      </c>
      <c r="C429" s="5" t="s">
        <v>2497</v>
      </c>
      <c r="D429" s="5" t="s">
        <v>2498</v>
      </c>
      <c r="E429" s="5" t="s">
        <v>2499</v>
      </c>
      <c r="F429" s="5">
        <v>0</v>
      </c>
      <c r="G429" s="5">
        <v>1</v>
      </c>
      <c r="H429" s="5" t="s">
        <v>616</v>
      </c>
      <c r="I429" s="5">
        <v>0</v>
      </c>
      <c r="J429" s="5" t="s">
        <v>657</v>
      </c>
      <c r="K429" s="7" t="s">
        <v>2500</v>
      </c>
      <c r="L429" s="5" t="s">
        <v>2501</v>
      </c>
    </row>
    <row r="430" spans="1:12" ht="65" customHeight="1">
      <c r="A430" s="5" t="s">
        <v>2381</v>
      </c>
      <c r="B430" s="5" t="s">
        <v>2382</v>
      </c>
      <c r="C430" s="5" t="s">
        <v>2502</v>
      </c>
      <c r="D430" s="5" t="s">
        <v>2503</v>
      </c>
      <c r="E430" s="5" t="s">
        <v>2504</v>
      </c>
      <c r="F430" s="5">
        <v>0.2</v>
      </c>
      <c r="G430" s="5">
        <v>100</v>
      </c>
      <c r="H430" s="5" t="s">
        <v>616</v>
      </c>
      <c r="I430" s="5">
        <v>0</v>
      </c>
      <c r="J430" s="5" t="s">
        <v>617</v>
      </c>
      <c r="K430" s="7" t="s">
        <v>2505</v>
      </c>
      <c r="L430" s="5" t="s">
        <v>2506</v>
      </c>
    </row>
    <row r="431" spans="1:12" ht="65" customHeight="1">
      <c r="A431" s="5" t="s">
        <v>2381</v>
      </c>
      <c r="B431" s="5" t="s">
        <v>2382</v>
      </c>
      <c r="C431" s="5" t="s">
        <v>2507</v>
      </c>
      <c r="D431" s="5" t="s">
        <v>2508</v>
      </c>
      <c r="E431" s="6"/>
      <c r="F431" s="5">
        <v>0</v>
      </c>
      <c r="G431" s="5">
        <v>0</v>
      </c>
      <c r="H431" s="5" t="s">
        <v>616</v>
      </c>
      <c r="I431" s="5">
        <v>0</v>
      </c>
      <c r="J431" s="5" t="s">
        <v>657</v>
      </c>
      <c r="K431" s="7" t="s">
        <v>2509</v>
      </c>
      <c r="L431" s="5" t="s">
        <v>2510</v>
      </c>
    </row>
    <row r="432" spans="1:12" ht="65" customHeight="1">
      <c r="A432" s="5" t="s">
        <v>2381</v>
      </c>
      <c r="B432" s="5" t="s">
        <v>2382</v>
      </c>
      <c r="C432" s="5" t="s">
        <v>2511</v>
      </c>
      <c r="D432" s="5" t="s">
        <v>2512</v>
      </c>
      <c r="E432" s="6"/>
      <c r="F432" s="5">
        <v>0</v>
      </c>
      <c r="G432" s="5">
        <v>0</v>
      </c>
      <c r="H432" s="5" t="s">
        <v>616</v>
      </c>
      <c r="I432" s="5">
        <v>0</v>
      </c>
      <c r="J432" s="5" t="s">
        <v>657</v>
      </c>
      <c r="K432" s="7" t="s">
        <v>2513</v>
      </c>
      <c r="L432" s="5" t="s">
        <v>2514</v>
      </c>
    </row>
    <row r="433" spans="1:12" ht="65" customHeight="1">
      <c r="A433" s="5" t="s">
        <v>2381</v>
      </c>
      <c r="B433" s="5" t="s">
        <v>2382</v>
      </c>
      <c r="C433" s="5" t="s">
        <v>2515</v>
      </c>
      <c r="D433" s="5" t="s">
        <v>2516</v>
      </c>
      <c r="E433" s="6"/>
      <c r="F433" s="5">
        <v>0</v>
      </c>
      <c r="G433" s="5">
        <v>0</v>
      </c>
      <c r="H433" s="5" t="s">
        <v>616</v>
      </c>
      <c r="I433" s="5">
        <v>0</v>
      </c>
      <c r="J433" s="5" t="s">
        <v>657</v>
      </c>
      <c r="K433" s="7" t="s">
        <v>2517</v>
      </c>
      <c r="L433" s="5" t="s">
        <v>2518</v>
      </c>
    </row>
    <row r="434" spans="1:12" ht="65" customHeight="1">
      <c r="A434" s="5" t="s">
        <v>2381</v>
      </c>
      <c r="B434" s="5" t="s">
        <v>2382</v>
      </c>
      <c r="C434" s="5" t="s">
        <v>2519</v>
      </c>
      <c r="D434" s="5" t="s">
        <v>2520</v>
      </c>
      <c r="E434" s="6"/>
      <c r="F434" s="5">
        <v>0</v>
      </c>
      <c r="G434" s="5">
        <v>0</v>
      </c>
      <c r="H434" s="5" t="s">
        <v>616</v>
      </c>
      <c r="I434" s="5">
        <v>0</v>
      </c>
      <c r="J434" s="5" t="s">
        <v>657</v>
      </c>
      <c r="K434" s="7" t="s">
        <v>2521</v>
      </c>
      <c r="L434" s="5" t="s">
        <v>2522</v>
      </c>
    </row>
    <row r="435" spans="1:12" ht="65" customHeight="1">
      <c r="A435" s="5" t="s">
        <v>2381</v>
      </c>
      <c r="B435" s="5" t="s">
        <v>2382</v>
      </c>
      <c r="C435" s="5" t="s">
        <v>2523</v>
      </c>
      <c r="D435" s="5" t="s">
        <v>2524</v>
      </c>
      <c r="E435" s="6"/>
      <c r="F435" s="5">
        <v>0</v>
      </c>
      <c r="G435" s="5">
        <v>0</v>
      </c>
      <c r="H435" s="5" t="s">
        <v>616</v>
      </c>
      <c r="I435" s="5">
        <v>0</v>
      </c>
      <c r="J435" s="5" t="s">
        <v>657</v>
      </c>
      <c r="K435" s="7" t="s">
        <v>2525</v>
      </c>
      <c r="L435" s="5" t="s">
        <v>2526</v>
      </c>
    </row>
    <row r="436" spans="1:12" ht="65" customHeight="1">
      <c r="A436" s="5" t="s">
        <v>2381</v>
      </c>
      <c r="B436" s="5" t="s">
        <v>2382</v>
      </c>
      <c r="C436" s="5" t="s">
        <v>2527</v>
      </c>
      <c r="D436" s="5" t="s">
        <v>2528</v>
      </c>
      <c r="E436" s="6"/>
      <c r="F436" s="5">
        <v>0</v>
      </c>
      <c r="G436" s="5">
        <v>0</v>
      </c>
      <c r="H436" s="5" t="s">
        <v>616</v>
      </c>
      <c r="I436" s="5">
        <v>0</v>
      </c>
      <c r="J436" s="5" t="s">
        <v>657</v>
      </c>
      <c r="K436" s="7" t="s">
        <v>2529</v>
      </c>
      <c r="L436" s="5" t="s">
        <v>2530</v>
      </c>
    </row>
    <row r="437" spans="1:12" ht="65" customHeight="1">
      <c r="A437" s="5" t="s">
        <v>2381</v>
      </c>
      <c r="B437" s="5" t="s">
        <v>2382</v>
      </c>
      <c r="C437" s="5" t="s">
        <v>2531</v>
      </c>
      <c r="D437" s="5" t="s">
        <v>2532</v>
      </c>
      <c r="E437" s="6"/>
      <c r="F437" s="5">
        <v>0</v>
      </c>
      <c r="G437" s="5">
        <v>0</v>
      </c>
      <c r="H437" s="5" t="s">
        <v>616</v>
      </c>
      <c r="I437" s="5">
        <v>0</v>
      </c>
      <c r="J437" s="5" t="s">
        <v>657</v>
      </c>
      <c r="K437" s="7" t="s">
        <v>2533</v>
      </c>
      <c r="L437" s="5" t="s">
        <v>2534</v>
      </c>
    </row>
    <row r="438" spans="1:12" ht="65" customHeight="1">
      <c r="A438" s="5" t="s">
        <v>2381</v>
      </c>
      <c r="B438" s="5" t="s">
        <v>2382</v>
      </c>
      <c r="C438" s="5" t="s">
        <v>2535</v>
      </c>
      <c r="D438" s="5" t="s">
        <v>2536</v>
      </c>
      <c r="E438" s="6"/>
      <c r="F438" s="5">
        <v>0</v>
      </c>
      <c r="G438" s="5">
        <v>0</v>
      </c>
      <c r="H438" s="5" t="s">
        <v>616</v>
      </c>
      <c r="I438" s="5">
        <v>0</v>
      </c>
      <c r="J438" s="5" t="s">
        <v>657</v>
      </c>
      <c r="K438" s="7" t="s">
        <v>2537</v>
      </c>
      <c r="L438" s="5" t="s">
        <v>2538</v>
      </c>
    </row>
    <row r="439" spans="1:12" ht="65" customHeight="1">
      <c r="A439" s="5" t="s">
        <v>2381</v>
      </c>
      <c r="B439" s="5" t="s">
        <v>2382</v>
      </c>
      <c r="C439" s="5" t="s">
        <v>2539</v>
      </c>
      <c r="D439" s="5" t="s">
        <v>2540</v>
      </c>
      <c r="E439" s="6"/>
      <c r="F439" s="5">
        <v>0</v>
      </c>
      <c r="G439" s="5">
        <v>0</v>
      </c>
      <c r="H439" s="5" t="s">
        <v>616</v>
      </c>
      <c r="I439" s="5">
        <v>0</v>
      </c>
      <c r="J439" s="5" t="s">
        <v>657</v>
      </c>
      <c r="K439" s="7" t="s">
        <v>2541</v>
      </c>
      <c r="L439" s="5" t="s">
        <v>2542</v>
      </c>
    </row>
    <row r="440" spans="1:12" ht="65" customHeight="1">
      <c r="A440" s="5" t="s">
        <v>2381</v>
      </c>
      <c r="B440" s="5" t="s">
        <v>2382</v>
      </c>
      <c r="C440" s="5" t="s">
        <v>2543</v>
      </c>
      <c r="D440" s="5" t="s">
        <v>2544</v>
      </c>
      <c r="E440" s="6"/>
      <c r="F440" s="5">
        <v>0</v>
      </c>
      <c r="G440" s="5">
        <v>0</v>
      </c>
      <c r="H440" s="5" t="s">
        <v>616</v>
      </c>
      <c r="I440" s="5">
        <v>0</v>
      </c>
      <c r="J440" s="5" t="s">
        <v>657</v>
      </c>
      <c r="K440" s="7" t="s">
        <v>2545</v>
      </c>
      <c r="L440" s="5" t="s">
        <v>2546</v>
      </c>
    </row>
    <row r="441" spans="1:12" ht="65" customHeight="1">
      <c r="A441" s="5" t="s">
        <v>2381</v>
      </c>
      <c r="B441" s="5" t="s">
        <v>2382</v>
      </c>
      <c r="C441" s="5" t="s">
        <v>2547</v>
      </c>
      <c r="D441" s="5" t="s">
        <v>2548</v>
      </c>
      <c r="E441" s="6"/>
      <c r="F441" s="5">
        <v>0</v>
      </c>
      <c r="G441" s="5">
        <v>0</v>
      </c>
      <c r="H441" s="5" t="s">
        <v>616</v>
      </c>
      <c r="I441" s="5">
        <v>0</v>
      </c>
      <c r="J441" s="5" t="s">
        <v>657</v>
      </c>
      <c r="K441" s="7" t="s">
        <v>2549</v>
      </c>
      <c r="L441" s="5" t="s">
        <v>2550</v>
      </c>
    </row>
    <row r="442" spans="1:12" ht="65" customHeight="1">
      <c r="A442" s="5" t="s">
        <v>2381</v>
      </c>
      <c r="B442" s="5" t="s">
        <v>2382</v>
      </c>
      <c r="C442" s="5" t="s">
        <v>2551</v>
      </c>
      <c r="D442" s="5" t="s">
        <v>2552</v>
      </c>
      <c r="E442" s="5" t="s">
        <v>2553</v>
      </c>
      <c r="F442" s="5">
        <v>1.25</v>
      </c>
      <c r="G442" s="5">
        <v>1</v>
      </c>
      <c r="H442" s="5" t="s">
        <v>616</v>
      </c>
      <c r="I442" s="5">
        <v>0</v>
      </c>
      <c r="J442" s="5" t="s">
        <v>617</v>
      </c>
      <c r="K442" s="7" t="s">
        <v>2554</v>
      </c>
      <c r="L442" s="5" t="s">
        <v>2555</v>
      </c>
    </row>
    <row r="443" spans="1:12" ht="65" customHeight="1">
      <c r="A443" s="5" t="s">
        <v>2381</v>
      </c>
      <c r="B443" s="5" t="s">
        <v>2382</v>
      </c>
      <c r="C443" s="5" t="s">
        <v>2556</v>
      </c>
      <c r="D443" s="5" t="s">
        <v>2557</v>
      </c>
      <c r="E443" s="5" t="s">
        <v>2558</v>
      </c>
      <c r="F443" s="5">
        <v>6.5</v>
      </c>
      <c r="G443" s="5">
        <v>3</v>
      </c>
      <c r="H443" s="5" t="s">
        <v>623</v>
      </c>
      <c r="I443" s="5">
        <v>232890</v>
      </c>
      <c r="J443" s="5" t="s">
        <v>617</v>
      </c>
      <c r="K443" s="7" t="s">
        <v>2559</v>
      </c>
      <c r="L443" s="5" t="s">
        <v>2560</v>
      </c>
    </row>
    <row r="444" spans="1:12" ht="65" customHeight="1">
      <c r="A444" s="5" t="s">
        <v>2381</v>
      </c>
      <c r="B444" s="5" t="s">
        <v>2382</v>
      </c>
      <c r="C444" s="5" t="s">
        <v>2561</v>
      </c>
      <c r="D444" s="5" t="s">
        <v>2562</v>
      </c>
      <c r="E444" s="5" t="s">
        <v>2563</v>
      </c>
      <c r="F444" s="5">
        <v>4.5</v>
      </c>
      <c r="G444" s="5">
        <v>1</v>
      </c>
      <c r="H444" s="5" t="s">
        <v>616</v>
      </c>
      <c r="I444" s="5">
        <v>267870</v>
      </c>
      <c r="J444" s="5" t="s">
        <v>617</v>
      </c>
      <c r="K444" s="7" t="s">
        <v>2564</v>
      </c>
      <c r="L444" s="5" t="s">
        <v>2565</v>
      </c>
    </row>
    <row r="445" spans="1:12" ht="65" customHeight="1">
      <c r="A445" s="5" t="s">
        <v>2381</v>
      </c>
      <c r="B445" s="5" t="s">
        <v>2382</v>
      </c>
      <c r="C445" s="5" t="s">
        <v>2566</v>
      </c>
      <c r="D445" s="5" t="s">
        <v>2567</v>
      </c>
      <c r="E445" s="6"/>
      <c r="F445" s="5">
        <v>0</v>
      </c>
      <c r="G445" s="5">
        <v>0</v>
      </c>
      <c r="H445" s="5" t="s">
        <v>616</v>
      </c>
      <c r="I445" s="5">
        <v>0</v>
      </c>
      <c r="J445" s="5" t="s">
        <v>657</v>
      </c>
      <c r="K445" s="7" t="s">
        <v>2568</v>
      </c>
      <c r="L445" s="5" t="s">
        <v>2569</v>
      </c>
    </row>
    <row r="446" spans="1:12" ht="65" customHeight="1">
      <c r="A446" s="5" t="s">
        <v>2381</v>
      </c>
      <c r="B446" s="5" t="s">
        <v>2382</v>
      </c>
      <c r="C446" s="5" t="s">
        <v>2570</v>
      </c>
      <c r="D446" s="5" t="s">
        <v>2571</v>
      </c>
      <c r="E446" s="6"/>
      <c r="F446" s="5">
        <v>0</v>
      </c>
      <c r="G446" s="5">
        <v>0</v>
      </c>
      <c r="H446" s="5" t="s">
        <v>616</v>
      </c>
      <c r="I446" s="5">
        <v>0</v>
      </c>
      <c r="J446" s="5" t="s">
        <v>657</v>
      </c>
      <c r="K446" s="7" t="s">
        <v>2572</v>
      </c>
      <c r="L446" s="5" t="s">
        <v>2573</v>
      </c>
    </row>
    <row r="447" spans="1:12" ht="65" customHeight="1">
      <c r="A447" s="5" t="s">
        <v>2381</v>
      </c>
      <c r="B447" s="5" t="s">
        <v>2382</v>
      </c>
      <c r="C447" s="5" t="s">
        <v>2574</v>
      </c>
      <c r="D447" s="5" t="s">
        <v>2575</v>
      </c>
      <c r="E447" s="5" t="s">
        <v>2576</v>
      </c>
      <c r="F447" s="5">
        <v>0.09</v>
      </c>
      <c r="G447" s="5">
        <v>20</v>
      </c>
      <c r="H447" s="5" t="s">
        <v>616</v>
      </c>
      <c r="I447" s="5">
        <v>0</v>
      </c>
      <c r="J447" s="5" t="s">
        <v>617</v>
      </c>
      <c r="K447" s="7" t="s">
        <v>2577</v>
      </c>
      <c r="L447" s="5" t="s">
        <v>2578</v>
      </c>
    </row>
    <row r="448" spans="1:12" ht="65" customHeight="1">
      <c r="A448" s="5" t="s">
        <v>2381</v>
      </c>
      <c r="B448" s="5" t="s">
        <v>2382</v>
      </c>
      <c r="C448" s="5" t="s">
        <v>2579</v>
      </c>
      <c r="D448" s="5" t="s">
        <v>2580</v>
      </c>
      <c r="E448" s="6"/>
      <c r="F448" s="5">
        <v>0</v>
      </c>
      <c r="G448" s="5">
        <v>0</v>
      </c>
      <c r="H448" s="5" t="s">
        <v>616</v>
      </c>
      <c r="I448" s="5">
        <v>0</v>
      </c>
      <c r="J448" s="5" t="s">
        <v>657</v>
      </c>
      <c r="K448" s="7" t="s">
        <v>2581</v>
      </c>
      <c r="L448" s="5" t="s">
        <v>2582</v>
      </c>
    </row>
    <row r="449" spans="1:12" ht="65" customHeight="1">
      <c r="A449" s="5" t="s">
        <v>2381</v>
      </c>
      <c r="B449" s="5" t="s">
        <v>2382</v>
      </c>
      <c r="C449" s="5" t="s">
        <v>2583</v>
      </c>
      <c r="D449" s="5" t="s">
        <v>2584</v>
      </c>
      <c r="E449" s="5" t="s">
        <v>2585</v>
      </c>
      <c r="F449" s="5">
        <v>4.4</v>
      </c>
      <c r="G449" s="5">
        <v>300</v>
      </c>
      <c r="H449" s="5" t="s">
        <v>616</v>
      </c>
      <c r="I449" s="5">
        <v>7610</v>
      </c>
      <c r="J449" s="5" t="s">
        <v>617</v>
      </c>
      <c r="K449" s="7" t="s">
        <v>2586</v>
      </c>
      <c r="L449" s="5" t="s">
        <v>2587</v>
      </c>
    </row>
    <row r="450" spans="1:12" ht="65" customHeight="1">
      <c r="A450" s="5" t="s">
        <v>2381</v>
      </c>
      <c r="B450" s="5" t="s">
        <v>2382</v>
      </c>
      <c r="C450" s="5" t="s">
        <v>2588</v>
      </c>
      <c r="D450" s="5" t="s">
        <v>2589</v>
      </c>
      <c r="E450" s="6"/>
      <c r="F450" s="5">
        <v>0</v>
      </c>
      <c r="G450" s="5">
        <v>0</v>
      </c>
      <c r="H450" s="5" t="s">
        <v>616</v>
      </c>
      <c r="I450" s="5">
        <v>0</v>
      </c>
      <c r="J450" s="5" t="s">
        <v>657</v>
      </c>
      <c r="K450" s="7" t="s">
        <v>2590</v>
      </c>
      <c r="L450" s="5" t="s">
        <v>2591</v>
      </c>
    </row>
    <row r="451" spans="1:12" ht="65" customHeight="1">
      <c r="A451" s="5" t="s">
        <v>2381</v>
      </c>
      <c r="B451" s="5" t="s">
        <v>2382</v>
      </c>
      <c r="C451" s="5" t="s">
        <v>2592</v>
      </c>
      <c r="D451" s="5" t="s">
        <v>2593</v>
      </c>
      <c r="E451" s="5" t="s">
        <v>2594</v>
      </c>
      <c r="F451" s="5">
        <v>2</v>
      </c>
      <c r="G451" s="5">
        <v>1</v>
      </c>
      <c r="H451" s="5" t="s">
        <v>616</v>
      </c>
      <c r="I451" s="5">
        <v>0</v>
      </c>
      <c r="J451" s="5" t="s">
        <v>617</v>
      </c>
      <c r="K451" s="7" t="s">
        <v>2595</v>
      </c>
      <c r="L451" s="5" t="s">
        <v>2596</v>
      </c>
    </row>
    <row r="452" spans="1:12" ht="65" customHeight="1">
      <c r="A452" s="5" t="s">
        <v>2381</v>
      </c>
      <c r="B452" s="5" t="s">
        <v>2382</v>
      </c>
      <c r="C452" s="5" t="s">
        <v>2597</v>
      </c>
      <c r="D452" s="5" t="s">
        <v>2598</v>
      </c>
      <c r="E452" s="6"/>
      <c r="F452" s="5">
        <v>0</v>
      </c>
      <c r="G452" s="5">
        <v>0</v>
      </c>
      <c r="H452" s="5" t="s">
        <v>616</v>
      </c>
      <c r="I452" s="5">
        <v>0</v>
      </c>
      <c r="J452" s="5" t="s">
        <v>657</v>
      </c>
      <c r="K452" s="7" t="s">
        <v>2599</v>
      </c>
      <c r="L452" s="5" t="s">
        <v>2600</v>
      </c>
    </row>
    <row r="453" spans="1:12" ht="65" customHeight="1">
      <c r="A453" s="5" t="s">
        <v>2381</v>
      </c>
      <c r="B453" s="5" t="s">
        <v>2382</v>
      </c>
      <c r="C453" s="5" t="s">
        <v>2601</v>
      </c>
      <c r="D453" s="5" t="s">
        <v>2602</v>
      </c>
      <c r="E453" s="6"/>
      <c r="F453" s="5">
        <v>0</v>
      </c>
      <c r="G453" s="5">
        <v>0</v>
      </c>
      <c r="H453" s="5" t="s">
        <v>616</v>
      </c>
      <c r="I453" s="5">
        <v>0</v>
      </c>
      <c r="J453" s="5" t="s">
        <v>657</v>
      </c>
      <c r="K453" s="7" t="s">
        <v>2603</v>
      </c>
      <c r="L453" s="5" t="s">
        <v>2604</v>
      </c>
    </row>
    <row r="454" spans="1:12" ht="65" customHeight="1">
      <c r="A454" s="5" t="s">
        <v>2381</v>
      </c>
      <c r="B454" s="5" t="s">
        <v>2382</v>
      </c>
      <c r="C454" s="5" t="s">
        <v>2605</v>
      </c>
      <c r="D454" s="5" t="s">
        <v>2606</v>
      </c>
      <c r="E454" s="6"/>
      <c r="F454" s="5">
        <v>0</v>
      </c>
      <c r="G454" s="5">
        <v>0</v>
      </c>
      <c r="H454" s="5" t="s">
        <v>616</v>
      </c>
      <c r="I454" s="5">
        <v>0</v>
      </c>
      <c r="J454" s="5" t="s">
        <v>657</v>
      </c>
      <c r="K454" s="7" t="s">
        <v>2607</v>
      </c>
      <c r="L454" s="5" t="s">
        <v>2608</v>
      </c>
    </row>
    <row r="455" spans="1:12" ht="65" customHeight="1">
      <c r="A455" s="5" t="s">
        <v>2381</v>
      </c>
      <c r="B455" s="5" t="s">
        <v>2382</v>
      </c>
      <c r="C455" s="5" t="s">
        <v>2609</v>
      </c>
      <c r="D455" s="5" t="s">
        <v>2610</v>
      </c>
      <c r="E455" s="6"/>
      <c r="F455" s="5">
        <v>0</v>
      </c>
      <c r="G455" s="5">
        <v>0</v>
      </c>
      <c r="H455" s="5" t="s">
        <v>616</v>
      </c>
      <c r="I455" s="5">
        <v>0</v>
      </c>
      <c r="J455" s="5" t="s">
        <v>657</v>
      </c>
      <c r="K455" s="7" t="s">
        <v>2611</v>
      </c>
      <c r="L455" s="5" t="s">
        <v>2612</v>
      </c>
    </row>
    <row r="456" spans="1:12" ht="65" customHeight="1">
      <c r="A456" s="5" t="s">
        <v>2381</v>
      </c>
      <c r="B456" s="5" t="s">
        <v>2382</v>
      </c>
      <c r="C456" s="5" t="s">
        <v>2613</v>
      </c>
      <c r="D456" s="5" t="s">
        <v>2614</v>
      </c>
      <c r="E456" s="6"/>
      <c r="F456" s="5">
        <v>0</v>
      </c>
      <c r="G456" s="5">
        <v>0</v>
      </c>
      <c r="H456" s="5" t="s">
        <v>616</v>
      </c>
      <c r="I456" s="5">
        <v>0</v>
      </c>
      <c r="J456" s="5" t="s">
        <v>657</v>
      </c>
      <c r="K456" s="7" t="s">
        <v>2615</v>
      </c>
      <c r="L456" s="5" t="s">
        <v>2616</v>
      </c>
    </row>
    <row r="457" spans="1:12" ht="65" customHeight="1">
      <c r="A457" s="5" t="s">
        <v>2381</v>
      </c>
      <c r="B457" s="5" t="s">
        <v>2382</v>
      </c>
      <c r="C457" s="5" t="s">
        <v>2617</v>
      </c>
      <c r="D457" s="5" t="s">
        <v>2618</v>
      </c>
      <c r="E457" s="6"/>
      <c r="F457" s="5">
        <v>0</v>
      </c>
      <c r="G457" s="5">
        <v>0</v>
      </c>
      <c r="H457" s="5" t="s">
        <v>616</v>
      </c>
      <c r="I457" s="5">
        <v>0</v>
      </c>
      <c r="J457" s="5" t="s">
        <v>657</v>
      </c>
      <c r="K457" s="7" t="s">
        <v>2619</v>
      </c>
      <c r="L457" s="5" t="s">
        <v>2620</v>
      </c>
    </row>
    <row r="458" spans="1:12" ht="65" customHeight="1">
      <c r="A458" s="5" t="s">
        <v>2381</v>
      </c>
      <c r="B458" s="5" t="s">
        <v>2382</v>
      </c>
      <c r="C458" s="5" t="s">
        <v>2621</v>
      </c>
      <c r="D458" s="5" t="s">
        <v>2622</v>
      </c>
      <c r="E458" s="6"/>
      <c r="F458" s="5">
        <v>0</v>
      </c>
      <c r="G458" s="5">
        <v>0</v>
      </c>
      <c r="H458" s="5" t="s">
        <v>616</v>
      </c>
      <c r="I458" s="5">
        <v>0</v>
      </c>
      <c r="J458" s="5" t="s">
        <v>657</v>
      </c>
      <c r="K458" s="7" t="s">
        <v>2623</v>
      </c>
      <c r="L458" s="5" t="s">
        <v>2624</v>
      </c>
    </row>
    <row r="459" spans="1:12" ht="65" customHeight="1">
      <c r="A459" s="5" t="s">
        <v>2381</v>
      </c>
      <c r="B459" s="5" t="s">
        <v>2382</v>
      </c>
      <c r="C459" s="5" t="s">
        <v>2625</v>
      </c>
      <c r="D459" s="5" t="s">
        <v>2626</v>
      </c>
      <c r="E459" s="6"/>
      <c r="F459" s="5">
        <v>0</v>
      </c>
      <c r="G459" s="5">
        <v>0</v>
      </c>
      <c r="H459" s="5" t="s">
        <v>616</v>
      </c>
      <c r="I459" s="5">
        <v>0</v>
      </c>
      <c r="J459" s="5" t="s">
        <v>657</v>
      </c>
      <c r="K459" s="7" t="s">
        <v>2627</v>
      </c>
      <c r="L459" s="5" t="s">
        <v>2628</v>
      </c>
    </row>
    <row r="460" spans="1:12" ht="65" customHeight="1">
      <c r="A460" s="5" t="s">
        <v>2381</v>
      </c>
      <c r="B460" s="5" t="s">
        <v>2382</v>
      </c>
      <c r="C460" s="5" t="s">
        <v>2629</v>
      </c>
      <c r="D460" s="5" t="s">
        <v>2630</v>
      </c>
      <c r="E460" s="5" t="s">
        <v>2631</v>
      </c>
      <c r="F460" s="5">
        <v>4.6</v>
      </c>
      <c r="G460" s="5">
        <v>1</v>
      </c>
      <c r="H460" s="5" t="s">
        <v>616</v>
      </c>
      <c r="I460" s="5">
        <v>0</v>
      </c>
      <c r="J460" s="5" t="s">
        <v>617</v>
      </c>
      <c r="K460" s="7" t="s">
        <v>2632</v>
      </c>
      <c r="L460" s="5" t="s">
        <v>2633</v>
      </c>
    </row>
    <row r="461" spans="1:12" ht="65" customHeight="1">
      <c r="A461" s="5" t="s">
        <v>2381</v>
      </c>
      <c r="B461" s="5" t="s">
        <v>2382</v>
      </c>
      <c r="C461" s="5" t="s">
        <v>2634</v>
      </c>
      <c r="D461" s="5" t="s">
        <v>2635</v>
      </c>
      <c r="E461" s="6"/>
      <c r="F461" s="5">
        <v>0</v>
      </c>
      <c r="G461" s="5">
        <v>0</v>
      </c>
      <c r="H461" s="5" t="s">
        <v>616</v>
      </c>
      <c r="I461" s="5">
        <v>0</v>
      </c>
      <c r="J461" s="5" t="s">
        <v>657</v>
      </c>
      <c r="K461" s="7" t="s">
        <v>2636</v>
      </c>
      <c r="L461" s="5" t="s">
        <v>2637</v>
      </c>
    </row>
    <row r="462" spans="1:12" ht="65" customHeight="1">
      <c r="A462" s="5" t="s">
        <v>2381</v>
      </c>
      <c r="B462" s="5" t="s">
        <v>2382</v>
      </c>
      <c r="C462" s="5" t="s">
        <v>2638</v>
      </c>
      <c r="D462" s="5" t="s">
        <v>2639</v>
      </c>
      <c r="E462" s="6"/>
      <c r="F462" s="5">
        <v>0</v>
      </c>
      <c r="G462" s="5">
        <v>0</v>
      </c>
      <c r="H462" s="5" t="s">
        <v>616</v>
      </c>
      <c r="I462" s="5">
        <v>0</v>
      </c>
      <c r="J462" s="5" t="s">
        <v>657</v>
      </c>
      <c r="K462" s="7" t="s">
        <v>2640</v>
      </c>
      <c r="L462" s="5" t="s">
        <v>2641</v>
      </c>
    </row>
    <row r="463" spans="1:12" ht="65" customHeight="1">
      <c r="A463" s="5" t="s">
        <v>2381</v>
      </c>
      <c r="B463" s="5" t="s">
        <v>2382</v>
      </c>
      <c r="C463" s="5" t="s">
        <v>2642</v>
      </c>
      <c r="D463" s="5" t="s">
        <v>2643</v>
      </c>
      <c r="E463" s="6"/>
      <c r="F463" s="5">
        <v>0</v>
      </c>
      <c r="G463" s="5">
        <v>0</v>
      </c>
      <c r="H463" s="5" t="s">
        <v>616</v>
      </c>
      <c r="I463" s="5">
        <v>0</v>
      </c>
      <c r="J463" s="5" t="s">
        <v>657</v>
      </c>
      <c r="K463" s="7" t="s">
        <v>2644</v>
      </c>
      <c r="L463" s="5" t="s">
        <v>2645</v>
      </c>
    </row>
    <row r="464" spans="1:12" ht="65" customHeight="1">
      <c r="A464" s="5" t="s">
        <v>2381</v>
      </c>
      <c r="B464" s="5" t="s">
        <v>2382</v>
      </c>
      <c r="C464" s="5" t="s">
        <v>2646</v>
      </c>
      <c r="D464" s="5" t="s">
        <v>2647</v>
      </c>
      <c r="E464" s="6"/>
      <c r="F464" s="5">
        <v>0</v>
      </c>
      <c r="G464" s="5">
        <v>0</v>
      </c>
      <c r="H464" s="5" t="s">
        <v>616</v>
      </c>
      <c r="I464" s="5">
        <v>0</v>
      </c>
      <c r="J464" s="5" t="s">
        <v>657</v>
      </c>
      <c r="K464" s="7" t="s">
        <v>2648</v>
      </c>
      <c r="L464" s="5" t="s">
        <v>2649</v>
      </c>
    </row>
    <row r="465" spans="1:12" ht="65" customHeight="1">
      <c r="A465" s="5" t="s">
        <v>2381</v>
      </c>
      <c r="B465" s="5" t="s">
        <v>2382</v>
      </c>
      <c r="C465" s="5" t="s">
        <v>2650</v>
      </c>
      <c r="D465" s="5" t="s">
        <v>2651</v>
      </c>
      <c r="E465" s="6"/>
      <c r="F465" s="5">
        <v>0</v>
      </c>
      <c r="G465" s="5">
        <v>0</v>
      </c>
      <c r="H465" s="5" t="s">
        <v>616</v>
      </c>
      <c r="I465" s="5">
        <v>0</v>
      </c>
      <c r="J465" s="5" t="s">
        <v>657</v>
      </c>
      <c r="K465" s="7" t="s">
        <v>2652</v>
      </c>
      <c r="L465" s="5" t="s">
        <v>2653</v>
      </c>
    </row>
    <row r="466" spans="1:12" ht="65" customHeight="1">
      <c r="A466" s="5" t="s">
        <v>2381</v>
      </c>
      <c r="B466" s="5" t="s">
        <v>2382</v>
      </c>
      <c r="C466" s="5" t="s">
        <v>2654</v>
      </c>
      <c r="D466" s="5" t="s">
        <v>2655</v>
      </c>
      <c r="E466" s="6"/>
      <c r="F466" s="5">
        <v>0</v>
      </c>
      <c r="G466" s="5">
        <v>0</v>
      </c>
      <c r="H466" s="5" t="s">
        <v>616</v>
      </c>
      <c r="I466" s="5">
        <v>0</v>
      </c>
      <c r="J466" s="5" t="s">
        <v>657</v>
      </c>
      <c r="K466" s="7" t="s">
        <v>2656</v>
      </c>
      <c r="L466" s="5" t="s">
        <v>2657</v>
      </c>
    </row>
    <row r="467" spans="1:12" ht="65" customHeight="1">
      <c r="A467" s="5" t="s">
        <v>2381</v>
      </c>
      <c r="B467" s="5" t="s">
        <v>2382</v>
      </c>
      <c r="C467" s="5" t="s">
        <v>2658</v>
      </c>
      <c r="D467" s="5" t="s">
        <v>2659</v>
      </c>
      <c r="E467" s="5" t="s">
        <v>2660</v>
      </c>
      <c r="F467" s="5">
        <v>1.3</v>
      </c>
      <c r="G467" s="5">
        <v>3</v>
      </c>
      <c r="H467" s="5" t="s">
        <v>623</v>
      </c>
      <c r="I467" s="5">
        <v>1007921</v>
      </c>
      <c r="J467" s="5" t="s">
        <v>617</v>
      </c>
      <c r="K467" s="7" t="s">
        <v>2661</v>
      </c>
      <c r="L467" s="5" t="s">
        <v>2662</v>
      </c>
    </row>
    <row r="468" spans="1:12" ht="65" customHeight="1">
      <c r="A468" s="5" t="s">
        <v>2381</v>
      </c>
      <c r="B468" s="5" t="s">
        <v>2382</v>
      </c>
      <c r="C468" s="5" t="s">
        <v>2663</v>
      </c>
      <c r="D468" s="5" t="s">
        <v>2664</v>
      </c>
      <c r="E468" s="6"/>
      <c r="F468" s="5">
        <v>0</v>
      </c>
      <c r="G468" s="5">
        <v>0</v>
      </c>
      <c r="H468" s="5" t="s">
        <v>616</v>
      </c>
      <c r="I468" s="5">
        <v>0</v>
      </c>
      <c r="J468" s="5" t="s">
        <v>657</v>
      </c>
      <c r="K468" s="7" t="s">
        <v>2665</v>
      </c>
      <c r="L468" s="5" t="s">
        <v>2666</v>
      </c>
    </row>
    <row r="469" spans="1:12" ht="65" customHeight="1">
      <c r="A469" s="5" t="s">
        <v>2381</v>
      </c>
      <c r="B469" s="5" t="s">
        <v>2382</v>
      </c>
      <c r="C469" s="5" t="s">
        <v>2667</v>
      </c>
      <c r="D469" s="5" t="s">
        <v>2668</v>
      </c>
      <c r="E469" s="6"/>
      <c r="F469" s="5">
        <v>0</v>
      </c>
      <c r="G469" s="5">
        <v>0</v>
      </c>
      <c r="H469" s="5" t="s">
        <v>616</v>
      </c>
      <c r="I469" s="5">
        <v>0</v>
      </c>
      <c r="J469" s="5" t="s">
        <v>657</v>
      </c>
      <c r="K469" s="7" t="s">
        <v>2669</v>
      </c>
      <c r="L469" s="5" t="s">
        <v>2670</v>
      </c>
    </row>
    <row r="470" spans="1:12" ht="65" customHeight="1">
      <c r="A470" s="5" t="s">
        <v>2381</v>
      </c>
      <c r="B470" s="5" t="s">
        <v>2382</v>
      </c>
      <c r="C470" s="5" t="s">
        <v>2671</v>
      </c>
      <c r="D470" s="5" t="s">
        <v>2672</v>
      </c>
      <c r="E470" s="6"/>
      <c r="F470" s="5">
        <v>0</v>
      </c>
      <c r="G470" s="5">
        <v>0</v>
      </c>
      <c r="H470" s="5" t="s">
        <v>616</v>
      </c>
      <c r="I470" s="5">
        <v>0</v>
      </c>
      <c r="J470" s="5" t="s">
        <v>657</v>
      </c>
      <c r="K470" s="7" t="s">
        <v>2673</v>
      </c>
      <c r="L470" s="5" t="s">
        <v>2674</v>
      </c>
    </row>
    <row r="471" spans="1:12" ht="65" customHeight="1">
      <c r="A471" s="5" t="s">
        <v>2381</v>
      </c>
      <c r="B471" s="5" t="s">
        <v>2382</v>
      </c>
      <c r="C471" s="5" t="s">
        <v>2675</v>
      </c>
      <c r="D471" s="5" t="s">
        <v>2676</v>
      </c>
      <c r="E471" s="6"/>
      <c r="F471" s="5">
        <v>0</v>
      </c>
      <c r="G471" s="5">
        <v>0</v>
      </c>
      <c r="H471" s="5" t="s">
        <v>616</v>
      </c>
      <c r="I471" s="5">
        <v>0</v>
      </c>
      <c r="J471" s="5" t="s">
        <v>657</v>
      </c>
      <c r="K471" s="7" t="s">
        <v>2677</v>
      </c>
      <c r="L471" s="5" t="s">
        <v>2678</v>
      </c>
    </row>
    <row r="472" spans="1:12" ht="65" customHeight="1">
      <c r="A472" s="5" t="s">
        <v>2381</v>
      </c>
      <c r="B472" s="5" t="s">
        <v>2382</v>
      </c>
      <c r="C472" s="5" t="s">
        <v>2679</v>
      </c>
      <c r="D472" s="5" t="s">
        <v>2680</v>
      </c>
      <c r="E472" s="6"/>
      <c r="F472" s="5">
        <v>0</v>
      </c>
      <c r="G472" s="5">
        <v>0</v>
      </c>
      <c r="H472" s="5" t="s">
        <v>616</v>
      </c>
      <c r="I472" s="5">
        <v>0</v>
      </c>
      <c r="J472" s="5" t="s">
        <v>657</v>
      </c>
      <c r="K472" s="7" t="s">
        <v>2681</v>
      </c>
      <c r="L472" s="5" t="s">
        <v>2682</v>
      </c>
    </row>
    <row r="473" spans="1:12" ht="65" customHeight="1">
      <c r="A473" s="5" t="s">
        <v>2381</v>
      </c>
      <c r="B473" s="5" t="s">
        <v>2382</v>
      </c>
      <c r="C473" s="5" t="s">
        <v>2683</v>
      </c>
      <c r="D473" s="5" t="s">
        <v>2684</v>
      </c>
      <c r="E473" s="6"/>
      <c r="F473" s="5">
        <v>0</v>
      </c>
      <c r="G473" s="5">
        <v>0</v>
      </c>
      <c r="H473" s="5" t="s">
        <v>616</v>
      </c>
      <c r="I473" s="5">
        <v>0</v>
      </c>
      <c r="J473" s="5" t="s">
        <v>657</v>
      </c>
      <c r="K473" s="7" t="s">
        <v>2685</v>
      </c>
      <c r="L473" s="5" t="s">
        <v>2686</v>
      </c>
    </row>
    <row r="474" spans="1:12" ht="65" customHeight="1">
      <c r="A474" s="5" t="s">
        <v>2381</v>
      </c>
      <c r="B474" s="5" t="s">
        <v>2382</v>
      </c>
      <c r="C474" s="5" t="s">
        <v>2687</v>
      </c>
      <c r="D474" s="5" t="s">
        <v>2688</v>
      </c>
      <c r="E474" s="6"/>
      <c r="F474" s="5">
        <v>0</v>
      </c>
      <c r="G474" s="5">
        <v>0</v>
      </c>
      <c r="H474" s="5" t="s">
        <v>616</v>
      </c>
      <c r="I474" s="5">
        <v>0</v>
      </c>
      <c r="J474" s="5" t="s">
        <v>657</v>
      </c>
      <c r="K474" s="7" t="s">
        <v>2689</v>
      </c>
      <c r="L474" s="5" t="s">
        <v>2690</v>
      </c>
    </row>
    <row r="475" spans="1:12" ht="65" customHeight="1">
      <c r="A475" s="5" t="s">
        <v>2381</v>
      </c>
      <c r="B475" s="5" t="s">
        <v>2382</v>
      </c>
      <c r="C475" s="5" t="s">
        <v>2691</v>
      </c>
      <c r="D475" s="5" t="s">
        <v>2692</v>
      </c>
      <c r="E475" s="5" t="s">
        <v>2693</v>
      </c>
      <c r="F475" s="5">
        <v>13.8</v>
      </c>
      <c r="G475" s="5">
        <v>1</v>
      </c>
      <c r="H475" s="5" t="s">
        <v>616</v>
      </c>
      <c r="I475" s="5">
        <v>0</v>
      </c>
      <c r="J475" s="5" t="s">
        <v>617</v>
      </c>
      <c r="K475" s="7" t="s">
        <v>2694</v>
      </c>
      <c r="L475" s="5" t="s">
        <v>2695</v>
      </c>
    </row>
    <row r="476" spans="1:12" ht="65" customHeight="1">
      <c r="A476" s="5" t="s">
        <v>2381</v>
      </c>
      <c r="B476" s="5" t="s">
        <v>2382</v>
      </c>
      <c r="C476" s="5" t="s">
        <v>2696</v>
      </c>
      <c r="D476" s="5" t="s">
        <v>2697</v>
      </c>
      <c r="E476" s="6"/>
      <c r="F476" s="5">
        <v>0</v>
      </c>
      <c r="G476" s="5">
        <v>0</v>
      </c>
      <c r="H476" s="5" t="s">
        <v>616</v>
      </c>
      <c r="I476" s="5">
        <v>0</v>
      </c>
      <c r="J476" s="5" t="s">
        <v>657</v>
      </c>
      <c r="K476" s="7" t="s">
        <v>2698</v>
      </c>
      <c r="L476" s="5" t="s">
        <v>2699</v>
      </c>
    </row>
    <row r="477" spans="1:12" ht="65" customHeight="1">
      <c r="A477" s="5" t="s">
        <v>2381</v>
      </c>
      <c r="B477" s="5" t="s">
        <v>2382</v>
      </c>
      <c r="C477" s="5" t="s">
        <v>2700</v>
      </c>
      <c r="D477" s="5" t="s">
        <v>2701</v>
      </c>
      <c r="E477" s="5" t="s">
        <v>2702</v>
      </c>
      <c r="F477" s="5">
        <v>4.7</v>
      </c>
      <c r="G477" s="5">
        <v>1</v>
      </c>
      <c r="H477" s="5" t="s">
        <v>616</v>
      </c>
      <c r="I477" s="5">
        <v>0</v>
      </c>
      <c r="J477" s="5" t="s">
        <v>617</v>
      </c>
      <c r="K477" s="7" t="s">
        <v>2703</v>
      </c>
      <c r="L477" s="5" t="s">
        <v>2704</v>
      </c>
    </row>
    <row r="478" spans="1:12" ht="65" customHeight="1">
      <c r="A478" s="5" t="s">
        <v>2381</v>
      </c>
      <c r="B478" s="5" t="s">
        <v>2382</v>
      </c>
      <c r="C478" s="5" t="s">
        <v>2705</v>
      </c>
      <c r="D478" s="5" t="s">
        <v>2706</v>
      </c>
      <c r="E478" s="6"/>
      <c r="F478" s="5">
        <v>0</v>
      </c>
      <c r="G478" s="5">
        <v>0</v>
      </c>
      <c r="H478" s="5" t="s">
        <v>616</v>
      </c>
      <c r="I478" s="5">
        <v>0</v>
      </c>
      <c r="J478" s="5" t="s">
        <v>657</v>
      </c>
      <c r="K478" s="7" t="s">
        <v>2707</v>
      </c>
      <c r="L478" s="5" t="s">
        <v>2708</v>
      </c>
    </row>
    <row r="479" spans="1:12" ht="65" customHeight="1">
      <c r="A479" s="5" t="s">
        <v>2381</v>
      </c>
      <c r="B479" s="5" t="s">
        <v>2382</v>
      </c>
      <c r="C479" s="5" t="s">
        <v>2709</v>
      </c>
      <c r="D479" s="5" t="s">
        <v>2710</v>
      </c>
      <c r="E479" s="6"/>
      <c r="F479" s="5">
        <v>0</v>
      </c>
      <c r="G479" s="5">
        <v>0</v>
      </c>
      <c r="H479" s="5" t="s">
        <v>616</v>
      </c>
      <c r="I479" s="5">
        <v>0</v>
      </c>
      <c r="J479" s="5" t="s">
        <v>657</v>
      </c>
      <c r="K479" s="7" t="s">
        <v>2711</v>
      </c>
      <c r="L479" s="5" t="s">
        <v>2712</v>
      </c>
    </row>
    <row r="480" spans="1:12" ht="65" customHeight="1">
      <c r="A480" s="5" t="s">
        <v>2381</v>
      </c>
      <c r="B480" s="5" t="s">
        <v>2382</v>
      </c>
      <c r="C480" s="5" t="s">
        <v>2713</v>
      </c>
      <c r="D480" s="5" t="s">
        <v>2714</v>
      </c>
      <c r="E480" s="6"/>
      <c r="F480" s="5">
        <v>0</v>
      </c>
      <c r="G480" s="5">
        <v>0</v>
      </c>
      <c r="H480" s="5" t="s">
        <v>616</v>
      </c>
      <c r="I480" s="5">
        <v>0</v>
      </c>
      <c r="J480" s="5" t="s">
        <v>657</v>
      </c>
      <c r="K480" s="7" t="s">
        <v>2715</v>
      </c>
      <c r="L480" s="5" t="s">
        <v>2716</v>
      </c>
    </row>
    <row r="481" spans="1:12" ht="65" customHeight="1">
      <c r="A481" s="5" t="s">
        <v>2381</v>
      </c>
      <c r="B481" s="5" t="s">
        <v>2382</v>
      </c>
      <c r="C481" s="5" t="s">
        <v>2717</v>
      </c>
      <c r="D481" s="5" t="s">
        <v>2718</v>
      </c>
      <c r="E481" s="6"/>
      <c r="F481" s="5">
        <v>0</v>
      </c>
      <c r="G481" s="5">
        <v>0</v>
      </c>
      <c r="H481" s="5" t="s">
        <v>616</v>
      </c>
      <c r="I481" s="5">
        <v>0</v>
      </c>
      <c r="J481" s="5" t="s">
        <v>657</v>
      </c>
      <c r="K481" s="7" t="s">
        <v>2719</v>
      </c>
      <c r="L481" s="5" t="s">
        <v>2720</v>
      </c>
    </row>
    <row r="482" spans="1:12" ht="65" customHeight="1">
      <c r="A482" s="5" t="s">
        <v>2381</v>
      </c>
      <c r="B482" s="5" t="s">
        <v>2382</v>
      </c>
      <c r="C482" s="5" t="s">
        <v>2721</v>
      </c>
      <c r="D482" s="5" t="s">
        <v>2722</v>
      </c>
      <c r="E482" s="6"/>
      <c r="F482" s="5">
        <v>0</v>
      </c>
      <c r="G482" s="5">
        <v>0</v>
      </c>
      <c r="H482" s="5" t="s">
        <v>616</v>
      </c>
      <c r="I482" s="5">
        <v>0</v>
      </c>
      <c r="J482" s="5" t="s">
        <v>657</v>
      </c>
      <c r="K482" s="7" t="s">
        <v>2723</v>
      </c>
      <c r="L482" s="5" t="s">
        <v>2724</v>
      </c>
    </row>
    <row r="483" spans="1:12" ht="65" customHeight="1">
      <c r="A483" s="5" t="s">
        <v>2381</v>
      </c>
      <c r="B483" s="5" t="s">
        <v>2382</v>
      </c>
      <c r="C483" s="5" t="s">
        <v>2725</v>
      </c>
      <c r="D483" s="5" t="s">
        <v>2726</v>
      </c>
      <c r="E483" s="6"/>
      <c r="F483" s="5">
        <v>0</v>
      </c>
      <c r="G483" s="5">
        <v>0</v>
      </c>
      <c r="H483" s="5" t="s">
        <v>616</v>
      </c>
      <c r="I483" s="5">
        <v>0</v>
      </c>
      <c r="J483" s="5" t="s">
        <v>657</v>
      </c>
      <c r="K483" s="7" t="s">
        <v>2727</v>
      </c>
      <c r="L483" s="5" t="s">
        <v>2728</v>
      </c>
    </row>
    <row r="484" spans="1:12" ht="65" customHeight="1">
      <c r="A484" s="5" t="s">
        <v>2381</v>
      </c>
      <c r="B484" s="5" t="s">
        <v>2382</v>
      </c>
      <c r="C484" s="5" t="s">
        <v>2729</v>
      </c>
      <c r="D484" s="5" t="s">
        <v>2730</v>
      </c>
      <c r="E484" s="6"/>
      <c r="F484" s="5">
        <v>0</v>
      </c>
      <c r="G484" s="5">
        <v>0</v>
      </c>
      <c r="H484" s="5" t="s">
        <v>616</v>
      </c>
      <c r="I484" s="5">
        <v>0</v>
      </c>
      <c r="J484" s="5" t="s">
        <v>657</v>
      </c>
      <c r="K484" s="7" t="s">
        <v>2731</v>
      </c>
      <c r="L484" s="5" t="s">
        <v>2732</v>
      </c>
    </row>
    <row r="485" spans="1:12" ht="65" customHeight="1">
      <c r="A485" s="5" t="s">
        <v>2381</v>
      </c>
      <c r="B485" s="5" t="s">
        <v>2382</v>
      </c>
      <c r="C485" s="5" t="s">
        <v>2733</v>
      </c>
      <c r="D485" s="5" t="s">
        <v>2734</v>
      </c>
      <c r="E485" s="6"/>
      <c r="F485" s="5">
        <v>0</v>
      </c>
      <c r="G485" s="5">
        <v>0</v>
      </c>
      <c r="H485" s="5" t="s">
        <v>616</v>
      </c>
      <c r="I485" s="5">
        <v>0</v>
      </c>
      <c r="J485" s="5" t="s">
        <v>657</v>
      </c>
      <c r="K485" s="7" t="s">
        <v>2735</v>
      </c>
      <c r="L485" s="5" t="s">
        <v>2736</v>
      </c>
    </row>
    <row r="486" spans="1:12" ht="65" customHeight="1">
      <c r="A486" s="5" t="s">
        <v>2381</v>
      </c>
      <c r="B486" s="5" t="s">
        <v>2382</v>
      </c>
      <c r="C486" s="5" t="s">
        <v>2737</v>
      </c>
      <c r="D486" s="5" t="s">
        <v>2738</v>
      </c>
      <c r="E486" s="6"/>
      <c r="F486" s="5">
        <v>0</v>
      </c>
      <c r="G486" s="5">
        <v>0</v>
      </c>
      <c r="H486" s="5" t="s">
        <v>616</v>
      </c>
      <c r="I486" s="5">
        <v>0</v>
      </c>
      <c r="J486" s="5" t="s">
        <v>657</v>
      </c>
      <c r="K486" s="7" t="s">
        <v>2739</v>
      </c>
      <c r="L486" s="5" t="s">
        <v>2740</v>
      </c>
    </row>
    <row r="487" spans="1:12" ht="65" customHeight="1">
      <c r="A487" s="5" t="s">
        <v>2381</v>
      </c>
      <c r="B487" s="5" t="s">
        <v>2382</v>
      </c>
      <c r="C487" s="5" t="s">
        <v>2741</v>
      </c>
      <c r="D487" s="5" t="s">
        <v>2742</v>
      </c>
      <c r="E487" s="5" t="s">
        <v>2743</v>
      </c>
      <c r="F487" s="5">
        <v>8.9</v>
      </c>
      <c r="G487" s="5">
        <v>1</v>
      </c>
      <c r="H487" s="5" t="s">
        <v>616</v>
      </c>
      <c r="I487" s="5">
        <v>0</v>
      </c>
      <c r="J487" s="5" t="s">
        <v>617</v>
      </c>
      <c r="K487" s="7" t="s">
        <v>2744</v>
      </c>
      <c r="L487" s="5" t="s">
        <v>2745</v>
      </c>
    </row>
    <row r="488" spans="1:12" ht="65" customHeight="1">
      <c r="A488" s="5" t="s">
        <v>2381</v>
      </c>
      <c r="B488" s="5" t="s">
        <v>2382</v>
      </c>
      <c r="C488" s="5" t="s">
        <v>2746</v>
      </c>
      <c r="D488" s="5" t="s">
        <v>2747</v>
      </c>
      <c r="E488" s="6"/>
      <c r="F488" s="5">
        <v>0</v>
      </c>
      <c r="G488" s="5">
        <v>0</v>
      </c>
      <c r="H488" s="5" t="s">
        <v>616</v>
      </c>
      <c r="I488" s="5">
        <v>0</v>
      </c>
      <c r="J488" s="5" t="s">
        <v>657</v>
      </c>
      <c r="K488" s="7" t="s">
        <v>2748</v>
      </c>
      <c r="L488" s="5" t="s">
        <v>2749</v>
      </c>
    </row>
    <row r="489" spans="1:12" ht="65" customHeight="1">
      <c r="A489" s="5" t="s">
        <v>2381</v>
      </c>
      <c r="B489" s="5" t="s">
        <v>2382</v>
      </c>
      <c r="C489" s="5" t="s">
        <v>2750</v>
      </c>
      <c r="D489" s="5" t="s">
        <v>2751</v>
      </c>
      <c r="E489" s="6"/>
      <c r="F489" s="5">
        <v>0</v>
      </c>
      <c r="G489" s="5">
        <v>0</v>
      </c>
      <c r="H489" s="5" t="s">
        <v>616</v>
      </c>
      <c r="I489" s="5">
        <v>0</v>
      </c>
      <c r="J489" s="5" t="s">
        <v>657</v>
      </c>
      <c r="K489" s="7" t="s">
        <v>2752</v>
      </c>
      <c r="L489" s="5" t="s">
        <v>2753</v>
      </c>
    </row>
    <row r="490" spans="1:12" ht="65" customHeight="1">
      <c r="A490" s="5" t="s">
        <v>2381</v>
      </c>
      <c r="B490" s="5" t="s">
        <v>2382</v>
      </c>
      <c r="C490" s="5" t="s">
        <v>2754</v>
      </c>
      <c r="D490" s="5" t="s">
        <v>2755</v>
      </c>
      <c r="E490" s="6"/>
      <c r="F490" s="5">
        <v>0</v>
      </c>
      <c r="G490" s="5">
        <v>0</v>
      </c>
      <c r="H490" s="5" t="s">
        <v>616</v>
      </c>
      <c r="I490" s="5">
        <v>0</v>
      </c>
      <c r="J490" s="5" t="s">
        <v>657</v>
      </c>
      <c r="K490" s="7" t="s">
        <v>2756</v>
      </c>
      <c r="L490" s="5" t="s">
        <v>2757</v>
      </c>
    </row>
    <row r="491" spans="1:12" ht="65" customHeight="1">
      <c r="A491" s="5" t="s">
        <v>2381</v>
      </c>
      <c r="B491" s="5" t="s">
        <v>2382</v>
      </c>
      <c r="C491" s="5" t="s">
        <v>2758</v>
      </c>
      <c r="D491" s="5" t="s">
        <v>2759</v>
      </c>
      <c r="E491" s="6"/>
      <c r="F491" s="5">
        <v>0</v>
      </c>
      <c r="G491" s="5">
        <v>0</v>
      </c>
      <c r="H491" s="5" t="s">
        <v>616</v>
      </c>
      <c r="I491" s="5">
        <v>0</v>
      </c>
      <c r="J491" s="5" t="s">
        <v>657</v>
      </c>
      <c r="K491" s="7" t="s">
        <v>2760</v>
      </c>
      <c r="L491" s="5" t="s">
        <v>2761</v>
      </c>
    </row>
    <row r="492" spans="1:12" ht="65" customHeight="1">
      <c r="A492" s="5" t="s">
        <v>2381</v>
      </c>
      <c r="B492" s="5" t="s">
        <v>2382</v>
      </c>
      <c r="C492" s="5" t="s">
        <v>2762</v>
      </c>
      <c r="D492" s="5" t="s">
        <v>2763</v>
      </c>
      <c r="E492" s="6"/>
      <c r="F492" s="5">
        <v>0</v>
      </c>
      <c r="G492" s="5">
        <v>0</v>
      </c>
      <c r="H492" s="5" t="s">
        <v>616</v>
      </c>
      <c r="I492" s="5">
        <v>0</v>
      </c>
      <c r="J492" s="5" t="s">
        <v>657</v>
      </c>
      <c r="K492" s="7" t="s">
        <v>2764</v>
      </c>
      <c r="L492" s="5" t="s">
        <v>2765</v>
      </c>
    </row>
    <row r="493" spans="1:12" ht="65" customHeight="1">
      <c r="A493" s="5" t="s">
        <v>2381</v>
      </c>
      <c r="B493" s="5" t="s">
        <v>2382</v>
      </c>
      <c r="C493" s="5" t="s">
        <v>2766</v>
      </c>
      <c r="D493" s="5" t="s">
        <v>2767</v>
      </c>
      <c r="E493" s="6"/>
      <c r="F493" s="5">
        <v>0</v>
      </c>
      <c r="G493" s="5">
        <v>0</v>
      </c>
      <c r="H493" s="5" t="s">
        <v>616</v>
      </c>
      <c r="I493" s="5">
        <v>0</v>
      </c>
      <c r="J493" s="5" t="s">
        <v>657</v>
      </c>
      <c r="K493" s="7" t="s">
        <v>2768</v>
      </c>
      <c r="L493" s="5" t="s">
        <v>2769</v>
      </c>
    </row>
    <row r="494" spans="1:12" ht="65" customHeight="1">
      <c r="A494" s="5" t="s">
        <v>2381</v>
      </c>
      <c r="B494" s="5" t="s">
        <v>2382</v>
      </c>
      <c r="C494" s="5" t="s">
        <v>2770</v>
      </c>
      <c r="D494" s="5" t="s">
        <v>2771</v>
      </c>
      <c r="E494" s="5" t="s">
        <v>2772</v>
      </c>
      <c r="F494" s="5">
        <v>2.9</v>
      </c>
      <c r="G494" s="5">
        <v>1</v>
      </c>
      <c r="H494" s="5" t="s">
        <v>616</v>
      </c>
      <c r="I494" s="5">
        <v>0</v>
      </c>
      <c r="J494" s="5" t="s">
        <v>617</v>
      </c>
      <c r="K494" s="7" t="s">
        <v>2773</v>
      </c>
      <c r="L494" s="5" t="s">
        <v>2774</v>
      </c>
    </row>
    <row r="495" spans="1:12" ht="65" customHeight="1">
      <c r="A495" s="5" t="s">
        <v>2381</v>
      </c>
      <c r="B495" s="5" t="s">
        <v>2382</v>
      </c>
      <c r="C495" s="5" t="s">
        <v>2775</v>
      </c>
      <c r="D495" s="5" t="s">
        <v>2776</v>
      </c>
      <c r="E495" s="6"/>
      <c r="F495" s="5">
        <v>0</v>
      </c>
      <c r="G495" s="5">
        <v>0</v>
      </c>
      <c r="H495" s="5" t="s">
        <v>616</v>
      </c>
      <c r="I495" s="5">
        <v>0</v>
      </c>
      <c r="J495" s="5" t="s">
        <v>657</v>
      </c>
      <c r="K495" s="7" t="s">
        <v>2777</v>
      </c>
      <c r="L495" s="5" t="s">
        <v>2778</v>
      </c>
    </row>
    <row r="496" spans="1:12" ht="65" customHeight="1">
      <c r="A496" s="5" t="s">
        <v>2381</v>
      </c>
      <c r="B496" s="5" t="s">
        <v>2382</v>
      </c>
      <c r="C496" s="5" t="s">
        <v>2779</v>
      </c>
      <c r="D496" s="5" t="s">
        <v>2780</v>
      </c>
      <c r="E496" s="5" t="s">
        <v>2781</v>
      </c>
      <c r="F496" s="5">
        <v>7</v>
      </c>
      <c r="G496" s="5">
        <v>50</v>
      </c>
      <c r="H496" s="5" t="s">
        <v>616</v>
      </c>
      <c r="I496" s="5">
        <v>0</v>
      </c>
      <c r="J496" s="5" t="s">
        <v>617</v>
      </c>
      <c r="K496" s="7" t="s">
        <v>2782</v>
      </c>
      <c r="L496" s="5" t="s">
        <v>2783</v>
      </c>
    </row>
    <row r="497" spans="1:12" ht="65" customHeight="1">
      <c r="A497" s="5" t="s">
        <v>2381</v>
      </c>
      <c r="B497" s="5" t="s">
        <v>2382</v>
      </c>
      <c r="C497" s="5" t="s">
        <v>2784</v>
      </c>
      <c r="D497" s="5" t="s">
        <v>2516</v>
      </c>
      <c r="E497" s="6"/>
      <c r="F497" s="5">
        <v>0</v>
      </c>
      <c r="G497" s="5">
        <v>0</v>
      </c>
      <c r="H497" s="5" t="s">
        <v>616</v>
      </c>
      <c r="I497" s="5">
        <v>0</v>
      </c>
      <c r="J497" s="5" t="s">
        <v>657</v>
      </c>
      <c r="K497" s="7" t="s">
        <v>2785</v>
      </c>
      <c r="L497" s="5" t="s">
        <v>2786</v>
      </c>
    </row>
    <row r="498" spans="1:12" ht="65" customHeight="1">
      <c r="A498" s="5" t="s">
        <v>2381</v>
      </c>
      <c r="B498" s="5" t="s">
        <v>2382</v>
      </c>
      <c r="C498" s="5" t="s">
        <v>2787</v>
      </c>
      <c r="D498" s="5" t="s">
        <v>2788</v>
      </c>
      <c r="E498" s="6"/>
      <c r="F498" s="5">
        <v>0</v>
      </c>
      <c r="G498" s="5">
        <v>0</v>
      </c>
      <c r="H498" s="5" t="s">
        <v>616</v>
      </c>
      <c r="I498" s="5">
        <v>0</v>
      </c>
      <c r="J498" s="5" t="s">
        <v>657</v>
      </c>
      <c r="K498" s="7" t="s">
        <v>2789</v>
      </c>
      <c r="L498" s="5" t="s">
        <v>2790</v>
      </c>
    </row>
    <row r="499" spans="1:12" ht="65" customHeight="1">
      <c r="A499" s="5" t="s">
        <v>2381</v>
      </c>
      <c r="B499" s="5" t="s">
        <v>2382</v>
      </c>
      <c r="C499" s="5" t="s">
        <v>2791</v>
      </c>
      <c r="D499" s="5" t="s">
        <v>2792</v>
      </c>
      <c r="E499" s="6"/>
      <c r="F499" s="5">
        <v>0</v>
      </c>
      <c r="G499" s="5">
        <v>0</v>
      </c>
      <c r="H499" s="5" t="s">
        <v>616</v>
      </c>
      <c r="I499" s="5">
        <v>0</v>
      </c>
      <c r="J499" s="5" t="s">
        <v>657</v>
      </c>
      <c r="K499" s="7" t="s">
        <v>2793</v>
      </c>
      <c r="L499" s="5" t="s">
        <v>2794</v>
      </c>
    </row>
    <row r="500" spans="1:12" ht="65" customHeight="1">
      <c r="A500" s="5" t="s">
        <v>2381</v>
      </c>
      <c r="B500" s="5" t="s">
        <v>2382</v>
      </c>
      <c r="C500" s="5" t="s">
        <v>2795</v>
      </c>
      <c r="D500" s="5" t="s">
        <v>2796</v>
      </c>
      <c r="E500" s="6"/>
      <c r="F500" s="5">
        <v>0</v>
      </c>
      <c r="G500" s="5">
        <v>0</v>
      </c>
      <c r="H500" s="5" t="s">
        <v>616</v>
      </c>
      <c r="I500" s="5">
        <v>0</v>
      </c>
      <c r="J500" s="5" t="s">
        <v>657</v>
      </c>
      <c r="K500" s="7" t="s">
        <v>2797</v>
      </c>
      <c r="L500" s="5" t="s">
        <v>2798</v>
      </c>
    </row>
    <row r="501" spans="1:12" ht="65" customHeight="1">
      <c r="A501" s="5" t="s">
        <v>2381</v>
      </c>
      <c r="B501" s="5" t="s">
        <v>2382</v>
      </c>
      <c r="C501" s="5" t="s">
        <v>2799</v>
      </c>
      <c r="D501" s="5" t="s">
        <v>2800</v>
      </c>
      <c r="E501" s="6"/>
      <c r="F501" s="5">
        <v>0</v>
      </c>
      <c r="G501" s="5">
        <v>0</v>
      </c>
      <c r="H501" s="5" t="s">
        <v>616</v>
      </c>
      <c r="I501" s="5">
        <v>0</v>
      </c>
      <c r="J501" s="5" t="s">
        <v>657</v>
      </c>
      <c r="K501" s="7" t="s">
        <v>2801</v>
      </c>
      <c r="L501" s="5" t="s">
        <v>2802</v>
      </c>
    </row>
    <row r="502" spans="1:12" ht="65" customHeight="1">
      <c r="A502" s="5" t="s">
        <v>2381</v>
      </c>
      <c r="B502" s="5" t="s">
        <v>2382</v>
      </c>
      <c r="C502" s="5" t="s">
        <v>2803</v>
      </c>
      <c r="D502" s="5" t="s">
        <v>2804</v>
      </c>
      <c r="E502" s="6"/>
      <c r="F502" s="5">
        <v>0</v>
      </c>
      <c r="G502" s="5">
        <v>0</v>
      </c>
      <c r="H502" s="5" t="s">
        <v>616</v>
      </c>
      <c r="I502" s="5">
        <v>0</v>
      </c>
      <c r="J502" s="5" t="s">
        <v>657</v>
      </c>
      <c r="K502" s="7" t="s">
        <v>2805</v>
      </c>
      <c r="L502" s="5" t="s">
        <v>2806</v>
      </c>
    </row>
    <row r="503" spans="1:12" ht="65" customHeight="1">
      <c r="A503" s="5" t="s">
        <v>2381</v>
      </c>
      <c r="B503" s="5" t="s">
        <v>2382</v>
      </c>
      <c r="C503" s="5" t="s">
        <v>2807</v>
      </c>
      <c r="D503" s="5" t="s">
        <v>2808</v>
      </c>
      <c r="E503" s="6"/>
      <c r="F503" s="5">
        <v>0</v>
      </c>
      <c r="G503" s="5">
        <v>0</v>
      </c>
      <c r="H503" s="5" t="s">
        <v>616</v>
      </c>
      <c r="I503" s="5">
        <v>0</v>
      </c>
      <c r="J503" s="5" t="s">
        <v>657</v>
      </c>
      <c r="K503" s="7" t="s">
        <v>2809</v>
      </c>
      <c r="L503" s="5" t="s">
        <v>2810</v>
      </c>
    </row>
    <row r="504" spans="1:12" ht="65" customHeight="1">
      <c r="A504" s="5" t="s">
        <v>2381</v>
      </c>
      <c r="B504" s="5" t="s">
        <v>2382</v>
      </c>
      <c r="C504" s="5" t="s">
        <v>2811</v>
      </c>
      <c r="D504" s="5" t="s">
        <v>2812</v>
      </c>
      <c r="E504" s="6"/>
      <c r="F504" s="5">
        <v>0</v>
      </c>
      <c r="G504" s="5">
        <v>0</v>
      </c>
      <c r="H504" s="5" t="s">
        <v>616</v>
      </c>
      <c r="I504" s="5">
        <v>0</v>
      </c>
      <c r="J504" s="5" t="s">
        <v>657</v>
      </c>
      <c r="K504" s="7" t="s">
        <v>2813</v>
      </c>
      <c r="L504" s="5" t="s">
        <v>2814</v>
      </c>
    </row>
    <row r="505" spans="1:12" ht="65" customHeight="1">
      <c r="A505" s="5" t="s">
        <v>2815</v>
      </c>
      <c r="B505" s="5" t="s">
        <v>2816</v>
      </c>
      <c r="C505" s="5" t="s">
        <v>2817</v>
      </c>
      <c r="D505" s="5" t="s">
        <v>2818</v>
      </c>
      <c r="E505" s="5" t="s">
        <v>2819</v>
      </c>
      <c r="F505" s="5">
        <v>0.03</v>
      </c>
      <c r="G505" s="5">
        <v>1</v>
      </c>
      <c r="H505" s="5" t="s">
        <v>623</v>
      </c>
      <c r="I505" s="5">
        <v>962632246</v>
      </c>
      <c r="J505" s="5" t="s">
        <v>617</v>
      </c>
      <c r="K505" s="7" t="s">
        <v>161</v>
      </c>
      <c r="L505" s="5" t="s">
        <v>389</v>
      </c>
    </row>
    <row r="506" spans="1:12" ht="65" customHeight="1">
      <c r="A506" s="5" t="s">
        <v>2815</v>
      </c>
      <c r="B506" s="5" t="s">
        <v>2816</v>
      </c>
      <c r="C506" s="5" t="s">
        <v>2820</v>
      </c>
      <c r="D506" s="5" t="s">
        <v>2821</v>
      </c>
      <c r="E506" s="5" t="s">
        <v>1576</v>
      </c>
      <c r="F506" s="5">
        <v>0.08</v>
      </c>
      <c r="G506" s="5">
        <v>1</v>
      </c>
      <c r="H506" s="5" t="s">
        <v>616</v>
      </c>
      <c r="I506" s="5">
        <v>18637638</v>
      </c>
      <c r="J506" s="5" t="s">
        <v>617</v>
      </c>
      <c r="K506" s="7" t="s">
        <v>2822</v>
      </c>
      <c r="L506" s="5" t="s">
        <v>2823</v>
      </c>
    </row>
    <row r="507" spans="1:12" ht="65" customHeight="1">
      <c r="A507" s="5" t="s">
        <v>2815</v>
      </c>
      <c r="B507" s="5" t="s">
        <v>2816</v>
      </c>
      <c r="C507" s="5" t="s">
        <v>2824</v>
      </c>
      <c r="D507" s="5" t="s">
        <v>2825</v>
      </c>
      <c r="E507" s="5" t="s">
        <v>2826</v>
      </c>
      <c r="F507" s="5">
        <v>0.05</v>
      </c>
      <c r="G507" s="5">
        <v>1</v>
      </c>
      <c r="H507" s="5" t="s">
        <v>616</v>
      </c>
      <c r="I507" s="5">
        <v>129735011</v>
      </c>
      <c r="J507" s="5" t="s">
        <v>617</v>
      </c>
      <c r="K507" s="7" t="s">
        <v>2827</v>
      </c>
      <c r="L507" s="5" t="s">
        <v>2828</v>
      </c>
    </row>
    <row r="508" spans="1:12" ht="65" customHeight="1">
      <c r="A508" s="5" t="s">
        <v>2815</v>
      </c>
      <c r="B508" s="5" t="s">
        <v>2816</v>
      </c>
      <c r="C508" s="5" t="s">
        <v>2829</v>
      </c>
      <c r="D508" s="5" t="s">
        <v>2830</v>
      </c>
      <c r="E508" s="5" t="s">
        <v>2831</v>
      </c>
      <c r="F508" s="5">
        <v>0.05</v>
      </c>
      <c r="G508" s="5">
        <v>1</v>
      </c>
      <c r="H508" s="5" t="s">
        <v>616</v>
      </c>
      <c r="I508" s="5">
        <v>88403991</v>
      </c>
      <c r="J508" s="5" t="s">
        <v>617</v>
      </c>
      <c r="K508" s="7" t="s">
        <v>2832</v>
      </c>
      <c r="L508" s="5" t="s">
        <v>2833</v>
      </c>
    </row>
    <row r="509" spans="1:12" ht="65" customHeight="1">
      <c r="A509" s="5" t="s">
        <v>2815</v>
      </c>
      <c r="B509" s="5" t="s">
        <v>2816</v>
      </c>
      <c r="C509" s="5" t="s">
        <v>2834</v>
      </c>
      <c r="D509" s="5" t="s">
        <v>2835</v>
      </c>
      <c r="E509" s="5" t="s">
        <v>1576</v>
      </c>
      <c r="F509" s="5">
        <v>0.05</v>
      </c>
      <c r="G509" s="5">
        <v>1</v>
      </c>
      <c r="H509" s="5" t="s">
        <v>616</v>
      </c>
      <c r="I509" s="5">
        <v>6887391</v>
      </c>
      <c r="J509" s="5" t="s">
        <v>617</v>
      </c>
      <c r="K509" s="7" t="s">
        <v>2836</v>
      </c>
      <c r="L509" s="5" t="s">
        <v>2837</v>
      </c>
    </row>
    <row r="510" spans="1:12" ht="65" customHeight="1">
      <c r="A510" s="5" t="s">
        <v>2815</v>
      </c>
      <c r="B510" s="5" t="s">
        <v>2816</v>
      </c>
      <c r="C510" s="5" t="s">
        <v>2838</v>
      </c>
      <c r="D510" s="5" t="s">
        <v>2839</v>
      </c>
      <c r="E510" s="5" t="s">
        <v>2840</v>
      </c>
      <c r="F510" s="5">
        <v>0.05</v>
      </c>
      <c r="G510" s="5">
        <v>1</v>
      </c>
      <c r="H510" s="5" t="s">
        <v>623</v>
      </c>
      <c r="I510" s="5">
        <v>27362162</v>
      </c>
      <c r="J510" s="5" t="s">
        <v>617</v>
      </c>
      <c r="K510" s="7" t="s">
        <v>2841</v>
      </c>
      <c r="L510" s="5" t="s">
        <v>2842</v>
      </c>
    </row>
    <row r="511" spans="1:12" ht="65" customHeight="1">
      <c r="A511" s="5" t="s">
        <v>2815</v>
      </c>
      <c r="B511" s="5" t="s">
        <v>2816</v>
      </c>
      <c r="C511" s="5" t="s">
        <v>2843</v>
      </c>
      <c r="D511" s="5" t="s">
        <v>2844</v>
      </c>
      <c r="E511" s="5" t="s">
        <v>2845</v>
      </c>
      <c r="F511" s="5">
        <v>0.06</v>
      </c>
      <c r="G511" s="5">
        <v>1</v>
      </c>
      <c r="H511" s="5" t="s">
        <v>616</v>
      </c>
      <c r="I511" s="5">
        <v>199809980</v>
      </c>
      <c r="J511" s="5" t="s">
        <v>617</v>
      </c>
      <c r="K511" s="7" t="s">
        <v>2846</v>
      </c>
      <c r="L511" s="5" t="s">
        <v>2847</v>
      </c>
    </row>
    <row r="512" spans="1:12" ht="65" customHeight="1">
      <c r="A512" s="5" t="s">
        <v>2815</v>
      </c>
      <c r="B512" s="5" t="s">
        <v>2816</v>
      </c>
      <c r="C512" s="5" t="s">
        <v>2848</v>
      </c>
      <c r="D512" s="5" t="s">
        <v>2849</v>
      </c>
      <c r="E512" s="5" t="s">
        <v>2850</v>
      </c>
      <c r="F512" s="5">
        <v>0.08</v>
      </c>
      <c r="G512" s="5">
        <v>1</v>
      </c>
      <c r="H512" s="5" t="s">
        <v>623</v>
      </c>
      <c r="I512" s="5">
        <v>73610789</v>
      </c>
      <c r="J512" s="5" t="s">
        <v>617</v>
      </c>
      <c r="K512" s="7" t="s">
        <v>2851</v>
      </c>
      <c r="L512" s="5" t="s">
        <v>2852</v>
      </c>
    </row>
    <row r="513" spans="1:12" ht="65" customHeight="1">
      <c r="A513" s="5" t="s">
        <v>2815</v>
      </c>
      <c r="B513" s="5" t="s">
        <v>2816</v>
      </c>
      <c r="C513" s="5" t="s">
        <v>2853</v>
      </c>
      <c r="D513" s="5" t="s">
        <v>2854</v>
      </c>
      <c r="E513" s="5" t="s">
        <v>2855</v>
      </c>
      <c r="F513" s="5">
        <v>0.04</v>
      </c>
      <c r="G513" s="5">
        <v>1</v>
      </c>
      <c r="H513" s="5" t="s">
        <v>616</v>
      </c>
      <c r="I513" s="5">
        <v>2572410</v>
      </c>
      <c r="J513" s="5" t="s">
        <v>617</v>
      </c>
      <c r="K513" s="7" t="s">
        <v>2856</v>
      </c>
      <c r="L513" s="5" t="s">
        <v>2857</v>
      </c>
    </row>
    <row r="514" spans="1:12" ht="65" customHeight="1">
      <c r="A514" s="5" t="s">
        <v>2815</v>
      </c>
      <c r="B514" s="5" t="s">
        <v>2816</v>
      </c>
      <c r="C514" s="5" t="s">
        <v>2858</v>
      </c>
      <c r="D514" s="5" t="s">
        <v>2859</v>
      </c>
      <c r="E514" s="5" t="s">
        <v>2860</v>
      </c>
      <c r="F514" s="5">
        <v>0.18</v>
      </c>
      <c r="G514" s="5">
        <v>1</v>
      </c>
      <c r="H514" s="5" t="s">
        <v>616</v>
      </c>
      <c r="I514" s="5">
        <v>34678474</v>
      </c>
      <c r="J514" s="5" t="s">
        <v>617</v>
      </c>
      <c r="K514" s="7" t="s">
        <v>2861</v>
      </c>
      <c r="L514" s="5" t="s">
        <v>2862</v>
      </c>
    </row>
    <row r="515" spans="1:12" ht="65" customHeight="1">
      <c r="A515" s="5" t="s">
        <v>2815</v>
      </c>
      <c r="B515" s="5" t="s">
        <v>2816</v>
      </c>
      <c r="C515" s="5" t="s">
        <v>2863</v>
      </c>
      <c r="D515" s="5" t="s">
        <v>2864</v>
      </c>
      <c r="E515" s="5" t="s">
        <v>2865</v>
      </c>
      <c r="F515" s="5">
        <v>0.16</v>
      </c>
      <c r="G515" s="5">
        <v>1</v>
      </c>
      <c r="H515" s="5" t="s">
        <v>616</v>
      </c>
      <c r="I515" s="5">
        <v>990700706</v>
      </c>
      <c r="J515" s="5" t="s">
        <v>617</v>
      </c>
      <c r="K515" s="7" t="s">
        <v>2866</v>
      </c>
      <c r="L515" s="5" t="s">
        <v>2867</v>
      </c>
    </row>
    <row r="516" spans="1:12" ht="65" customHeight="1">
      <c r="A516" s="5" t="s">
        <v>2815</v>
      </c>
      <c r="B516" s="5" t="s">
        <v>2816</v>
      </c>
      <c r="C516" s="5" t="s">
        <v>2868</v>
      </c>
      <c r="D516" s="5" t="s">
        <v>2869</v>
      </c>
      <c r="E516" s="5" t="s">
        <v>2870</v>
      </c>
      <c r="F516" s="5">
        <v>0.07000000000000001</v>
      </c>
      <c r="G516" s="5">
        <v>1</v>
      </c>
      <c r="H516" s="5" t="s">
        <v>623</v>
      </c>
      <c r="I516" s="5">
        <v>373640876</v>
      </c>
      <c r="J516" s="5" t="s">
        <v>617</v>
      </c>
      <c r="K516" s="7" t="s">
        <v>2871</v>
      </c>
      <c r="L516" s="5" t="s">
        <v>2872</v>
      </c>
    </row>
    <row r="517" spans="1:12" ht="65" customHeight="1">
      <c r="A517" s="5" t="s">
        <v>2815</v>
      </c>
      <c r="B517" s="5" t="s">
        <v>2816</v>
      </c>
      <c r="C517" s="5" t="s">
        <v>2873</v>
      </c>
      <c r="D517" s="5" t="s">
        <v>2874</v>
      </c>
      <c r="E517" s="5" t="s">
        <v>2875</v>
      </c>
      <c r="F517" s="5">
        <v>0.07000000000000001</v>
      </c>
      <c r="G517" s="5">
        <v>1</v>
      </c>
      <c r="H517" s="5" t="s">
        <v>616</v>
      </c>
      <c r="I517" s="5">
        <v>30082175</v>
      </c>
      <c r="J517" s="5" t="s">
        <v>617</v>
      </c>
      <c r="K517" s="7" t="s">
        <v>2876</v>
      </c>
      <c r="L517" s="5" t="s">
        <v>2877</v>
      </c>
    </row>
    <row r="518" spans="1:12" ht="65" customHeight="1">
      <c r="A518" s="5" t="s">
        <v>2815</v>
      </c>
      <c r="B518" s="5" t="s">
        <v>2816</v>
      </c>
      <c r="C518" s="5" t="s">
        <v>2878</v>
      </c>
      <c r="D518" s="5" t="s">
        <v>2879</v>
      </c>
      <c r="E518" s="5" t="s">
        <v>2865</v>
      </c>
      <c r="F518" s="5">
        <v>0.04</v>
      </c>
      <c r="G518" s="5">
        <v>1</v>
      </c>
      <c r="H518" s="5" t="s">
        <v>616</v>
      </c>
      <c r="I518" s="5">
        <v>522675646</v>
      </c>
      <c r="J518" s="5" t="s">
        <v>617</v>
      </c>
      <c r="K518" s="7" t="s">
        <v>2880</v>
      </c>
      <c r="L518" s="5" t="s">
        <v>2881</v>
      </c>
    </row>
    <row r="519" spans="1:12" ht="65" customHeight="1">
      <c r="A519" s="5" t="s">
        <v>2815</v>
      </c>
      <c r="B519" s="5" t="s">
        <v>2816</v>
      </c>
      <c r="C519" s="5" t="s">
        <v>2882</v>
      </c>
      <c r="D519" s="5" t="s">
        <v>2864</v>
      </c>
      <c r="E519" s="5" t="s">
        <v>2883</v>
      </c>
      <c r="F519" s="5">
        <v>0.31</v>
      </c>
      <c r="G519" s="5">
        <v>1</v>
      </c>
      <c r="H519" s="5" t="s">
        <v>616</v>
      </c>
      <c r="I519" s="5">
        <v>622355776</v>
      </c>
      <c r="J519" s="5" t="s">
        <v>617</v>
      </c>
      <c r="K519" s="7" t="s">
        <v>2884</v>
      </c>
      <c r="L519" s="5" t="s">
        <v>2885</v>
      </c>
    </row>
    <row r="520" spans="1:12" ht="65" customHeight="1">
      <c r="A520" s="5" t="s">
        <v>2815</v>
      </c>
      <c r="B520" s="5" t="s">
        <v>2816</v>
      </c>
      <c r="C520" s="5" t="s">
        <v>2886</v>
      </c>
      <c r="D520" s="5" t="s">
        <v>2887</v>
      </c>
      <c r="E520" s="5" t="s">
        <v>2855</v>
      </c>
      <c r="F520" s="5">
        <v>0.07000000000000001</v>
      </c>
      <c r="G520" s="5">
        <v>1</v>
      </c>
      <c r="H520" s="5" t="s">
        <v>623</v>
      </c>
      <c r="I520" s="5">
        <v>1566537</v>
      </c>
      <c r="J520" s="5" t="s">
        <v>617</v>
      </c>
      <c r="K520" s="7" t="s">
        <v>2888</v>
      </c>
      <c r="L520" s="5" t="s">
        <v>2889</v>
      </c>
    </row>
    <row r="521" spans="1:12" ht="65" customHeight="1">
      <c r="A521" s="5" t="s">
        <v>2815</v>
      </c>
      <c r="B521" s="5" t="s">
        <v>2816</v>
      </c>
      <c r="C521" s="5" t="s">
        <v>2890</v>
      </c>
      <c r="D521" s="5" t="s">
        <v>2891</v>
      </c>
      <c r="E521" s="5" t="s">
        <v>2892</v>
      </c>
      <c r="F521" s="5">
        <v>0.14</v>
      </c>
      <c r="G521" s="5">
        <v>1</v>
      </c>
      <c r="H521" s="5" t="s">
        <v>616</v>
      </c>
      <c r="I521" s="5">
        <v>48787188</v>
      </c>
      <c r="J521" s="5" t="s">
        <v>617</v>
      </c>
      <c r="K521" s="7" t="s">
        <v>2893</v>
      </c>
      <c r="L521" s="5" t="s">
        <v>2894</v>
      </c>
    </row>
    <row r="522" spans="1:12" ht="65" customHeight="1">
      <c r="A522" s="5" t="s">
        <v>2815</v>
      </c>
      <c r="B522" s="5" t="s">
        <v>2816</v>
      </c>
      <c r="C522" s="5" t="s">
        <v>2895</v>
      </c>
      <c r="D522" s="5" t="s">
        <v>2896</v>
      </c>
      <c r="E522" s="5" t="s">
        <v>1576</v>
      </c>
      <c r="F522" s="5">
        <v>0.08</v>
      </c>
      <c r="G522" s="5">
        <v>1</v>
      </c>
      <c r="H522" s="5" t="s">
        <v>616</v>
      </c>
      <c r="I522" s="5">
        <v>94262179</v>
      </c>
      <c r="J522" s="5" t="s">
        <v>617</v>
      </c>
      <c r="K522" s="7" t="s">
        <v>2897</v>
      </c>
      <c r="L522" s="5" t="s">
        <v>2898</v>
      </c>
    </row>
    <row r="523" spans="1:12" ht="65" customHeight="1">
      <c r="A523" s="5" t="s">
        <v>2815</v>
      </c>
      <c r="B523" s="5" t="s">
        <v>2816</v>
      </c>
      <c r="C523" s="5" t="s">
        <v>2899</v>
      </c>
      <c r="D523" s="5" t="s">
        <v>2900</v>
      </c>
      <c r="E523" s="5" t="s">
        <v>2901</v>
      </c>
      <c r="F523" s="5">
        <v>0.19</v>
      </c>
      <c r="G523" s="5">
        <v>1</v>
      </c>
      <c r="H523" s="5" t="s">
        <v>616</v>
      </c>
      <c r="I523" s="5">
        <v>196377442</v>
      </c>
      <c r="J523" s="5" t="s">
        <v>617</v>
      </c>
      <c r="K523" s="7" t="s">
        <v>2902</v>
      </c>
      <c r="L523" s="5" t="s">
        <v>2903</v>
      </c>
    </row>
    <row r="524" spans="1:12" ht="65" customHeight="1">
      <c r="A524" s="5" t="s">
        <v>2815</v>
      </c>
      <c r="B524" s="5" t="s">
        <v>2816</v>
      </c>
      <c r="C524" s="5" t="s">
        <v>2904</v>
      </c>
      <c r="D524" s="5" t="s">
        <v>2905</v>
      </c>
      <c r="E524" s="5" t="s">
        <v>2906</v>
      </c>
      <c r="F524" s="5">
        <v>0.5</v>
      </c>
      <c r="G524" s="5">
        <v>1</v>
      </c>
      <c r="H524" s="5" t="s">
        <v>616</v>
      </c>
      <c r="I524" s="5">
        <v>88614417</v>
      </c>
      <c r="J524" s="5" t="s">
        <v>617</v>
      </c>
      <c r="K524" s="7" t="s">
        <v>2907</v>
      </c>
      <c r="L524" s="5" t="s">
        <v>2908</v>
      </c>
    </row>
    <row r="525" spans="1:12" ht="65" customHeight="1">
      <c r="A525" s="5" t="s">
        <v>2815</v>
      </c>
      <c r="B525" s="5" t="s">
        <v>2816</v>
      </c>
      <c r="C525" s="5" t="s">
        <v>2909</v>
      </c>
      <c r="D525" s="5" t="s">
        <v>2910</v>
      </c>
      <c r="E525" s="5" t="s">
        <v>2911</v>
      </c>
      <c r="F525" s="5">
        <v>0.5</v>
      </c>
      <c r="G525" s="5">
        <v>100</v>
      </c>
      <c r="H525" s="5" t="s">
        <v>616</v>
      </c>
      <c r="I525" s="5">
        <v>468934</v>
      </c>
      <c r="J525" s="5" t="s">
        <v>617</v>
      </c>
      <c r="K525" s="7" t="s">
        <v>2912</v>
      </c>
      <c r="L525" s="5" t="s">
        <v>2913</v>
      </c>
    </row>
    <row r="526" spans="1:12" ht="65" customHeight="1">
      <c r="A526" s="5" t="s">
        <v>2815</v>
      </c>
      <c r="B526" s="5" t="s">
        <v>2816</v>
      </c>
      <c r="C526" s="5" t="s">
        <v>2914</v>
      </c>
      <c r="D526" s="5" t="s">
        <v>2915</v>
      </c>
      <c r="E526" s="5" t="s">
        <v>2916</v>
      </c>
      <c r="F526" s="5">
        <v>0.23</v>
      </c>
      <c r="G526" s="5">
        <v>1</v>
      </c>
      <c r="H526" s="5" t="s">
        <v>623</v>
      </c>
      <c r="I526" s="5">
        <v>242534095</v>
      </c>
      <c r="J526" s="5" t="s">
        <v>617</v>
      </c>
      <c r="K526" s="7" t="s">
        <v>2917</v>
      </c>
      <c r="L526" s="5" t="s">
        <v>2918</v>
      </c>
    </row>
    <row r="527" spans="1:12" ht="65" customHeight="1">
      <c r="A527" s="5" t="s">
        <v>2815</v>
      </c>
      <c r="B527" s="5" t="s">
        <v>2816</v>
      </c>
      <c r="C527" s="5" t="s">
        <v>2919</v>
      </c>
      <c r="D527" s="5" t="s">
        <v>2920</v>
      </c>
      <c r="E527" s="5" t="s">
        <v>2921</v>
      </c>
      <c r="F527" s="5">
        <v>0.1</v>
      </c>
      <c r="G527" s="5">
        <v>1</v>
      </c>
      <c r="H527" s="5" t="s">
        <v>616</v>
      </c>
      <c r="I527" s="5">
        <v>12935519</v>
      </c>
      <c r="J527" s="5" t="s">
        <v>617</v>
      </c>
      <c r="K527" s="7" t="s">
        <v>2922</v>
      </c>
      <c r="L527" s="5" t="s">
        <v>2923</v>
      </c>
    </row>
    <row r="528" spans="1:12" ht="65" customHeight="1">
      <c r="A528" s="5" t="s">
        <v>2815</v>
      </c>
      <c r="B528" s="5" t="s">
        <v>2816</v>
      </c>
      <c r="C528" s="5" t="s">
        <v>2924</v>
      </c>
      <c r="D528" s="5" t="s">
        <v>2925</v>
      </c>
      <c r="E528" s="5" t="s">
        <v>2926</v>
      </c>
      <c r="F528" s="5">
        <v>0.36</v>
      </c>
      <c r="G528" s="5">
        <v>1</v>
      </c>
      <c r="H528" s="5" t="s">
        <v>616</v>
      </c>
      <c r="I528" s="5">
        <v>209650829</v>
      </c>
      <c r="J528" s="5" t="s">
        <v>617</v>
      </c>
      <c r="K528" s="7" t="s">
        <v>2927</v>
      </c>
      <c r="L528" s="5" t="s">
        <v>2928</v>
      </c>
    </row>
    <row r="529" spans="1:12" ht="65" customHeight="1">
      <c r="A529" s="5" t="s">
        <v>2815</v>
      </c>
      <c r="B529" s="5" t="s">
        <v>2816</v>
      </c>
      <c r="C529" s="5" t="s">
        <v>2929</v>
      </c>
      <c r="D529" s="5" t="s">
        <v>2930</v>
      </c>
      <c r="E529" s="5" t="s">
        <v>2931</v>
      </c>
      <c r="F529" s="5">
        <v>0.45</v>
      </c>
      <c r="G529" s="5">
        <v>500</v>
      </c>
      <c r="H529" s="5" t="s">
        <v>616</v>
      </c>
      <c r="I529" s="5">
        <v>999439085</v>
      </c>
      <c r="J529" s="5" t="s">
        <v>617</v>
      </c>
      <c r="K529" s="7" t="s">
        <v>2932</v>
      </c>
      <c r="L529" s="5" t="s">
        <v>2933</v>
      </c>
    </row>
    <row r="530" spans="1:12" ht="65" customHeight="1">
      <c r="A530" s="5" t="s">
        <v>2815</v>
      </c>
      <c r="B530" s="5" t="s">
        <v>2816</v>
      </c>
      <c r="C530" s="5" t="s">
        <v>2934</v>
      </c>
      <c r="D530" s="5" t="s">
        <v>2935</v>
      </c>
      <c r="E530" s="5" t="s">
        <v>2865</v>
      </c>
      <c r="F530" s="5">
        <v>0.04</v>
      </c>
      <c r="G530" s="5">
        <v>1</v>
      </c>
      <c r="H530" s="5" t="s">
        <v>616</v>
      </c>
      <c r="I530" s="5">
        <v>769838269</v>
      </c>
      <c r="J530" s="5" t="s">
        <v>617</v>
      </c>
      <c r="K530" s="7" t="s">
        <v>2936</v>
      </c>
      <c r="L530" s="5" t="s">
        <v>2937</v>
      </c>
    </row>
    <row r="531" spans="1:12" ht="65" customHeight="1">
      <c r="A531" s="5" t="s">
        <v>2815</v>
      </c>
      <c r="B531" s="5" t="s">
        <v>2816</v>
      </c>
      <c r="C531" s="5" t="s">
        <v>2938</v>
      </c>
      <c r="D531" s="5" t="s">
        <v>2939</v>
      </c>
      <c r="E531" s="5" t="s">
        <v>2940</v>
      </c>
      <c r="F531" s="5">
        <v>0.27</v>
      </c>
      <c r="G531" s="5">
        <v>1</v>
      </c>
      <c r="H531" s="5" t="s">
        <v>616</v>
      </c>
      <c r="I531" s="5">
        <v>69985246</v>
      </c>
      <c r="J531" s="5" t="s">
        <v>617</v>
      </c>
      <c r="K531" s="7" t="s">
        <v>2941</v>
      </c>
      <c r="L531" s="5" t="s">
        <v>2942</v>
      </c>
    </row>
    <row r="532" spans="1:12" ht="65" customHeight="1">
      <c r="A532" s="5" t="s">
        <v>2815</v>
      </c>
      <c r="B532" s="5" t="s">
        <v>2816</v>
      </c>
      <c r="C532" s="5" t="s">
        <v>2943</v>
      </c>
      <c r="D532" s="5" t="s">
        <v>2944</v>
      </c>
      <c r="E532" s="5" t="s">
        <v>2945</v>
      </c>
      <c r="F532" s="5">
        <v>0.08</v>
      </c>
      <c r="G532" s="5">
        <v>1</v>
      </c>
      <c r="H532" s="5" t="s">
        <v>616</v>
      </c>
      <c r="I532" s="5">
        <v>14429675</v>
      </c>
      <c r="J532" s="5" t="s">
        <v>617</v>
      </c>
      <c r="K532" s="7" t="s">
        <v>2946</v>
      </c>
      <c r="L532" s="5" t="s">
        <v>2947</v>
      </c>
    </row>
    <row r="533" spans="1:12" ht="65" customHeight="1">
      <c r="A533" s="5" t="s">
        <v>2815</v>
      </c>
      <c r="B533" s="5" t="s">
        <v>2816</v>
      </c>
      <c r="C533" s="5" t="s">
        <v>2948</v>
      </c>
      <c r="D533" s="5" t="s">
        <v>2949</v>
      </c>
      <c r="E533" s="5" t="s">
        <v>2950</v>
      </c>
      <c r="F533" s="5">
        <v>0.74</v>
      </c>
      <c r="G533" s="5">
        <v>1</v>
      </c>
      <c r="H533" s="5" t="s">
        <v>623</v>
      </c>
      <c r="I533" s="5">
        <v>31107008</v>
      </c>
      <c r="J533" s="5" t="s">
        <v>617</v>
      </c>
      <c r="K533" s="7" t="s">
        <v>2951</v>
      </c>
      <c r="L533" s="5" t="s">
        <v>2952</v>
      </c>
    </row>
    <row r="534" spans="1:12" ht="65" customHeight="1">
      <c r="A534" s="5" t="s">
        <v>2815</v>
      </c>
      <c r="B534" s="5" t="s">
        <v>2816</v>
      </c>
      <c r="C534" s="5" t="s">
        <v>2953</v>
      </c>
      <c r="D534" s="5" t="s">
        <v>2954</v>
      </c>
      <c r="E534" s="5" t="s">
        <v>2955</v>
      </c>
      <c r="F534" s="5">
        <v>0.9</v>
      </c>
      <c r="G534" s="5">
        <v>10</v>
      </c>
      <c r="H534" s="5" t="s">
        <v>623</v>
      </c>
      <c r="I534" s="5">
        <v>302974</v>
      </c>
      <c r="J534" s="5" t="s">
        <v>617</v>
      </c>
      <c r="K534" s="7" t="s">
        <v>2956</v>
      </c>
      <c r="L534" s="5" t="s">
        <v>2957</v>
      </c>
    </row>
    <row r="535" spans="1:12" ht="65" customHeight="1">
      <c r="A535" s="5" t="s">
        <v>2815</v>
      </c>
      <c r="B535" s="5" t="s">
        <v>2816</v>
      </c>
      <c r="C535" s="5" t="s">
        <v>2958</v>
      </c>
      <c r="D535" s="5" t="s">
        <v>2959</v>
      </c>
      <c r="E535" s="5" t="s">
        <v>2960</v>
      </c>
      <c r="F535" s="5">
        <v>0.08</v>
      </c>
      <c r="G535" s="5">
        <v>1</v>
      </c>
      <c r="H535" s="5" t="s">
        <v>616</v>
      </c>
      <c r="I535" s="5">
        <v>5438240</v>
      </c>
      <c r="J535" s="5" t="s">
        <v>617</v>
      </c>
      <c r="K535" s="7" t="s">
        <v>2961</v>
      </c>
      <c r="L535" s="5" t="s">
        <v>2962</v>
      </c>
    </row>
    <row r="536" spans="1:12" ht="65" customHeight="1">
      <c r="A536" s="5" t="s">
        <v>2815</v>
      </c>
      <c r="B536" s="5" t="s">
        <v>2816</v>
      </c>
      <c r="C536" s="5" t="s">
        <v>2963</v>
      </c>
      <c r="D536" s="5" t="s">
        <v>2964</v>
      </c>
      <c r="E536" s="6"/>
      <c r="F536" s="5">
        <v>0</v>
      </c>
      <c r="G536" s="5">
        <v>0</v>
      </c>
      <c r="H536" s="5" t="s">
        <v>616</v>
      </c>
      <c r="I536" s="5">
        <v>0</v>
      </c>
      <c r="J536" s="5" t="s">
        <v>657</v>
      </c>
      <c r="K536" s="7" t="s">
        <v>2965</v>
      </c>
      <c r="L536" s="5" t="s">
        <v>2966</v>
      </c>
    </row>
    <row r="537" spans="1:12" ht="65" customHeight="1">
      <c r="A537" s="5" t="s">
        <v>2815</v>
      </c>
      <c r="B537" s="5" t="s">
        <v>2816</v>
      </c>
      <c r="C537" s="5" t="s">
        <v>2967</v>
      </c>
      <c r="D537" s="5" t="s">
        <v>2968</v>
      </c>
      <c r="E537" s="5" t="s">
        <v>1601</v>
      </c>
      <c r="F537" s="5">
        <v>0</v>
      </c>
      <c r="G537" s="5">
        <v>1</v>
      </c>
      <c r="H537" s="5" t="s">
        <v>616</v>
      </c>
      <c r="I537" s="5">
        <v>0</v>
      </c>
      <c r="J537" s="5" t="s">
        <v>657</v>
      </c>
      <c r="K537" s="7" t="s">
        <v>2969</v>
      </c>
      <c r="L537" s="5" t="s">
        <v>2970</v>
      </c>
    </row>
    <row r="538" spans="1:12" ht="65" customHeight="1">
      <c r="A538" s="5" t="s">
        <v>2815</v>
      </c>
      <c r="B538" s="5" t="s">
        <v>2816</v>
      </c>
      <c r="C538" s="5" t="s">
        <v>1513</v>
      </c>
      <c r="D538" s="5" t="s">
        <v>1514</v>
      </c>
      <c r="E538" s="5" t="s">
        <v>1515</v>
      </c>
      <c r="F538" s="5">
        <v>0</v>
      </c>
      <c r="G538" s="5">
        <v>2</v>
      </c>
      <c r="H538" s="5" t="s">
        <v>616</v>
      </c>
      <c r="I538" s="5">
        <v>0</v>
      </c>
      <c r="J538" s="5" t="s">
        <v>657</v>
      </c>
      <c r="K538" s="7" t="s">
        <v>1516</v>
      </c>
      <c r="L538" s="5" t="s">
        <v>2971</v>
      </c>
    </row>
    <row r="539" spans="1:12" ht="65" customHeight="1">
      <c r="A539" s="5" t="s">
        <v>2815</v>
      </c>
      <c r="B539" s="5" t="s">
        <v>2816</v>
      </c>
      <c r="C539" s="5" t="s">
        <v>2972</v>
      </c>
      <c r="D539" s="5" t="s">
        <v>2973</v>
      </c>
      <c r="E539" s="5" t="s">
        <v>2974</v>
      </c>
      <c r="F539" s="5">
        <v>0.66</v>
      </c>
      <c r="G539" s="5">
        <v>1</v>
      </c>
      <c r="H539" s="5" t="s">
        <v>623</v>
      </c>
      <c r="I539" s="5">
        <v>5513581</v>
      </c>
      <c r="J539" s="5" t="s">
        <v>617</v>
      </c>
      <c r="K539" s="7" t="s">
        <v>2975</v>
      </c>
      <c r="L539" s="5" t="s">
        <v>2976</v>
      </c>
    </row>
    <row r="540" spans="1:12" ht="65" customHeight="1">
      <c r="A540" s="5" t="s">
        <v>2815</v>
      </c>
      <c r="B540" s="5" t="s">
        <v>2816</v>
      </c>
      <c r="C540" s="5" t="s">
        <v>2977</v>
      </c>
      <c r="D540" s="5" t="s">
        <v>2978</v>
      </c>
      <c r="E540" s="5" t="s">
        <v>2979</v>
      </c>
      <c r="F540" s="5">
        <v>0.1</v>
      </c>
      <c r="G540" s="5">
        <v>2</v>
      </c>
      <c r="H540" s="5" t="s">
        <v>616</v>
      </c>
      <c r="I540" s="5">
        <v>88802479</v>
      </c>
      <c r="J540" s="5" t="s">
        <v>617</v>
      </c>
      <c r="K540" s="7" t="s">
        <v>2980</v>
      </c>
      <c r="L540" s="5" t="s">
        <v>2981</v>
      </c>
    </row>
    <row r="541" spans="1:12" ht="65" customHeight="1">
      <c r="A541" s="5" t="s">
        <v>2815</v>
      </c>
      <c r="B541" s="5" t="s">
        <v>2816</v>
      </c>
      <c r="C541" s="5" t="s">
        <v>2982</v>
      </c>
      <c r="D541" s="5" t="s">
        <v>2983</v>
      </c>
      <c r="E541" s="5" t="s">
        <v>633</v>
      </c>
      <c r="F541" s="5">
        <v>0</v>
      </c>
      <c r="G541" s="5">
        <v>3</v>
      </c>
      <c r="H541" s="5" t="s">
        <v>616</v>
      </c>
      <c r="I541" s="5">
        <v>0</v>
      </c>
      <c r="J541" s="5" t="s">
        <v>657</v>
      </c>
      <c r="K541" s="7" t="s">
        <v>2984</v>
      </c>
      <c r="L541" s="5" t="s">
        <v>2985</v>
      </c>
    </row>
    <row r="542" spans="1:12" ht="65" customHeight="1">
      <c r="A542" s="5" t="s">
        <v>2815</v>
      </c>
      <c r="B542" s="5" t="s">
        <v>2816</v>
      </c>
      <c r="C542" s="5" t="s">
        <v>2986</v>
      </c>
      <c r="D542" s="5" t="s">
        <v>2987</v>
      </c>
      <c r="E542" s="5" t="s">
        <v>2988</v>
      </c>
      <c r="F542" s="5">
        <v>0</v>
      </c>
      <c r="G542" s="5">
        <v>2</v>
      </c>
      <c r="H542" s="5" t="s">
        <v>616</v>
      </c>
      <c r="I542" s="5">
        <v>0</v>
      </c>
      <c r="J542" s="5" t="s">
        <v>657</v>
      </c>
      <c r="K542" s="7" t="s">
        <v>2989</v>
      </c>
      <c r="L542" s="5" t="s">
        <v>2990</v>
      </c>
    </row>
    <row r="543" spans="1:12" ht="65" customHeight="1">
      <c r="A543" s="5" t="s">
        <v>2815</v>
      </c>
      <c r="B543" s="5" t="s">
        <v>2816</v>
      </c>
      <c r="C543" s="5" t="s">
        <v>2991</v>
      </c>
      <c r="D543" s="5" t="s">
        <v>2992</v>
      </c>
      <c r="E543" s="5" t="s">
        <v>2993</v>
      </c>
      <c r="F543" s="5">
        <v>0</v>
      </c>
      <c r="G543" s="5">
        <v>1</v>
      </c>
      <c r="H543" s="5" t="s">
        <v>616</v>
      </c>
      <c r="I543" s="5">
        <v>0</v>
      </c>
      <c r="J543" s="5" t="s">
        <v>657</v>
      </c>
      <c r="K543" s="7" t="s">
        <v>2994</v>
      </c>
      <c r="L543" s="5" t="s">
        <v>2995</v>
      </c>
    </row>
    <row r="544" spans="1:12" ht="65" customHeight="1">
      <c r="A544" s="5" t="s">
        <v>2815</v>
      </c>
      <c r="B544" s="5" t="s">
        <v>2816</v>
      </c>
      <c r="C544" s="5" t="s">
        <v>2996</v>
      </c>
      <c r="D544" s="5" t="s">
        <v>2997</v>
      </c>
      <c r="E544" s="5" t="s">
        <v>2998</v>
      </c>
      <c r="F544" s="5">
        <v>0</v>
      </c>
      <c r="G544" s="5">
        <v>1</v>
      </c>
      <c r="H544" s="5" t="s">
        <v>616</v>
      </c>
      <c r="I544" s="5">
        <v>0</v>
      </c>
      <c r="J544" s="5" t="s">
        <v>657</v>
      </c>
      <c r="K544" s="7" t="s">
        <v>2999</v>
      </c>
      <c r="L544" s="5" t="s">
        <v>3000</v>
      </c>
    </row>
    <row r="545" spans="1:12" ht="65" customHeight="1">
      <c r="A545" s="5" t="s">
        <v>2815</v>
      </c>
      <c r="B545" s="5" t="s">
        <v>2816</v>
      </c>
      <c r="C545" s="5" t="s">
        <v>3001</v>
      </c>
      <c r="D545" s="5" t="s">
        <v>3002</v>
      </c>
      <c r="E545" s="5" t="s">
        <v>3003</v>
      </c>
      <c r="F545" s="5">
        <v>0.05</v>
      </c>
      <c r="G545" s="5">
        <v>100000</v>
      </c>
      <c r="H545" s="5" t="s">
        <v>616</v>
      </c>
      <c r="I545" s="5">
        <v>17000</v>
      </c>
      <c r="J545" s="5" t="s">
        <v>617</v>
      </c>
      <c r="K545" s="7" t="s">
        <v>3004</v>
      </c>
      <c r="L545" s="5" t="s">
        <v>3005</v>
      </c>
    </row>
    <row r="546" spans="1:12" ht="65" customHeight="1">
      <c r="A546" s="5" t="s">
        <v>2815</v>
      </c>
      <c r="B546" s="5" t="s">
        <v>2816</v>
      </c>
      <c r="C546" s="5" t="s">
        <v>3006</v>
      </c>
      <c r="D546" s="5" t="s">
        <v>3007</v>
      </c>
      <c r="E546" s="5" t="s">
        <v>3008</v>
      </c>
      <c r="F546" s="5">
        <v>0</v>
      </c>
      <c r="G546" s="5">
        <v>1</v>
      </c>
      <c r="H546" s="5" t="s">
        <v>616</v>
      </c>
      <c r="I546" s="5">
        <v>0</v>
      </c>
      <c r="J546" s="5" t="s">
        <v>657</v>
      </c>
      <c r="K546" s="7" t="s">
        <v>3009</v>
      </c>
      <c r="L546" s="5" t="s">
        <v>3010</v>
      </c>
    </row>
    <row r="547" spans="1:12" ht="65" customHeight="1">
      <c r="A547" s="5" t="s">
        <v>2815</v>
      </c>
      <c r="B547" s="5" t="s">
        <v>2816</v>
      </c>
      <c r="C547" s="5" t="s">
        <v>3011</v>
      </c>
      <c r="D547" s="5" t="s">
        <v>3012</v>
      </c>
      <c r="E547" s="5" t="s">
        <v>2998</v>
      </c>
      <c r="F547" s="5">
        <v>0</v>
      </c>
      <c r="G547" s="5">
        <v>1</v>
      </c>
      <c r="H547" s="5" t="s">
        <v>616</v>
      </c>
      <c r="I547" s="5">
        <v>0</v>
      </c>
      <c r="J547" s="5" t="s">
        <v>657</v>
      </c>
      <c r="K547" s="7" t="s">
        <v>3013</v>
      </c>
      <c r="L547" s="5" t="s">
        <v>3014</v>
      </c>
    </row>
    <row r="548" spans="1:12" ht="65" customHeight="1">
      <c r="A548" s="5" t="s">
        <v>2815</v>
      </c>
      <c r="B548" s="5" t="s">
        <v>2816</v>
      </c>
      <c r="C548" s="5" t="s">
        <v>3015</v>
      </c>
      <c r="D548" s="5" t="s">
        <v>1610</v>
      </c>
      <c r="E548" s="5" t="s">
        <v>2098</v>
      </c>
      <c r="F548" s="5">
        <v>0</v>
      </c>
      <c r="G548" s="5">
        <v>1</v>
      </c>
      <c r="H548" s="5" t="s">
        <v>616</v>
      </c>
      <c r="I548" s="5">
        <v>0</v>
      </c>
      <c r="J548" s="5" t="s">
        <v>657</v>
      </c>
      <c r="K548" s="7" t="s">
        <v>3016</v>
      </c>
      <c r="L548" s="5" t="s">
        <v>3017</v>
      </c>
    </row>
    <row r="549" spans="1:12" ht="65" customHeight="1">
      <c r="A549" s="5" t="s">
        <v>2815</v>
      </c>
      <c r="B549" s="5" t="s">
        <v>2816</v>
      </c>
      <c r="C549" s="5" t="s">
        <v>1559</v>
      </c>
      <c r="D549" s="5" t="s">
        <v>1560</v>
      </c>
      <c r="E549" s="5" t="s">
        <v>1561</v>
      </c>
      <c r="F549" s="5">
        <v>0</v>
      </c>
      <c r="G549" s="5">
        <v>0</v>
      </c>
      <c r="H549" s="5" t="s">
        <v>616</v>
      </c>
      <c r="I549" s="5">
        <v>0</v>
      </c>
      <c r="J549" s="5" t="s">
        <v>657</v>
      </c>
      <c r="K549" s="7" t="s">
        <v>1562</v>
      </c>
      <c r="L549" s="5" t="s">
        <v>3018</v>
      </c>
    </row>
    <row r="550" spans="1:12" ht="65" customHeight="1">
      <c r="A550" s="5" t="s">
        <v>2815</v>
      </c>
      <c r="B550" s="5" t="s">
        <v>2816</v>
      </c>
      <c r="C550" s="5" t="s">
        <v>3019</v>
      </c>
      <c r="D550" s="5" t="s">
        <v>3020</v>
      </c>
      <c r="E550" s="5" t="s">
        <v>2855</v>
      </c>
      <c r="F550" s="5">
        <v>0</v>
      </c>
      <c r="G550" s="5">
        <v>1</v>
      </c>
      <c r="H550" s="5" t="s">
        <v>616</v>
      </c>
      <c r="I550" s="5">
        <v>0</v>
      </c>
      <c r="J550" s="5" t="s">
        <v>657</v>
      </c>
      <c r="K550" s="7" t="s">
        <v>3021</v>
      </c>
      <c r="L550" s="5" t="s">
        <v>3022</v>
      </c>
    </row>
    <row r="551" spans="1:12" ht="65" customHeight="1">
      <c r="A551" s="5" t="s">
        <v>2815</v>
      </c>
      <c r="B551" s="5" t="s">
        <v>2816</v>
      </c>
      <c r="C551" s="5" t="s">
        <v>3023</v>
      </c>
      <c r="D551" s="5" t="s">
        <v>3024</v>
      </c>
      <c r="E551" s="5" t="s">
        <v>3025</v>
      </c>
      <c r="F551" s="5">
        <v>0.5</v>
      </c>
      <c r="G551" s="5">
        <v>100</v>
      </c>
      <c r="H551" s="5" t="s">
        <v>616</v>
      </c>
      <c r="I551" s="5">
        <v>0</v>
      </c>
      <c r="J551" s="5" t="s">
        <v>617</v>
      </c>
      <c r="K551" s="7" t="s">
        <v>3026</v>
      </c>
      <c r="L551" s="5" t="s">
        <v>3027</v>
      </c>
    </row>
    <row r="552" spans="1:12" ht="65" customHeight="1">
      <c r="A552" s="5" t="s">
        <v>2815</v>
      </c>
      <c r="B552" s="5" t="s">
        <v>2816</v>
      </c>
      <c r="C552" s="5" t="s">
        <v>3028</v>
      </c>
      <c r="D552" s="5" t="s">
        <v>1791</v>
      </c>
      <c r="E552" s="5" t="s">
        <v>3029</v>
      </c>
      <c r="F552" s="5">
        <v>1.6</v>
      </c>
      <c r="G552" s="5">
        <v>1</v>
      </c>
      <c r="H552" s="5" t="s">
        <v>616</v>
      </c>
      <c r="I552" s="5">
        <v>0</v>
      </c>
      <c r="J552" s="5" t="s">
        <v>617</v>
      </c>
      <c r="K552" s="7" t="s">
        <v>3030</v>
      </c>
      <c r="L552" s="5" t="s">
        <v>3031</v>
      </c>
    </row>
    <row r="553" spans="1:12" ht="65" customHeight="1">
      <c r="A553" s="5" t="s">
        <v>2815</v>
      </c>
      <c r="B553" s="5" t="s">
        <v>2816</v>
      </c>
      <c r="C553" s="5" t="s">
        <v>3032</v>
      </c>
      <c r="D553" s="5" t="s">
        <v>3033</v>
      </c>
      <c r="E553" s="5" t="s">
        <v>2098</v>
      </c>
      <c r="F553" s="5">
        <v>0</v>
      </c>
      <c r="G553" s="5">
        <v>1</v>
      </c>
      <c r="H553" s="5" t="s">
        <v>616</v>
      </c>
      <c r="I553" s="5">
        <v>0</v>
      </c>
      <c r="J553" s="5" t="s">
        <v>657</v>
      </c>
      <c r="K553" s="7" t="s">
        <v>3034</v>
      </c>
      <c r="L553" s="5" t="s">
        <v>3035</v>
      </c>
    </row>
    <row r="554" spans="1:12" ht="65" customHeight="1">
      <c r="A554" s="5" t="s">
        <v>2815</v>
      </c>
      <c r="B554" s="5" t="s">
        <v>2816</v>
      </c>
      <c r="C554" s="5" t="s">
        <v>3036</v>
      </c>
      <c r="D554" s="5" t="s">
        <v>3037</v>
      </c>
      <c r="E554" s="5" t="s">
        <v>3038</v>
      </c>
      <c r="F554" s="5">
        <v>0.3</v>
      </c>
      <c r="G554" s="5">
        <v>1</v>
      </c>
      <c r="H554" s="5" t="s">
        <v>616</v>
      </c>
      <c r="I554" s="5">
        <v>0</v>
      </c>
      <c r="J554" s="5" t="s">
        <v>617</v>
      </c>
      <c r="K554" s="7" t="s">
        <v>3039</v>
      </c>
      <c r="L554" s="5" t="s">
        <v>3040</v>
      </c>
    </row>
    <row r="555" spans="1:12" ht="65" customHeight="1">
      <c r="A555" s="5" t="s">
        <v>2815</v>
      </c>
      <c r="B555" s="5" t="s">
        <v>2816</v>
      </c>
      <c r="C555" s="5" t="s">
        <v>3041</v>
      </c>
      <c r="D555" s="5" t="s">
        <v>3042</v>
      </c>
      <c r="E555" s="5" t="s">
        <v>3038</v>
      </c>
      <c r="F555" s="5">
        <v>0</v>
      </c>
      <c r="G555" s="5">
        <v>1</v>
      </c>
      <c r="H555" s="5" t="s">
        <v>616</v>
      </c>
      <c r="I555" s="5">
        <v>0</v>
      </c>
      <c r="J555" s="5" t="s">
        <v>657</v>
      </c>
      <c r="K555" s="7" t="s">
        <v>3043</v>
      </c>
      <c r="L555" s="5" t="s">
        <v>3044</v>
      </c>
    </row>
    <row r="556" spans="1:12" ht="65" customHeight="1">
      <c r="A556" s="5" t="s">
        <v>2815</v>
      </c>
      <c r="B556" s="5" t="s">
        <v>2816</v>
      </c>
      <c r="C556" s="5" t="s">
        <v>3045</v>
      </c>
      <c r="D556" s="5" t="s">
        <v>3046</v>
      </c>
      <c r="E556" s="5" t="s">
        <v>2875</v>
      </c>
      <c r="F556" s="5">
        <v>0</v>
      </c>
      <c r="G556" s="5">
        <v>1</v>
      </c>
      <c r="H556" s="5" t="s">
        <v>616</v>
      </c>
      <c r="I556" s="5">
        <v>0</v>
      </c>
      <c r="J556" s="5" t="s">
        <v>657</v>
      </c>
      <c r="K556" s="7" t="s">
        <v>3047</v>
      </c>
      <c r="L556" s="5" t="s">
        <v>3048</v>
      </c>
    </row>
    <row r="557" spans="1:12" ht="65" customHeight="1">
      <c r="A557" s="5" t="s">
        <v>2815</v>
      </c>
      <c r="B557" s="5" t="s">
        <v>2816</v>
      </c>
      <c r="C557" s="5" t="s">
        <v>3049</v>
      </c>
      <c r="D557" s="5" t="s">
        <v>3050</v>
      </c>
      <c r="E557" s="5" t="s">
        <v>3051</v>
      </c>
      <c r="F557" s="5">
        <v>0</v>
      </c>
      <c r="G557" s="5">
        <v>1</v>
      </c>
      <c r="H557" s="5" t="s">
        <v>616</v>
      </c>
      <c r="I557" s="5">
        <v>0</v>
      </c>
      <c r="J557" s="5" t="s">
        <v>657</v>
      </c>
      <c r="K557" s="7" t="s">
        <v>3052</v>
      </c>
      <c r="L557" s="5" t="s">
        <v>3053</v>
      </c>
    </row>
    <row r="558" spans="1:12" ht="65" customHeight="1">
      <c r="A558" s="5" t="s">
        <v>2815</v>
      </c>
      <c r="B558" s="5" t="s">
        <v>2816</v>
      </c>
      <c r="C558" s="5" t="s">
        <v>3054</v>
      </c>
      <c r="D558" s="5" t="s">
        <v>3055</v>
      </c>
      <c r="E558" s="5" t="s">
        <v>3056</v>
      </c>
      <c r="F558" s="5">
        <v>0</v>
      </c>
      <c r="G558" s="5">
        <v>1</v>
      </c>
      <c r="H558" s="5" t="s">
        <v>616</v>
      </c>
      <c r="I558" s="5">
        <v>0</v>
      </c>
      <c r="J558" s="5" t="s">
        <v>657</v>
      </c>
      <c r="K558" s="7" t="s">
        <v>3057</v>
      </c>
      <c r="L558" s="5" t="s">
        <v>3058</v>
      </c>
    </row>
    <row r="559" spans="1:12" ht="65" customHeight="1">
      <c r="A559" s="5" t="s">
        <v>2815</v>
      </c>
      <c r="B559" s="5" t="s">
        <v>2816</v>
      </c>
      <c r="C559" s="5" t="s">
        <v>3059</v>
      </c>
      <c r="D559" s="5" t="s">
        <v>3060</v>
      </c>
      <c r="E559" s="5" t="s">
        <v>3061</v>
      </c>
      <c r="F559" s="5">
        <v>0</v>
      </c>
      <c r="G559" s="5">
        <v>0</v>
      </c>
      <c r="H559" s="5" t="s">
        <v>616</v>
      </c>
      <c r="I559" s="5">
        <v>0</v>
      </c>
      <c r="J559" s="5" t="s">
        <v>657</v>
      </c>
      <c r="K559" s="7" t="s">
        <v>3062</v>
      </c>
      <c r="L559" s="5" t="s">
        <v>3063</v>
      </c>
    </row>
    <row r="560" spans="1:12" ht="65" customHeight="1">
      <c r="A560" s="5" t="s">
        <v>2815</v>
      </c>
      <c r="B560" s="5" t="s">
        <v>2816</v>
      </c>
      <c r="C560" s="5" t="s">
        <v>3064</v>
      </c>
      <c r="D560" s="5" t="s">
        <v>3065</v>
      </c>
      <c r="E560" s="5" t="s">
        <v>3066</v>
      </c>
      <c r="F560" s="5">
        <v>0</v>
      </c>
      <c r="G560" s="5">
        <v>1</v>
      </c>
      <c r="H560" s="5" t="s">
        <v>616</v>
      </c>
      <c r="I560" s="5">
        <v>0</v>
      </c>
      <c r="J560" s="5" t="s">
        <v>657</v>
      </c>
      <c r="K560" s="7" t="s">
        <v>3067</v>
      </c>
      <c r="L560" s="5" t="s">
        <v>3068</v>
      </c>
    </row>
    <row r="561" spans="1:12" ht="65" customHeight="1">
      <c r="A561" s="5" t="s">
        <v>2815</v>
      </c>
      <c r="B561" s="5" t="s">
        <v>2816</v>
      </c>
      <c r="C561" s="5" t="s">
        <v>3069</v>
      </c>
      <c r="D561" s="5" t="s">
        <v>3070</v>
      </c>
      <c r="E561" s="5" t="s">
        <v>3071</v>
      </c>
      <c r="F561" s="5">
        <v>0</v>
      </c>
      <c r="G561" s="5">
        <v>1</v>
      </c>
      <c r="H561" s="5" t="s">
        <v>616</v>
      </c>
      <c r="I561" s="5">
        <v>0</v>
      </c>
      <c r="J561" s="5" t="s">
        <v>657</v>
      </c>
      <c r="K561" s="7" t="s">
        <v>3072</v>
      </c>
      <c r="L561" s="5" t="s">
        <v>3073</v>
      </c>
    </row>
    <row r="562" spans="1:12" ht="65" customHeight="1">
      <c r="A562" s="5" t="s">
        <v>2815</v>
      </c>
      <c r="B562" s="5" t="s">
        <v>2816</v>
      </c>
      <c r="C562" s="5" t="s">
        <v>1589</v>
      </c>
      <c r="D562" s="5" t="s">
        <v>1590</v>
      </c>
      <c r="E562" s="5" t="s">
        <v>1591</v>
      </c>
      <c r="F562" s="5">
        <v>0</v>
      </c>
      <c r="G562" s="5">
        <v>1</v>
      </c>
      <c r="H562" s="5" t="s">
        <v>616</v>
      </c>
      <c r="I562" s="5">
        <v>0</v>
      </c>
      <c r="J562" s="5" t="s">
        <v>657</v>
      </c>
      <c r="K562" s="7" t="s">
        <v>1592</v>
      </c>
      <c r="L562" s="5" t="s">
        <v>3074</v>
      </c>
    </row>
    <row r="563" spans="1:12" ht="65" customHeight="1">
      <c r="A563" s="5" t="s">
        <v>2815</v>
      </c>
      <c r="B563" s="5" t="s">
        <v>2816</v>
      </c>
      <c r="C563" s="5" t="s">
        <v>3075</v>
      </c>
      <c r="D563" s="5" t="s">
        <v>3076</v>
      </c>
      <c r="E563" s="5" t="s">
        <v>3077</v>
      </c>
      <c r="F563" s="5">
        <v>0</v>
      </c>
      <c r="G563" s="5">
        <v>1000</v>
      </c>
      <c r="H563" s="5" t="s">
        <v>616</v>
      </c>
      <c r="I563" s="5">
        <v>0</v>
      </c>
      <c r="J563" s="5" t="s">
        <v>657</v>
      </c>
      <c r="K563" s="7" t="s">
        <v>3078</v>
      </c>
      <c r="L563" s="5" t="s">
        <v>3079</v>
      </c>
    </row>
    <row r="564" spans="1:12" ht="65" customHeight="1">
      <c r="A564" s="5" t="s">
        <v>2815</v>
      </c>
      <c r="B564" s="5" t="s">
        <v>2816</v>
      </c>
      <c r="C564" s="5" t="s">
        <v>3080</v>
      </c>
      <c r="D564" s="5" t="s">
        <v>3081</v>
      </c>
      <c r="E564" s="5" t="s">
        <v>1576</v>
      </c>
      <c r="F564" s="5">
        <v>0</v>
      </c>
      <c r="G564" s="5">
        <v>1</v>
      </c>
      <c r="H564" s="5" t="s">
        <v>616</v>
      </c>
      <c r="I564" s="5">
        <v>0</v>
      </c>
      <c r="J564" s="5" t="s">
        <v>657</v>
      </c>
      <c r="K564" s="7" t="s">
        <v>3082</v>
      </c>
      <c r="L564" s="5" t="s">
        <v>3083</v>
      </c>
    </row>
    <row r="565" spans="1:12" ht="65" customHeight="1">
      <c r="A565" s="5" t="s">
        <v>2815</v>
      </c>
      <c r="B565" s="5" t="s">
        <v>2816</v>
      </c>
      <c r="C565" s="5" t="s">
        <v>3084</v>
      </c>
      <c r="D565" s="5" t="s">
        <v>3085</v>
      </c>
      <c r="E565" s="5" t="s">
        <v>2875</v>
      </c>
      <c r="F565" s="5">
        <v>0.12</v>
      </c>
      <c r="G565" s="5">
        <v>1</v>
      </c>
      <c r="H565" s="5" t="s">
        <v>616</v>
      </c>
      <c r="I565" s="5">
        <v>0</v>
      </c>
      <c r="J565" s="5" t="s">
        <v>617</v>
      </c>
      <c r="K565" s="7" t="s">
        <v>3086</v>
      </c>
      <c r="L565" s="5" t="s">
        <v>3087</v>
      </c>
    </row>
    <row r="566" spans="1:12" ht="65" customHeight="1">
      <c r="A566" s="5" t="s">
        <v>2815</v>
      </c>
      <c r="B566" s="5" t="s">
        <v>2816</v>
      </c>
      <c r="C566" s="5" t="s">
        <v>3088</v>
      </c>
      <c r="D566" s="5" t="s">
        <v>3089</v>
      </c>
      <c r="E566" s="5" t="s">
        <v>2931</v>
      </c>
      <c r="F566" s="5">
        <v>0</v>
      </c>
      <c r="G566" s="5">
        <v>1</v>
      </c>
      <c r="H566" s="5" t="s">
        <v>616</v>
      </c>
      <c r="I566" s="5">
        <v>0</v>
      </c>
      <c r="J566" s="5" t="s">
        <v>657</v>
      </c>
      <c r="K566" s="7" t="s">
        <v>3090</v>
      </c>
      <c r="L566" s="5" t="s">
        <v>3091</v>
      </c>
    </row>
    <row r="567" spans="1:12" ht="65" customHeight="1">
      <c r="A567" s="5" t="s">
        <v>2815</v>
      </c>
      <c r="B567" s="5" t="s">
        <v>2816</v>
      </c>
      <c r="C567" s="5" t="s">
        <v>3092</v>
      </c>
      <c r="D567" s="5" t="s">
        <v>3093</v>
      </c>
      <c r="E567" s="5" t="s">
        <v>3094</v>
      </c>
      <c r="F567" s="5">
        <v>0</v>
      </c>
      <c r="G567" s="5">
        <v>1</v>
      </c>
      <c r="H567" s="5" t="s">
        <v>616</v>
      </c>
      <c r="I567" s="5">
        <v>0</v>
      </c>
      <c r="J567" s="5" t="s">
        <v>657</v>
      </c>
      <c r="K567" s="7" t="s">
        <v>3095</v>
      </c>
      <c r="L567" s="5" t="s">
        <v>3096</v>
      </c>
    </row>
    <row r="568" spans="1:12" ht="65" customHeight="1">
      <c r="A568" s="5" t="s">
        <v>2815</v>
      </c>
      <c r="B568" s="5" t="s">
        <v>2816</v>
      </c>
      <c r="C568" s="5" t="s">
        <v>3097</v>
      </c>
      <c r="D568" s="5" t="s">
        <v>3098</v>
      </c>
      <c r="E568" s="5" t="s">
        <v>3099</v>
      </c>
      <c r="F568" s="5">
        <v>0</v>
      </c>
      <c r="G568" s="5">
        <v>1</v>
      </c>
      <c r="H568" s="5" t="s">
        <v>616</v>
      </c>
      <c r="I568" s="5">
        <v>0</v>
      </c>
      <c r="J568" s="5" t="s">
        <v>657</v>
      </c>
      <c r="K568" s="7" t="s">
        <v>3100</v>
      </c>
      <c r="L568" s="5" t="s">
        <v>3101</v>
      </c>
    </row>
    <row r="569" spans="1:12" ht="65" customHeight="1">
      <c r="A569" s="5" t="s">
        <v>2815</v>
      </c>
      <c r="B569" s="5" t="s">
        <v>2816</v>
      </c>
      <c r="C569" s="5" t="s">
        <v>3102</v>
      </c>
      <c r="D569" s="5" t="s">
        <v>3103</v>
      </c>
      <c r="E569" s="5" t="s">
        <v>3038</v>
      </c>
      <c r="F569" s="5">
        <v>0.06</v>
      </c>
      <c r="G569" s="5">
        <v>1</v>
      </c>
      <c r="H569" s="5" t="s">
        <v>616</v>
      </c>
      <c r="I569" s="5">
        <v>303100</v>
      </c>
      <c r="J569" s="5" t="s">
        <v>617</v>
      </c>
      <c r="K569" s="7" t="s">
        <v>3104</v>
      </c>
      <c r="L569" s="5" t="s">
        <v>3105</v>
      </c>
    </row>
    <row r="570" spans="1:12" ht="65" customHeight="1">
      <c r="A570" s="5" t="s">
        <v>2815</v>
      </c>
      <c r="B570" s="5" t="s">
        <v>2816</v>
      </c>
      <c r="C570" s="5" t="s">
        <v>3106</v>
      </c>
      <c r="D570" s="5" t="s">
        <v>3107</v>
      </c>
      <c r="E570" s="5" t="s">
        <v>3108</v>
      </c>
      <c r="F570" s="5">
        <v>0</v>
      </c>
      <c r="G570" s="5">
        <v>1</v>
      </c>
      <c r="H570" s="5" t="s">
        <v>616</v>
      </c>
      <c r="I570" s="5">
        <v>0</v>
      </c>
      <c r="J570" s="5" t="s">
        <v>657</v>
      </c>
      <c r="K570" s="7" t="s">
        <v>3109</v>
      </c>
      <c r="L570" s="5" t="s">
        <v>3110</v>
      </c>
    </row>
    <row r="571" spans="1:12" ht="65" customHeight="1">
      <c r="A571" s="5" t="s">
        <v>2815</v>
      </c>
      <c r="B571" s="5" t="s">
        <v>2816</v>
      </c>
      <c r="C571" s="5" t="s">
        <v>3111</v>
      </c>
      <c r="D571" s="5" t="s">
        <v>3112</v>
      </c>
      <c r="E571" s="6"/>
      <c r="F571" s="5">
        <v>0</v>
      </c>
      <c r="G571" s="5">
        <v>0</v>
      </c>
      <c r="H571" s="5" t="s">
        <v>616</v>
      </c>
      <c r="I571" s="5">
        <v>0</v>
      </c>
      <c r="J571" s="5" t="s">
        <v>657</v>
      </c>
      <c r="K571" s="7" t="s">
        <v>3113</v>
      </c>
      <c r="L571" s="5" t="s">
        <v>3114</v>
      </c>
    </row>
    <row r="572" spans="1:12" ht="65" customHeight="1">
      <c r="A572" s="5" t="s">
        <v>2815</v>
      </c>
      <c r="B572" s="5" t="s">
        <v>2816</v>
      </c>
      <c r="C572" s="5" t="s">
        <v>3115</v>
      </c>
      <c r="D572" s="5" t="s">
        <v>3116</v>
      </c>
      <c r="E572" s="5" t="s">
        <v>3003</v>
      </c>
      <c r="F572" s="5">
        <v>0.06</v>
      </c>
      <c r="G572" s="5">
        <v>3000</v>
      </c>
      <c r="H572" s="5" t="s">
        <v>623</v>
      </c>
      <c r="I572" s="5">
        <v>20385090</v>
      </c>
      <c r="J572" s="5" t="s">
        <v>617</v>
      </c>
      <c r="K572" s="7" t="s">
        <v>3117</v>
      </c>
      <c r="L572" s="5" t="s">
        <v>3118</v>
      </c>
    </row>
    <row r="573" spans="1:12" ht="65" customHeight="1">
      <c r="A573" s="5" t="s">
        <v>2815</v>
      </c>
      <c r="B573" s="5" t="s">
        <v>2816</v>
      </c>
      <c r="C573" s="5" t="s">
        <v>3119</v>
      </c>
      <c r="D573" s="5" t="s">
        <v>3120</v>
      </c>
      <c r="E573" s="6"/>
      <c r="F573" s="5">
        <v>0</v>
      </c>
      <c r="G573" s="5">
        <v>0</v>
      </c>
      <c r="H573" s="5" t="s">
        <v>616</v>
      </c>
      <c r="I573" s="5">
        <v>0</v>
      </c>
      <c r="J573" s="5" t="s">
        <v>657</v>
      </c>
      <c r="K573" s="7" t="s">
        <v>3121</v>
      </c>
      <c r="L573" s="5" t="s">
        <v>3122</v>
      </c>
    </row>
    <row r="574" spans="1:12" ht="65" customHeight="1">
      <c r="A574" s="5" t="s">
        <v>2815</v>
      </c>
      <c r="B574" s="5" t="s">
        <v>2816</v>
      </c>
      <c r="C574" s="5" t="s">
        <v>3123</v>
      </c>
      <c r="D574" s="5" t="s">
        <v>3124</v>
      </c>
      <c r="E574" s="5" t="s">
        <v>3125</v>
      </c>
      <c r="F574" s="5">
        <v>0.29</v>
      </c>
      <c r="G574" s="5">
        <v>1</v>
      </c>
      <c r="H574" s="5" t="s">
        <v>616</v>
      </c>
      <c r="I574" s="5">
        <v>0</v>
      </c>
      <c r="J574" s="5" t="s">
        <v>617</v>
      </c>
      <c r="K574" s="7" t="s">
        <v>3126</v>
      </c>
      <c r="L574" s="5" t="s">
        <v>3127</v>
      </c>
    </row>
    <row r="575" spans="1:12" ht="65" customHeight="1">
      <c r="A575" s="5" t="s">
        <v>2815</v>
      </c>
      <c r="B575" s="5" t="s">
        <v>2816</v>
      </c>
      <c r="C575" s="5" t="s">
        <v>3128</v>
      </c>
      <c r="D575" s="5" t="s">
        <v>3129</v>
      </c>
      <c r="E575" s="6"/>
      <c r="F575" s="5">
        <v>0</v>
      </c>
      <c r="G575" s="5">
        <v>0</v>
      </c>
      <c r="H575" s="5" t="s">
        <v>616</v>
      </c>
      <c r="I575" s="5">
        <v>0</v>
      </c>
      <c r="J575" s="5" t="s">
        <v>657</v>
      </c>
      <c r="K575" s="7" t="s">
        <v>3130</v>
      </c>
      <c r="L575" s="5" t="s">
        <v>3131</v>
      </c>
    </row>
    <row r="576" spans="1:12" ht="65" customHeight="1">
      <c r="A576" s="5" t="s">
        <v>2815</v>
      </c>
      <c r="B576" s="5" t="s">
        <v>2816</v>
      </c>
      <c r="C576" s="5" t="s">
        <v>3132</v>
      </c>
      <c r="D576" s="5" t="s">
        <v>3133</v>
      </c>
      <c r="E576" s="5" t="s">
        <v>3134</v>
      </c>
      <c r="F576" s="5">
        <v>0.05</v>
      </c>
      <c r="G576" s="5">
        <v>1</v>
      </c>
      <c r="H576" s="5" t="s">
        <v>616</v>
      </c>
      <c r="I576" s="5">
        <v>152304048</v>
      </c>
      <c r="J576" s="5" t="s">
        <v>617</v>
      </c>
      <c r="K576" s="7" t="s">
        <v>3135</v>
      </c>
      <c r="L576" s="5" t="s">
        <v>3136</v>
      </c>
    </row>
    <row r="577" spans="1:12" ht="65" customHeight="1">
      <c r="A577" s="5" t="s">
        <v>2815</v>
      </c>
      <c r="B577" s="5" t="s">
        <v>2816</v>
      </c>
      <c r="C577" s="5" t="s">
        <v>3137</v>
      </c>
      <c r="D577" s="5" t="s">
        <v>3138</v>
      </c>
      <c r="E577" s="6"/>
      <c r="F577" s="5">
        <v>0</v>
      </c>
      <c r="G577" s="5">
        <v>0</v>
      </c>
      <c r="H577" s="5" t="s">
        <v>616</v>
      </c>
      <c r="I577" s="5">
        <v>0</v>
      </c>
      <c r="J577" s="5" t="s">
        <v>657</v>
      </c>
      <c r="K577" s="7" t="s">
        <v>3139</v>
      </c>
      <c r="L577" s="5" t="s">
        <v>3140</v>
      </c>
    </row>
    <row r="578" spans="1:12" ht="65" customHeight="1">
      <c r="A578" s="5" t="s">
        <v>2815</v>
      </c>
      <c r="B578" s="5" t="s">
        <v>2816</v>
      </c>
      <c r="C578" s="5" t="s">
        <v>3141</v>
      </c>
      <c r="D578" s="5" t="s">
        <v>3142</v>
      </c>
      <c r="E578" s="6"/>
      <c r="F578" s="5">
        <v>0</v>
      </c>
      <c r="G578" s="5">
        <v>0</v>
      </c>
      <c r="H578" s="5" t="s">
        <v>616</v>
      </c>
      <c r="I578" s="5">
        <v>0</v>
      </c>
      <c r="J578" s="5" t="s">
        <v>657</v>
      </c>
      <c r="K578" s="7" t="s">
        <v>3143</v>
      </c>
      <c r="L578" s="5" t="s">
        <v>3144</v>
      </c>
    </row>
    <row r="579" spans="1:12" ht="65" customHeight="1">
      <c r="A579" s="5" t="s">
        <v>2815</v>
      </c>
      <c r="B579" s="5" t="s">
        <v>2816</v>
      </c>
      <c r="C579" s="5" t="s">
        <v>3145</v>
      </c>
      <c r="D579" s="5" t="s">
        <v>3146</v>
      </c>
      <c r="E579" s="6"/>
      <c r="F579" s="5">
        <v>0</v>
      </c>
      <c r="G579" s="5">
        <v>0</v>
      </c>
      <c r="H579" s="5" t="s">
        <v>616</v>
      </c>
      <c r="I579" s="5">
        <v>0</v>
      </c>
      <c r="J579" s="5" t="s">
        <v>657</v>
      </c>
      <c r="K579" s="7" t="s">
        <v>3147</v>
      </c>
      <c r="L579" s="5" t="s">
        <v>3148</v>
      </c>
    </row>
    <row r="580" spans="1:12" ht="65" customHeight="1">
      <c r="A580" s="5" t="s">
        <v>2815</v>
      </c>
      <c r="B580" s="5" t="s">
        <v>2816</v>
      </c>
      <c r="C580" s="5" t="s">
        <v>3149</v>
      </c>
      <c r="D580" s="5" t="s">
        <v>3150</v>
      </c>
      <c r="E580" s="6"/>
      <c r="F580" s="5">
        <v>0</v>
      </c>
      <c r="G580" s="5">
        <v>0</v>
      </c>
      <c r="H580" s="5" t="s">
        <v>616</v>
      </c>
      <c r="I580" s="5">
        <v>0</v>
      </c>
      <c r="J580" s="5" t="s">
        <v>657</v>
      </c>
      <c r="K580" s="7" t="s">
        <v>3151</v>
      </c>
      <c r="L580" s="5" t="s">
        <v>3152</v>
      </c>
    </row>
    <row r="581" spans="1:12" ht="65" customHeight="1">
      <c r="A581" s="5" t="s">
        <v>2815</v>
      </c>
      <c r="B581" s="5" t="s">
        <v>2816</v>
      </c>
      <c r="C581" s="5" t="s">
        <v>3153</v>
      </c>
      <c r="D581" s="5" t="s">
        <v>3154</v>
      </c>
      <c r="E581" s="6"/>
      <c r="F581" s="5">
        <v>0</v>
      </c>
      <c r="G581" s="5">
        <v>0</v>
      </c>
      <c r="H581" s="5" t="s">
        <v>616</v>
      </c>
      <c r="I581" s="5">
        <v>0</v>
      </c>
      <c r="J581" s="5" t="s">
        <v>657</v>
      </c>
      <c r="K581" s="7" t="s">
        <v>3155</v>
      </c>
      <c r="L581" s="5" t="s">
        <v>3156</v>
      </c>
    </row>
    <row r="582" spans="1:12" ht="65" customHeight="1">
      <c r="A582" s="5" t="s">
        <v>2815</v>
      </c>
      <c r="B582" s="5" t="s">
        <v>2816</v>
      </c>
      <c r="C582" s="5" t="s">
        <v>3157</v>
      </c>
      <c r="D582" s="5" t="s">
        <v>3158</v>
      </c>
      <c r="E582" s="6"/>
      <c r="F582" s="5">
        <v>0</v>
      </c>
      <c r="G582" s="5">
        <v>0</v>
      </c>
      <c r="H582" s="5" t="s">
        <v>616</v>
      </c>
      <c r="I582" s="5">
        <v>0</v>
      </c>
      <c r="J582" s="5" t="s">
        <v>657</v>
      </c>
      <c r="K582" s="7" t="s">
        <v>3159</v>
      </c>
      <c r="L582" s="5" t="s">
        <v>3160</v>
      </c>
    </row>
    <row r="583" spans="1:12" ht="65" customHeight="1">
      <c r="A583" s="5" t="s">
        <v>2815</v>
      </c>
      <c r="B583" s="5" t="s">
        <v>2816</v>
      </c>
      <c r="C583" s="5" t="s">
        <v>3161</v>
      </c>
      <c r="D583" s="5" t="s">
        <v>3162</v>
      </c>
      <c r="E583" s="6"/>
      <c r="F583" s="5">
        <v>0</v>
      </c>
      <c r="G583" s="5">
        <v>0</v>
      </c>
      <c r="H583" s="5" t="s">
        <v>616</v>
      </c>
      <c r="I583" s="5">
        <v>0</v>
      </c>
      <c r="J583" s="5" t="s">
        <v>657</v>
      </c>
      <c r="K583" s="7" t="s">
        <v>3163</v>
      </c>
      <c r="L583" s="5" t="s">
        <v>3164</v>
      </c>
    </row>
    <row r="584" spans="1:12" ht="65" customHeight="1">
      <c r="A584" s="5" t="s">
        <v>2815</v>
      </c>
      <c r="B584" s="5" t="s">
        <v>2816</v>
      </c>
      <c r="C584" s="5" t="s">
        <v>3165</v>
      </c>
      <c r="D584" s="5" t="s">
        <v>2987</v>
      </c>
      <c r="E584" s="6"/>
      <c r="F584" s="5">
        <v>0</v>
      </c>
      <c r="G584" s="5">
        <v>0</v>
      </c>
      <c r="H584" s="5" t="s">
        <v>616</v>
      </c>
      <c r="I584" s="5">
        <v>0</v>
      </c>
      <c r="J584" s="5" t="s">
        <v>657</v>
      </c>
      <c r="K584" s="7" t="s">
        <v>3166</v>
      </c>
      <c r="L584" s="5" t="s">
        <v>3167</v>
      </c>
    </row>
    <row r="585" spans="1:12" ht="65" customHeight="1">
      <c r="A585" s="5" t="s">
        <v>2815</v>
      </c>
      <c r="B585" s="5" t="s">
        <v>2816</v>
      </c>
      <c r="C585" s="5" t="s">
        <v>3168</v>
      </c>
      <c r="D585" s="5" t="s">
        <v>3169</v>
      </c>
      <c r="E585" s="6"/>
      <c r="F585" s="5">
        <v>0</v>
      </c>
      <c r="G585" s="5">
        <v>0</v>
      </c>
      <c r="H585" s="5" t="s">
        <v>616</v>
      </c>
      <c r="I585" s="5">
        <v>0</v>
      </c>
      <c r="J585" s="5" t="s">
        <v>657</v>
      </c>
      <c r="K585" s="7" t="s">
        <v>3170</v>
      </c>
      <c r="L585" s="5" t="s">
        <v>3171</v>
      </c>
    </row>
    <row r="586" spans="1:12" ht="65" customHeight="1">
      <c r="A586" s="5" t="s">
        <v>2815</v>
      </c>
      <c r="B586" s="5" t="s">
        <v>2816</v>
      </c>
      <c r="C586" s="5" t="s">
        <v>3172</v>
      </c>
      <c r="D586" s="5" t="s">
        <v>3173</v>
      </c>
      <c r="E586" s="5" t="s">
        <v>3038</v>
      </c>
      <c r="F586" s="5">
        <v>0.09</v>
      </c>
      <c r="G586" s="5">
        <v>1</v>
      </c>
      <c r="H586" s="5" t="s">
        <v>616</v>
      </c>
      <c r="I586" s="5">
        <v>0</v>
      </c>
      <c r="J586" s="5" t="s">
        <v>617</v>
      </c>
      <c r="K586" s="7" t="s">
        <v>3174</v>
      </c>
      <c r="L586" s="5" t="s">
        <v>3175</v>
      </c>
    </row>
    <row r="587" spans="1:12" ht="65" customHeight="1">
      <c r="A587" s="5" t="s">
        <v>2815</v>
      </c>
      <c r="B587" s="5" t="s">
        <v>2816</v>
      </c>
      <c r="C587" s="5" t="s">
        <v>3176</v>
      </c>
      <c r="D587" s="5" t="s">
        <v>3177</v>
      </c>
      <c r="E587" s="6"/>
      <c r="F587" s="5">
        <v>0</v>
      </c>
      <c r="G587" s="5">
        <v>0</v>
      </c>
      <c r="H587" s="5" t="s">
        <v>616</v>
      </c>
      <c r="I587" s="5">
        <v>0</v>
      </c>
      <c r="J587" s="5" t="s">
        <v>657</v>
      </c>
      <c r="K587" s="7" t="s">
        <v>3178</v>
      </c>
      <c r="L587" s="5" t="s">
        <v>3179</v>
      </c>
    </row>
    <row r="588" spans="1:12" ht="65" customHeight="1">
      <c r="A588" s="5" t="s">
        <v>2815</v>
      </c>
      <c r="B588" s="5" t="s">
        <v>2816</v>
      </c>
      <c r="C588" s="5" t="s">
        <v>3180</v>
      </c>
      <c r="D588" s="5" t="s">
        <v>3181</v>
      </c>
      <c r="E588" s="6"/>
      <c r="F588" s="5">
        <v>0</v>
      </c>
      <c r="G588" s="5">
        <v>0</v>
      </c>
      <c r="H588" s="5" t="s">
        <v>616</v>
      </c>
      <c r="I588" s="5">
        <v>0</v>
      </c>
      <c r="J588" s="5" t="s">
        <v>657</v>
      </c>
      <c r="K588" s="7" t="s">
        <v>3182</v>
      </c>
      <c r="L588" s="5" t="s">
        <v>3183</v>
      </c>
    </row>
    <row r="589" spans="1:12" ht="65" customHeight="1">
      <c r="A589" s="5" t="s">
        <v>2815</v>
      </c>
      <c r="B589" s="5" t="s">
        <v>2816</v>
      </c>
      <c r="C589" s="5" t="s">
        <v>3184</v>
      </c>
      <c r="D589" s="5" t="s">
        <v>3185</v>
      </c>
      <c r="E589" s="5" t="s">
        <v>2926</v>
      </c>
      <c r="F589" s="5">
        <v>0.1</v>
      </c>
      <c r="G589" s="5">
        <v>500</v>
      </c>
      <c r="H589" s="5" t="s">
        <v>616</v>
      </c>
      <c r="I589" s="5">
        <v>1003951</v>
      </c>
      <c r="J589" s="5" t="s">
        <v>617</v>
      </c>
      <c r="K589" s="7" t="s">
        <v>3186</v>
      </c>
      <c r="L589" s="5" t="s">
        <v>3187</v>
      </c>
    </row>
    <row r="590" spans="1:12" ht="65" customHeight="1">
      <c r="A590" s="5" t="s">
        <v>2815</v>
      </c>
      <c r="B590" s="5" t="s">
        <v>2816</v>
      </c>
      <c r="C590" s="5" t="s">
        <v>3188</v>
      </c>
      <c r="D590" s="5" t="s">
        <v>3189</v>
      </c>
      <c r="E590" s="5" t="s">
        <v>2865</v>
      </c>
      <c r="F590" s="5">
        <v>0.07000000000000001</v>
      </c>
      <c r="G590" s="5">
        <v>1</v>
      </c>
      <c r="H590" s="5" t="s">
        <v>616</v>
      </c>
      <c r="I590" s="5">
        <v>1900551</v>
      </c>
      <c r="J590" s="5" t="s">
        <v>617</v>
      </c>
      <c r="K590" s="7" t="s">
        <v>3190</v>
      </c>
      <c r="L590" s="5" t="s">
        <v>3191</v>
      </c>
    </row>
    <row r="591" spans="1:12" ht="65" customHeight="1">
      <c r="A591" s="5" t="s">
        <v>2815</v>
      </c>
      <c r="B591" s="5" t="s">
        <v>2816</v>
      </c>
      <c r="C591" s="5" t="s">
        <v>3192</v>
      </c>
      <c r="D591" s="5" t="s">
        <v>3193</v>
      </c>
      <c r="E591" s="6"/>
      <c r="F591" s="5">
        <v>0</v>
      </c>
      <c r="G591" s="5">
        <v>0</v>
      </c>
      <c r="H591" s="5" t="s">
        <v>616</v>
      </c>
      <c r="I591" s="5">
        <v>0</v>
      </c>
      <c r="J591" s="5" t="s">
        <v>657</v>
      </c>
      <c r="K591" s="7" t="s">
        <v>3194</v>
      </c>
      <c r="L591" s="5" t="s">
        <v>3195</v>
      </c>
    </row>
    <row r="592" spans="1:12" ht="65" customHeight="1">
      <c r="A592" s="5" t="s">
        <v>2815</v>
      </c>
      <c r="B592" s="5" t="s">
        <v>2816</v>
      </c>
      <c r="C592" s="5" t="s">
        <v>3196</v>
      </c>
      <c r="D592" s="5" t="s">
        <v>3197</v>
      </c>
      <c r="E592" s="5" t="s">
        <v>1576</v>
      </c>
      <c r="F592" s="5">
        <v>0.21</v>
      </c>
      <c r="G592" s="5">
        <v>1</v>
      </c>
      <c r="H592" s="5" t="s">
        <v>616</v>
      </c>
      <c r="I592" s="5">
        <v>0</v>
      </c>
      <c r="J592" s="5" t="s">
        <v>617</v>
      </c>
      <c r="K592" s="7" t="s">
        <v>3198</v>
      </c>
      <c r="L592" s="5" t="s">
        <v>3199</v>
      </c>
    </row>
    <row r="593" spans="1:12" ht="65" customHeight="1">
      <c r="A593" s="5" t="s">
        <v>2815</v>
      </c>
      <c r="B593" s="5" t="s">
        <v>2816</v>
      </c>
      <c r="C593" s="5" t="s">
        <v>3200</v>
      </c>
      <c r="D593" s="5" t="s">
        <v>3201</v>
      </c>
      <c r="E593" s="5" t="s">
        <v>2926</v>
      </c>
      <c r="F593" s="5">
        <v>0.09</v>
      </c>
      <c r="G593" s="5">
        <v>1</v>
      </c>
      <c r="H593" s="5" t="s">
        <v>616</v>
      </c>
      <c r="I593" s="5">
        <v>2969681</v>
      </c>
      <c r="J593" s="5" t="s">
        <v>617</v>
      </c>
      <c r="K593" s="7" t="s">
        <v>3202</v>
      </c>
      <c r="L593" s="5" t="s">
        <v>3203</v>
      </c>
    </row>
    <row r="594" spans="1:12" ht="65" customHeight="1">
      <c r="A594" s="5" t="s">
        <v>2815</v>
      </c>
      <c r="B594" s="5" t="s">
        <v>2816</v>
      </c>
      <c r="C594" s="5" t="s">
        <v>3204</v>
      </c>
      <c r="D594" s="5" t="s">
        <v>3205</v>
      </c>
      <c r="E594" s="6"/>
      <c r="F594" s="5">
        <v>0</v>
      </c>
      <c r="G594" s="5">
        <v>0</v>
      </c>
      <c r="H594" s="5" t="s">
        <v>616</v>
      </c>
      <c r="I594" s="5">
        <v>0</v>
      </c>
      <c r="J594" s="5" t="s">
        <v>657</v>
      </c>
      <c r="K594" s="7" t="s">
        <v>3206</v>
      </c>
      <c r="L594" s="5" t="s">
        <v>3207</v>
      </c>
    </row>
    <row r="595" spans="1:12" ht="65" customHeight="1">
      <c r="A595" s="5" t="s">
        <v>2815</v>
      </c>
      <c r="B595" s="5" t="s">
        <v>2816</v>
      </c>
      <c r="C595" s="5" t="s">
        <v>1716</v>
      </c>
      <c r="D595" s="5" t="s">
        <v>1717</v>
      </c>
      <c r="E595" s="6"/>
      <c r="F595" s="5">
        <v>0</v>
      </c>
      <c r="G595" s="5">
        <v>0</v>
      </c>
      <c r="H595" s="5" t="s">
        <v>616</v>
      </c>
      <c r="I595" s="5">
        <v>0</v>
      </c>
      <c r="J595" s="5" t="s">
        <v>657</v>
      </c>
      <c r="K595" s="7" t="s">
        <v>1718</v>
      </c>
      <c r="L595" s="5" t="s">
        <v>3208</v>
      </c>
    </row>
    <row r="596" spans="1:12" ht="65" customHeight="1">
      <c r="A596" s="5" t="s">
        <v>2815</v>
      </c>
      <c r="B596" s="5" t="s">
        <v>2816</v>
      </c>
      <c r="C596" s="5" t="s">
        <v>3209</v>
      </c>
      <c r="D596" s="5" t="s">
        <v>3210</v>
      </c>
      <c r="E596" s="6"/>
      <c r="F596" s="5">
        <v>0</v>
      </c>
      <c r="G596" s="5">
        <v>0</v>
      </c>
      <c r="H596" s="5" t="s">
        <v>616</v>
      </c>
      <c r="I596" s="5">
        <v>0</v>
      </c>
      <c r="J596" s="5" t="s">
        <v>657</v>
      </c>
      <c r="K596" s="7" t="s">
        <v>3211</v>
      </c>
      <c r="L596" s="5" t="s">
        <v>3212</v>
      </c>
    </row>
    <row r="597" spans="1:12" ht="65" customHeight="1">
      <c r="A597" s="5" t="s">
        <v>2815</v>
      </c>
      <c r="B597" s="5" t="s">
        <v>2816</v>
      </c>
      <c r="C597" s="5" t="s">
        <v>3213</v>
      </c>
      <c r="D597" s="5" t="s">
        <v>3214</v>
      </c>
      <c r="E597" s="6"/>
      <c r="F597" s="5">
        <v>0</v>
      </c>
      <c r="G597" s="5">
        <v>0</v>
      </c>
      <c r="H597" s="5" t="s">
        <v>616</v>
      </c>
      <c r="I597" s="5">
        <v>0</v>
      </c>
      <c r="J597" s="5" t="s">
        <v>657</v>
      </c>
      <c r="K597" s="7" t="s">
        <v>3215</v>
      </c>
      <c r="L597" s="5" t="s">
        <v>3216</v>
      </c>
    </row>
    <row r="598" spans="1:12" ht="65" customHeight="1">
      <c r="A598" s="5" t="s">
        <v>2815</v>
      </c>
      <c r="B598" s="5" t="s">
        <v>2816</v>
      </c>
      <c r="C598" s="5" t="s">
        <v>3217</v>
      </c>
      <c r="D598" s="5" t="s">
        <v>3218</v>
      </c>
      <c r="E598" s="6"/>
      <c r="F598" s="5">
        <v>0</v>
      </c>
      <c r="G598" s="5">
        <v>0</v>
      </c>
      <c r="H598" s="5" t="s">
        <v>616</v>
      </c>
      <c r="I598" s="5">
        <v>0</v>
      </c>
      <c r="J598" s="5" t="s">
        <v>657</v>
      </c>
      <c r="K598" s="7" t="s">
        <v>3219</v>
      </c>
      <c r="L598" s="5" t="s">
        <v>3220</v>
      </c>
    </row>
    <row r="599" spans="1:12" ht="65" customHeight="1">
      <c r="A599" s="5" t="s">
        <v>2815</v>
      </c>
      <c r="B599" s="5" t="s">
        <v>2816</v>
      </c>
      <c r="C599" s="5" t="s">
        <v>3221</v>
      </c>
      <c r="D599" s="5" t="s">
        <v>3222</v>
      </c>
      <c r="E599" s="6"/>
      <c r="F599" s="5">
        <v>0</v>
      </c>
      <c r="G599" s="5">
        <v>0</v>
      </c>
      <c r="H599" s="5" t="s">
        <v>616</v>
      </c>
      <c r="I599" s="5">
        <v>0</v>
      </c>
      <c r="J599" s="5" t="s">
        <v>657</v>
      </c>
      <c r="K599" s="7" t="s">
        <v>3223</v>
      </c>
      <c r="L599" s="5" t="s">
        <v>3224</v>
      </c>
    </row>
    <row r="600" spans="1:12" ht="65" customHeight="1">
      <c r="A600" s="5" t="s">
        <v>2815</v>
      </c>
      <c r="B600" s="5" t="s">
        <v>2816</v>
      </c>
      <c r="C600" s="5" t="s">
        <v>3225</v>
      </c>
      <c r="D600" s="5" t="s">
        <v>3226</v>
      </c>
      <c r="E600" s="5" t="s">
        <v>2865</v>
      </c>
      <c r="F600" s="5">
        <v>0.3</v>
      </c>
      <c r="G600" s="5">
        <v>5</v>
      </c>
      <c r="H600" s="5" t="s">
        <v>616</v>
      </c>
      <c r="I600" s="5">
        <v>0</v>
      </c>
      <c r="J600" s="5" t="s">
        <v>617</v>
      </c>
      <c r="K600" s="7" t="s">
        <v>3227</v>
      </c>
      <c r="L600" s="5" t="s">
        <v>3228</v>
      </c>
    </row>
    <row r="601" spans="1:12" ht="65" customHeight="1">
      <c r="A601" s="5" t="s">
        <v>2815</v>
      </c>
      <c r="B601" s="5" t="s">
        <v>2816</v>
      </c>
      <c r="C601" s="5" t="s">
        <v>3229</v>
      </c>
      <c r="D601" s="5" t="s">
        <v>3230</v>
      </c>
      <c r="E601" s="6"/>
      <c r="F601" s="5">
        <v>0</v>
      </c>
      <c r="G601" s="5">
        <v>0</v>
      </c>
      <c r="H601" s="5" t="s">
        <v>616</v>
      </c>
      <c r="I601" s="5">
        <v>0</v>
      </c>
      <c r="J601" s="5" t="s">
        <v>657</v>
      </c>
      <c r="K601" s="7" t="s">
        <v>3231</v>
      </c>
      <c r="L601" s="5" t="s">
        <v>3232</v>
      </c>
    </row>
    <row r="602" spans="1:12" ht="65" customHeight="1">
      <c r="A602" s="5" t="s">
        <v>2815</v>
      </c>
      <c r="B602" s="5" t="s">
        <v>2816</v>
      </c>
      <c r="C602" s="5" t="s">
        <v>3233</v>
      </c>
      <c r="D602" s="5" t="s">
        <v>3234</v>
      </c>
      <c r="E602" s="6"/>
      <c r="F602" s="5">
        <v>0</v>
      </c>
      <c r="G602" s="5">
        <v>0</v>
      </c>
      <c r="H602" s="5" t="s">
        <v>616</v>
      </c>
      <c r="I602" s="5">
        <v>0</v>
      </c>
      <c r="J602" s="5" t="s">
        <v>657</v>
      </c>
      <c r="K602" s="7" t="s">
        <v>3235</v>
      </c>
      <c r="L602" s="5" t="s">
        <v>3236</v>
      </c>
    </row>
    <row r="603" spans="1:12" ht="65" customHeight="1">
      <c r="A603" s="5" t="s">
        <v>2815</v>
      </c>
      <c r="B603" s="5" t="s">
        <v>2816</v>
      </c>
      <c r="C603" s="5" t="s">
        <v>3237</v>
      </c>
      <c r="D603" s="5" t="s">
        <v>3238</v>
      </c>
      <c r="E603" s="5" t="s">
        <v>3239</v>
      </c>
      <c r="F603" s="5">
        <v>0.2</v>
      </c>
      <c r="G603" s="5">
        <v>500</v>
      </c>
      <c r="H603" s="5" t="s">
        <v>616</v>
      </c>
      <c r="I603" s="5">
        <v>0</v>
      </c>
      <c r="J603" s="5" t="s">
        <v>617</v>
      </c>
      <c r="K603" s="7" t="s">
        <v>3240</v>
      </c>
      <c r="L603" s="5" t="s">
        <v>3241</v>
      </c>
    </row>
    <row r="604" spans="1:12" ht="65" customHeight="1">
      <c r="A604" s="5" t="s">
        <v>2815</v>
      </c>
      <c r="B604" s="5" t="s">
        <v>2816</v>
      </c>
      <c r="C604" s="5" t="s">
        <v>3242</v>
      </c>
      <c r="D604" s="5" t="s">
        <v>3243</v>
      </c>
      <c r="E604" s="6"/>
      <c r="F604" s="5">
        <v>0</v>
      </c>
      <c r="G604" s="5">
        <v>0</v>
      </c>
      <c r="H604" s="5" t="s">
        <v>616</v>
      </c>
      <c r="I604" s="5">
        <v>0</v>
      </c>
      <c r="J604" s="5" t="s">
        <v>657</v>
      </c>
      <c r="K604" s="7" t="s">
        <v>3244</v>
      </c>
      <c r="L604" s="5" t="s">
        <v>3245</v>
      </c>
    </row>
  </sheetData>
  <autoFilter ref="A4:L604"/>
  <mergeCells count="2">
    <mergeCell ref="A1:L1"/>
    <mergeCell ref="A2:L3"/>
  </mergeCells>
  <hyperlinks>
    <hyperlink ref="K5" r:id="rId1"/>
    <hyperlink ref="K6" r:id="rId2"/>
    <hyperlink ref="K7" r:id="rId3"/>
    <hyperlink ref="K8" r:id="rId4"/>
    <hyperlink ref="K9" r:id="rId5"/>
    <hyperlink ref="K10" r:id="rId6"/>
    <hyperlink ref="K11" r:id="rId7"/>
    <hyperlink ref="K12" r:id="rId8"/>
    <hyperlink ref="K13" r:id="rId9"/>
    <hyperlink ref="K14" r:id="rId10"/>
    <hyperlink ref="K15" r:id="rId11"/>
    <hyperlink ref="K16" r:id="rId12"/>
    <hyperlink ref="K17" r:id="rId13"/>
    <hyperlink ref="K18" r:id="rId14"/>
    <hyperlink ref="K19" r:id="rId15"/>
    <hyperlink ref="K20" r:id="rId16"/>
    <hyperlink ref="K21" r:id="rId17"/>
    <hyperlink ref="K22" r:id="rId18"/>
    <hyperlink ref="K23" r:id="rId19"/>
    <hyperlink ref="K24" r:id="rId20"/>
    <hyperlink ref="K25" r:id="rId21"/>
    <hyperlink ref="K26" r:id="rId22"/>
    <hyperlink ref="K27" r:id="rId23"/>
    <hyperlink ref="K28" r:id="rId24"/>
    <hyperlink ref="K29" r:id="rId25"/>
    <hyperlink ref="K30" r:id="rId26"/>
    <hyperlink ref="K31" r:id="rId27"/>
    <hyperlink ref="K32" r:id="rId28"/>
    <hyperlink ref="K33" r:id="rId29"/>
    <hyperlink ref="K34" r:id="rId30"/>
    <hyperlink ref="K35" r:id="rId31"/>
    <hyperlink ref="K36" r:id="rId32"/>
    <hyperlink ref="K37" r:id="rId33"/>
    <hyperlink ref="K38" r:id="rId34"/>
    <hyperlink ref="K39" r:id="rId35"/>
    <hyperlink ref="K40" r:id="rId36"/>
    <hyperlink ref="K41" r:id="rId37"/>
    <hyperlink ref="K42" r:id="rId38"/>
    <hyperlink ref="K43" r:id="rId39"/>
    <hyperlink ref="K44" r:id="rId40"/>
    <hyperlink ref="K45" r:id="rId41"/>
    <hyperlink ref="K46" r:id="rId42"/>
    <hyperlink ref="K47" r:id="rId43"/>
    <hyperlink ref="K48" r:id="rId44"/>
    <hyperlink ref="K49" r:id="rId45"/>
    <hyperlink ref="K50" r:id="rId46"/>
    <hyperlink ref="K51" r:id="rId47"/>
    <hyperlink ref="K52" r:id="rId48"/>
    <hyperlink ref="K53" r:id="rId49"/>
    <hyperlink ref="K54" r:id="rId50"/>
    <hyperlink ref="K55" r:id="rId51"/>
    <hyperlink ref="K56" r:id="rId52"/>
    <hyperlink ref="K57" r:id="rId53"/>
    <hyperlink ref="K58" r:id="rId54"/>
    <hyperlink ref="K59" r:id="rId55"/>
    <hyperlink ref="K60" r:id="rId56"/>
    <hyperlink ref="K61" r:id="rId57"/>
    <hyperlink ref="K62" r:id="rId58"/>
    <hyperlink ref="K63" r:id="rId59"/>
    <hyperlink ref="K64" r:id="rId60"/>
    <hyperlink ref="K65" r:id="rId61"/>
    <hyperlink ref="K66" r:id="rId62"/>
    <hyperlink ref="K67" r:id="rId63"/>
    <hyperlink ref="K68" r:id="rId64"/>
    <hyperlink ref="K69" r:id="rId65"/>
    <hyperlink ref="K70" r:id="rId66"/>
    <hyperlink ref="K71" r:id="rId67"/>
    <hyperlink ref="K72" r:id="rId68"/>
    <hyperlink ref="K73" r:id="rId69"/>
    <hyperlink ref="K74" r:id="rId70"/>
    <hyperlink ref="K75" r:id="rId71"/>
    <hyperlink ref="K76" r:id="rId72"/>
    <hyperlink ref="K77" r:id="rId73"/>
    <hyperlink ref="K78" r:id="rId74"/>
    <hyperlink ref="K79" r:id="rId75"/>
    <hyperlink ref="K80" r:id="rId76"/>
    <hyperlink ref="K81" r:id="rId77"/>
    <hyperlink ref="K82" r:id="rId78"/>
    <hyperlink ref="K83" r:id="rId79"/>
    <hyperlink ref="K84" r:id="rId80"/>
    <hyperlink ref="K85" r:id="rId81"/>
    <hyperlink ref="K86" r:id="rId82"/>
    <hyperlink ref="K87" r:id="rId83"/>
    <hyperlink ref="K88" r:id="rId84"/>
    <hyperlink ref="K89" r:id="rId85"/>
    <hyperlink ref="K90" r:id="rId86"/>
    <hyperlink ref="K91" r:id="rId87"/>
    <hyperlink ref="K92" r:id="rId88"/>
    <hyperlink ref="K93" r:id="rId89"/>
    <hyperlink ref="K94" r:id="rId90"/>
    <hyperlink ref="K95" r:id="rId91"/>
    <hyperlink ref="K96" r:id="rId92"/>
    <hyperlink ref="K97" r:id="rId93"/>
    <hyperlink ref="K98" r:id="rId94"/>
    <hyperlink ref="K99" r:id="rId95"/>
    <hyperlink ref="K100" r:id="rId96"/>
    <hyperlink ref="K101" r:id="rId97"/>
    <hyperlink ref="K102" r:id="rId98"/>
    <hyperlink ref="K103" r:id="rId99"/>
    <hyperlink ref="K104" r:id="rId100"/>
    <hyperlink ref="K105" r:id="rId101"/>
    <hyperlink ref="K106" r:id="rId102"/>
    <hyperlink ref="K107" r:id="rId103"/>
    <hyperlink ref="K108" r:id="rId104"/>
    <hyperlink ref="K109" r:id="rId105"/>
    <hyperlink ref="K110" r:id="rId106"/>
    <hyperlink ref="K111" r:id="rId107"/>
    <hyperlink ref="K112" r:id="rId108"/>
    <hyperlink ref="K113" r:id="rId109"/>
    <hyperlink ref="K114" r:id="rId110"/>
    <hyperlink ref="K115" r:id="rId111"/>
    <hyperlink ref="K116" r:id="rId112"/>
    <hyperlink ref="K117" r:id="rId113"/>
    <hyperlink ref="K118" r:id="rId114"/>
    <hyperlink ref="K119" r:id="rId115"/>
    <hyperlink ref="K120" r:id="rId116"/>
    <hyperlink ref="K121" r:id="rId117"/>
    <hyperlink ref="K122" r:id="rId118"/>
    <hyperlink ref="K123" r:id="rId119"/>
    <hyperlink ref="K124" r:id="rId120"/>
    <hyperlink ref="K125" r:id="rId121"/>
    <hyperlink ref="K126" r:id="rId122"/>
    <hyperlink ref="K127" r:id="rId123"/>
    <hyperlink ref="K128" r:id="rId124"/>
    <hyperlink ref="K129" r:id="rId125"/>
    <hyperlink ref="K130" r:id="rId126"/>
    <hyperlink ref="K131" r:id="rId127"/>
    <hyperlink ref="K132" r:id="rId128"/>
    <hyperlink ref="K133" r:id="rId129"/>
    <hyperlink ref="K134" r:id="rId130"/>
    <hyperlink ref="K135" r:id="rId131"/>
    <hyperlink ref="K136" r:id="rId132"/>
    <hyperlink ref="K137" r:id="rId133"/>
    <hyperlink ref="K138" r:id="rId134"/>
    <hyperlink ref="K139" r:id="rId135"/>
    <hyperlink ref="K140" r:id="rId136"/>
    <hyperlink ref="K141" r:id="rId137"/>
    <hyperlink ref="K142" r:id="rId138"/>
    <hyperlink ref="K143" r:id="rId139"/>
    <hyperlink ref="K144" r:id="rId140"/>
    <hyperlink ref="K145" r:id="rId141"/>
    <hyperlink ref="K146" r:id="rId142"/>
    <hyperlink ref="K147" r:id="rId143"/>
    <hyperlink ref="K148" r:id="rId144"/>
    <hyperlink ref="K149" r:id="rId145"/>
    <hyperlink ref="K150" r:id="rId146"/>
    <hyperlink ref="K151" r:id="rId147"/>
    <hyperlink ref="K152" r:id="rId148"/>
    <hyperlink ref="K153" r:id="rId149"/>
    <hyperlink ref="K154" r:id="rId150"/>
    <hyperlink ref="K155" r:id="rId151"/>
    <hyperlink ref="K156" r:id="rId152"/>
    <hyperlink ref="K157" r:id="rId153"/>
    <hyperlink ref="K158" r:id="rId154"/>
    <hyperlink ref="K159" r:id="rId155"/>
    <hyperlink ref="K160" r:id="rId156"/>
    <hyperlink ref="K161" r:id="rId157"/>
    <hyperlink ref="K162" r:id="rId158"/>
    <hyperlink ref="K163" r:id="rId159"/>
    <hyperlink ref="K164" r:id="rId160"/>
    <hyperlink ref="K165" r:id="rId161"/>
    <hyperlink ref="K166" r:id="rId162"/>
    <hyperlink ref="K167" r:id="rId163"/>
    <hyperlink ref="K168" r:id="rId164"/>
    <hyperlink ref="K169" r:id="rId165"/>
    <hyperlink ref="K170" r:id="rId166"/>
    <hyperlink ref="K171" r:id="rId167"/>
    <hyperlink ref="K172" r:id="rId168"/>
    <hyperlink ref="K173" r:id="rId169"/>
    <hyperlink ref="K174" r:id="rId170"/>
    <hyperlink ref="K175" r:id="rId171"/>
    <hyperlink ref="K176" r:id="rId172"/>
    <hyperlink ref="K177" r:id="rId173"/>
    <hyperlink ref="K178" r:id="rId174"/>
    <hyperlink ref="K179" r:id="rId175"/>
    <hyperlink ref="K180" r:id="rId176"/>
    <hyperlink ref="K181" r:id="rId177"/>
    <hyperlink ref="K182" r:id="rId178"/>
    <hyperlink ref="K183" r:id="rId179"/>
    <hyperlink ref="K184" r:id="rId180"/>
    <hyperlink ref="K185" r:id="rId181"/>
    <hyperlink ref="K186" r:id="rId182"/>
    <hyperlink ref="K187" r:id="rId183"/>
    <hyperlink ref="K188" r:id="rId184"/>
    <hyperlink ref="K189" r:id="rId185"/>
    <hyperlink ref="K190" r:id="rId186"/>
    <hyperlink ref="K191" r:id="rId187"/>
    <hyperlink ref="K192" r:id="rId188"/>
    <hyperlink ref="K193" r:id="rId189"/>
    <hyperlink ref="K194" r:id="rId190"/>
    <hyperlink ref="K195" r:id="rId191"/>
    <hyperlink ref="K196" r:id="rId192"/>
    <hyperlink ref="K197" r:id="rId193"/>
    <hyperlink ref="K198" r:id="rId194"/>
    <hyperlink ref="K199" r:id="rId195"/>
    <hyperlink ref="K200" r:id="rId196"/>
    <hyperlink ref="K201" r:id="rId197"/>
    <hyperlink ref="K202" r:id="rId198"/>
    <hyperlink ref="K203" r:id="rId199"/>
    <hyperlink ref="K204" r:id="rId200"/>
    <hyperlink ref="K205" r:id="rId201"/>
    <hyperlink ref="K206" r:id="rId202"/>
    <hyperlink ref="K207" r:id="rId203"/>
    <hyperlink ref="K208" r:id="rId204"/>
    <hyperlink ref="K209" r:id="rId205"/>
    <hyperlink ref="K210" r:id="rId206"/>
    <hyperlink ref="K211" r:id="rId207"/>
    <hyperlink ref="K212" r:id="rId208"/>
    <hyperlink ref="K213" r:id="rId209"/>
    <hyperlink ref="K214" r:id="rId210"/>
    <hyperlink ref="K215" r:id="rId211"/>
    <hyperlink ref="K216" r:id="rId212"/>
    <hyperlink ref="K217" r:id="rId213"/>
    <hyperlink ref="K218" r:id="rId214"/>
    <hyperlink ref="K219" r:id="rId215"/>
    <hyperlink ref="K220" r:id="rId216"/>
    <hyperlink ref="K221" r:id="rId217"/>
    <hyperlink ref="K222" r:id="rId218"/>
    <hyperlink ref="K223" r:id="rId219"/>
    <hyperlink ref="K224" r:id="rId220"/>
    <hyperlink ref="K225" r:id="rId221"/>
    <hyperlink ref="K226" r:id="rId222"/>
    <hyperlink ref="K227" r:id="rId223"/>
    <hyperlink ref="K228" r:id="rId224"/>
    <hyperlink ref="K229" r:id="rId225"/>
    <hyperlink ref="K230" r:id="rId226"/>
    <hyperlink ref="K231" r:id="rId227"/>
    <hyperlink ref="K232" r:id="rId228"/>
    <hyperlink ref="K233" r:id="rId229"/>
    <hyperlink ref="K234" r:id="rId230"/>
    <hyperlink ref="K235" r:id="rId231"/>
    <hyperlink ref="K236" r:id="rId232"/>
    <hyperlink ref="K237" r:id="rId233"/>
    <hyperlink ref="K238" r:id="rId234"/>
    <hyperlink ref="K239" r:id="rId235"/>
    <hyperlink ref="K240" r:id="rId236"/>
    <hyperlink ref="K241" r:id="rId237"/>
    <hyperlink ref="K242" r:id="rId238"/>
    <hyperlink ref="K243" r:id="rId239"/>
    <hyperlink ref="K244" r:id="rId240"/>
    <hyperlink ref="K245" r:id="rId241"/>
    <hyperlink ref="K246" r:id="rId242"/>
    <hyperlink ref="K247" r:id="rId243"/>
    <hyperlink ref="K248" r:id="rId244"/>
    <hyperlink ref="K249" r:id="rId245"/>
    <hyperlink ref="K250" r:id="rId246"/>
    <hyperlink ref="K251" r:id="rId247"/>
    <hyperlink ref="K252" r:id="rId248"/>
    <hyperlink ref="K253" r:id="rId249"/>
    <hyperlink ref="K254" r:id="rId250"/>
    <hyperlink ref="K255" r:id="rId251"/>
    <hyperlink ref="K256" r:id="rId252"/>
    <hyperlink ref="K257" r:id="rId253"/>
    <hyperlink ref="K258" r:id="rId254"/>
    <hyperlink ref="K259" r:id="rId255"/>
    <hyperlink ref="K260" r:id="rId256"/>
    <hyperlink ref="K261" r:id="rId257"/>
    <hyperlink ref="K262" r:id="rId258"/>
    <hyperlink ref="K263" r:id="rId259"/>
    <hyperlink ref="K264" r:id="rId260"/>
    <hyperlink ref="K265" r:id="rId261"/>
    <hyperlink ref="K266" r:id="rId262"/>
    <hyperlink ref="K267" r:id="rId263"/>
    <hyperlink ref="K268" r:id="rId264"/>
    <hyperlink ref="K269" r:id="rId265"/>
    <hyperlink ref="K270" r:id="rId266"/>
    <hyperlink ref="K271" r:id="rId267"/>
    <hyperlink ref="K272" r:id="rId268"/>
    <hyperlink ref="K273" r:id="rId269"/>
    <hyperlink ref="K274" r:id="rId270"/>
    <hyperlink ref="K275" r:id="rId271"/>
    <hyperlink ref="K276" r:id="rId272"/>
    <hyperlink ref="K277" r:id="rId273"/>
    <hyperlink ref="K278" r:id="rId274"/>
    <hyperlink ref="K279" r:id="rId275"/>
    <hyperlink ref="K280" r:id="rId276"/>
    <hyperlink ref="K281" r:id="rId277"/>
    <hyperlink ref="K282" r:id="rId278"/>
    <hyperlink ref="K283" r:id="rId279"/>
    <hyperlink ref="K284" r:id="rId280"/>
    <hyperlink ref="K285" r:id="rId281"/>
    <hyperlink ref="K286" r:id="rId282"/>
    <hyperlink ref="K287" r:id="rId283"/>
    <hyperlink ref="K288" r:id="rId284"/>
    <hyperlink ref="K289" r:id="rId285"/>
    <hyperlink ref="K290" r:id="rId286"/>
    <hyperlink ref="K291" r:id="rId287"/>
    <hyperlink ref="K292" r:id="rId288"/>
    <hyperlink ref="K293" r:id="rId289"/>
    <hyperlink ref="K294" r:id="rId290"/>
    <hyperlink ref="K295" r:id="rId291"/>
    <hyperlink ref="K296" r:id="rId292"/>
    <hyperlink ref="K297" r:id="rId293"/>
    <hyperlink ref="K298" r:id="rId294"/>
    <hyperlink ref="K299" r:id="rId295"/>
    <hyperlink ref="K300" r:id="rId296"/>
    <hyperlink ref="K301" r:id="rId297"/>
    <hyperlink ref="K302" r:id="rId298"/>
    <hyperlink ref="K303" r:id="rId299"/>
    <hyperlink ref="K304" r:id="rId300"/>
    <hyperlink ref="K305" r:id="rId301"/>
    <hyperlink ref="K306" r:id="rId302"/>
    <hyperlink ref="K307" r:id="rId303"/>
    <hyperlink ref="K308" r:id="rId304"/>
    <hyperlink ref="K309" r:id="rId305"/>
    <hyperlink ref="K310" r:id="rId306"/>
    <hyperlink ref="K311" r:id="rId307"/>
    <hyperlink ref="K312" r:id="rId308"/>
    <hyperlink ref="K313" r:id="rId309"/>
    <hyperlink ref="K314" r:id="rId310"/>
    <hyperlink ref="K315" r:id="rId311"/>
    <hyperlink ref="K316" r:id="rId312"/>
    <hyperlink ref="K317" r:id="rId313"/>
    <hyperlink ref="K318" r:id="rId314"/>
    <hyperlink ref="K319" r:id="rId315"/>
    <hyperlink ref="K320" r:id="rId316"/>
    <hyperlink ref="K321" r:id="rId317"/>
    <hyperlink ref="K322" r:id="rId318"/>
    <hyperlink ref="K323" r:id="rId319"/>
    <hyperlink ref="K324" r:id="rId320"/>
    <hyperlink ref="K325" r:id="rId321"/>
    <hyperlink ref="K326" r:id="rId322"/>
    <hyperlink ref="K327" r:id="rId323"/>
    <hyperlink ref="K328" r:id="rId324"/>
    <hyperlink ref="K329" r:id="rId325"/>
    <hyperlink ref="K330" r:id="rId326"/>
    <hyperlink ref="K331" r:id="rId327"/>
    <hyperlink ref="K332" r:id="rId328"/>
    <hyperlink ref="K333" r:id="rId329"/>
    <hyperlink ref="K334" r:id="rId330"/>
    <hyperlink ref="K335" r:id="rId331"/>
    <hyperlink ref="K336" r:id="rId332"/>
    <hyperlink ref="K337" r:id="rId333"/>
    <hyperlink ref="K338" r:id="rId334"/>
    <hyperlink ref="K339" r:id="rId335"/>
    <hyperlink ref="K340" r:id="rId336"/>
    <hyperlink ref="K341" r:id="rId337"/>
    <hyperlink ref="K342" r:id="rId338"/>
    <hyperlink ref="K343" r:id="rId339"/>
    <hyperlink ref="K344" r:id="rId340"/>
    <hyperlink ref="K345" r:id="rId341"/>
    <hyperlink ref="K346" r:id="rId342"/>
    <hyperlink ref="K347" r:id="rId343"/>
    <hyperlink ref="K348" r:id="rId344"/>
    <hyperlink ref="K349" r:id="rId345"/>
    <hyperlink ref="K350" r:id="rId346"/>
    <hyperlink ref="K351" r:id="rId347"/>
    <hyperlink ref="K352" r:id="rId348"/>
    <hyperlink ref="K353" r:id="rId349"/>
    <hyperlink ref="K354" r:id="rId350"/>
    <hyperlink ref="K355" r:id="rId351"/>
    <hyperlink ref="K356" r:id="rId352"/>
    <hyperlink ref="K357" r:id="rId353"/>
    <hyperlink ref="K358" r:id="rId354"/>
    <hyperlink ref="K359" r:id="rId355"/>
    <hyperlink ref="K360" r:id="rId356"/>
    <hyperlink ref="K361" r:id="rId357"/>
    <hyperlink ref="K362" r:id="rId358"/>
    <hyperlink ref="K363" r:id="rId359"/>
    <hyperlink ref="K364" r:id="rId360"/>
    <hyperlink ref="K365" r:id="rId361"/>
    <hyperlink ref="K366" r:id="rId362"/>
    <hyperlink ref="K367" r:id="rId363"/>
    <hyperlink ref="K368" r:id="rId364"/>
    <hyperlink ref="K369" r:id="rId365"/>
    <hyperlink ref="K370" r:id="rId366"/>
    <hyperlink ref="K371" r:id="rId367"/>
    <hyperlink ref="K372" r:id="rId368"/>
    <hyperlink ref="K373" r:id="rId369"/>
    <hyperlink ref="K374" r:id="rId370"/>
    <hyperlink ref="K375" r:id="rId371"/>
    <hyperlink ref="K376" r:id="rId372"/>
    <hyperlink ref="K377" r:id="rId373"/>
    <hyperlink ref="K378" r:id="rId374"/>
    <hyperlink ref="K379" r:id="rId375"/>
    <hyperlink ref="K380" r:id="rId376"/>
    <hyperlink ref="K381" r:id="rId377"/>
    <hyperlink ref="K382" r:id="rId378"/>
    <hyperlink ref="K383" r:id="rId379"/>
    <hyperlink ref="K384" r:id="rId380"/>
    <hyperlink ref="K385" r:id="rId381"/>
    <hyperlink ref="K386" r:id="rId382"/>
    <hyperlink ref="K387" r:id="rId383"/>
    <hyperlink ref="K388" r:id="rId384"/>
    <hyperlink ref="K389" r:id="rId385"/>
    <hyperlink ref="K390" r:id="rId386"/>
    <hyperlink ref="K391" r:id="rId387"/>
    <hyperlink ref="K392" r:id="rId388"/>
    <hyperlink ref="K393" r:id="rId389"/>
    <hyperlink ref="K394" r:id="rId390"/>
    <hyperlink ref="K395" r:id="rId391"/>
    <hyperlink ref="K396" r:id="rId392"/>
    <hyperlink ref="K397" r:id="rId393"/>
    <hyperlink ref="K398" r:id="rId394"/>
    <hyperlink ref="K399" r:id="rId395"/>
    <hyperlink ref="K400" r:id="rId396"/>
    <hyperlink ref="K401" r:id="rId397"/>
    <hyperlink ref="K402" r:id="rId398"/>
    <hyperlink ref="K403" r:id="rId399"/>
    <hyperlink ref="K404" r:id="rId400"/>
    <hyperlink ref="K405" r:id="rId401"/>
    <hyperlink ref="K406" r:id="rId402"/>
    <hyperlink ref="K407" r:id="rId403"/>
    <hyperlink ref="K408" r:id="rId404"/>
    <hyperlink ref="K409" r:id="rId405"/>
    <hyperlink ref="K410" r:id="rId406"/>
    <hyperlink ref="K411" r:id="rId407"/>
    <hyperlink ref="K412" r:id="rId408"/>
    <hyperlink ref="K413" r:id="rId409"/>
    <hyperlink ref="K414" r:id="rId410"/>
    <hyperlink ref="K415" r:id="rId411"/>
    <hyperlink ref="K416" r:id="rId412"/>
    <hyperlink ref="K417" r:id="rId413"/>
    <hyperlink ref="K418" r:id="rId414"/>
    <hyperlink ref="K419" r:id="rId415"/>
    <hyperlink ref="K420" r:id="rId416"/>
    <hyperlink ref="K421" r:id="rId417"/>
    <hyperlink ref="K422" r:id="rId418"/>
    <hyperlink ref="K423" r:id="rId419"/>
    <hyperlink ref="K424" r:id="rId420"/>
    <hyperlink ref="K425" r:id="rId421"/>
    <hyperlink ref="K426" r:id="rId422"/>
    <hyperlink ref="K427" r:id="rId423"/>
    <hyperlink ref="K428" r:id="rId424"/>
    <hyperlink ref="K429" r:id="rId425"/>
    <hyperlink ref="K430" r:id="rId426"/>
    <hyperlink ref="K431" r:id="rId427"/>
    <hyperlink ref="K432" r:id="rId428"/>
    <hyperlink ref="K433" r:id="rId429"/>
    <hyperlink ref="K434" r:id="rId430"/>
    <hyperlink ref="K435" r:id="rId431"/>
    <hyperlink ref="K436" r:id="rId432"/>
    <hyperlink ref="K437" r:id="rId433"/>
    <hyperlink ref="K438" r:id="rId434"/>
    <hyperlink ref="K439" r:id="rId435"/>
    <hyperlink ref="K440" r:id="rId436"/>
    <hyperlink ref="K441" r:id="rId437"/>
    <hyperlink ref="K442" r:id="rId438"/>
    <hyperlink ref="K443" r:id="rId439"/>
    <hyperlink ref="K444" r:id="rId440"/>
    <hyperlink ref="K445" r:id="rId441"/>
    <hyperlink ref="K446" r:id="rId442"/>
    <hyperlink ref="K447" r:id="rId443"/>
    <hyperlink ref="K448" r:id="rId444"/>
    <hyperlink ref="K449" r:id="rId445"/>
    <hyperlink ref="K450" r:id="rId446"/>
    <hyperlink ref="K451" r:id="rId447"/>
    <hyperlink ref="K452" r:id="rId448"/>
    <hyperlink ref="K453" r:id="rId449"/>
    <hyperlink ref="K454" r:id="rId450"/>
    <hyperlink ref="K455" r:id="rId451"/>
    <hyperlink ref="K456" r:id="rId452"/>
    <hyperlink ref="K457" r:id="rId453"/>
    <hyperlink ref="K458" r:id="rId454"/>
    <hyperlink ref="K459" r:id="rId455"/>
    <hyperlink ref="K460" r:id="rId456"/>
    <hyperlink ref="K461" r:id="rId457"/>
    <hyperlink ref="K462" r:id="rId458"/>
    <hyperlink ref="K463" r:id="rId459"/>
    <hyperlink ref="K464" r:id="rId460"/>
    <hyperlink ref="K465" r:id="rId461"/>
    <hyperlink ref="K466" r:id="rId462"/>
    <hyperlink ref="K467" r:id="rId463"/>
    <hyperlink ref="K468" r:id="rId464"/>
    <hyperlink ref="K469" r:id="rId465"/>
    <hyperlink ref="K470" r:id="rId466"/>
    <hyperlink ref="K471" r:id="rId467"/>
    <hyperlink ref="K472" r:id="rId468"/>
    <hyperlink ref="K473" r:id="rId469"/>
    <hyperlink ref="K474" r:id="rId470"/>
    <hyperlink ref="K475" r:id="rId471"/>
    <hyperlink ref="K476" r:id="rId472"/>
    <hyperlink ref="K477" r:id="rId473"/>
    <hyperlink ref="K478" r:id="rId474"/>
    <hyperlink ref="K479" r:id="rId475"/>
    <hyperlink ref="K480" r:id="rId476"/>
    <hyperlink ref="K481" r:id="rId477"/>
    <hyperlink ref="K482" r:id="rId478"/>
    <hyperlink ref="K483" r:id="rId479"/>
    <hyperlink ref="K484" r:id="rId480"/>
    <hyperlink ref="K485" r:id="rId481"/>
    <hyperlink ref="K486" r:id="rId482"/>
    <hyperlink ref="K487" r:id="rId483"/>
    <hyperlink ref="K488" r:id="rId484"/>
    <hyperlink ref="K489" r:id="rId485"/>
    <hyperlink ref="K490" r:id="rId486"/>
    <hyperlink ref="K491" r:id="rId487"/>
    <hyperlink ref="K492" r:id="rId488"/>
    <hyperlink ref="K493" r:id="rId489"/>
    <hyperlink ref="K494" r:id="rId490"/>
    <hyperlink ref="K495" r:id="rId491"/>
    <hyperlink ref="K496" r:id="rId492"/>
    <hyperlink ref="K497" r:id="rId493"/>
    <hyperlink ref="K498" r:id="rId494"/>
    <hyperlink ref="K499" r:id="rId495"/>
    <hyperlink ref="K500" r:id="rId496"/>
    <hyperlink ref="K501" r:id="rId497"/>
    <hyperlink ref="K502" r:id="rId498"/>
    <hyperlink ref="K503" r:id="rId499"/>
    <hyperlink ref="K504" r:id="rId500"/>
    <hyperlink ref="K505" r:id="rId501"/>
    <hyperlink ref="K506" r:id="rId502"/>
    <hyperlink ref="K507" r:id="rId503"/>
    <hyperlink ref="K508" r:id="rId504"/>
    <hyperlink ref="K509" r:id="rId505"/>
    <hyperlink ref="K510" r:id="rId506"/>
    <hyperlink ref="K511" r:id="rId507"/>
    <hyperlink ref="K512" r:id="rId508"/>
    <hyperlink ref="K513" r:id="rId509"/>
    <hyperlink ref="K514" r:id="rId510"/>
    <hyperlink ref="K515" r:id="rId511"/>
    <hyperlink ref="K516" r:id="rId512"/>
    <hyperlink ref="K517" r:id="rId513"/>
    <hyperlink ref="K518" r:id="rId514"/>
    <hyperlink ref="K519" r:id="rId515"/>
    <hyperlink ref="K520" r:id="rId516"/>
    <hyperlink ref="K521" r:id="rId517"/>
    <hyperlink ref="K522" r:id="rId518"/>
    <hyperlink ref="K523" r:id="rId519"/>
    <hyperlink ref="K524" r:id="rId520"/>
    <hyperlink ref="K525" r:id="rId521"/>
    <hyperlink ref="K526" r:id="rId522"/>
    <hyperlink ref="K527" r:id="rId523"/>
    <hyperlink ref="K528" r:id="rId524"/>
    <hyperlink ref="K529" r:id="rId525"/>
    <hyperlink ref="K530" r:id="rId526"/>
    <hyperlink ref="K531" r:id="rId527"/>
    <hyperlink ref="K532" r:id="rId528"/>
    <hyperlink ref="K533" r:id="rId529"/>
    <hyperlink ref="K534" r:id="rId530"/>
    <hyperlink ref="K535" r:id="rId531"/>
    <hyperlink ref="K536" r:id="rId532"/>
    <hyperlink ref="K537" r:id="rId533"/>
    <hyperlink ref="K538" r:id="rId534"/>
    <hyperlink ref="K539" r:id="rId535"/>
    <hyperlink ref="K540" r:id="rId536"/>
    <hyperlink ref="K541" r:id="rId537"/>
    <hyperlink ref="K542" r:id="rId538"/>
    <hyperlink ref="K543" r:id="rId539"/>
    <hyperlink ref="K544" r:id="rId540"/>
    <hyperlink ref="K545" r:id="rId541"/>
    <hyperlink ref="K546" r:id="rId542"/>
    <hyperlink ref="K547" r:id="rId543"/>
    <hyperlink ref="K548" r:id="rId544"/>
    <hyperlink ref="K549" r:id="rId545"/>
    <hyperlink ref="K550" r:id="rId546"/>
    <hyperlink ref="K551" r:id="rId547"/>
    <hyperlink ref="K552" r:id="rId548"/>
    <hyperlink ref="K553" r:id="rId549"/>
    <hyperlink ref="K554" r:id="rId550"/>
    <hyperlink ref="K555" r:id="rId551"/>
    <hyperlink ref="K556" r:id="rId552"/>
    <hyperlink ref="K557" r:id="rId553"/>
    <hyperlink ref="K558" r:id="rId554"/>
    <hyperlink ref="K559" r:id="rId555"/>
    <hyperlink ref="K560" r:id="rId556"/>
    <hyperlink ref="K561" r:id="rId557"/>
    <hyperlink ref="K562" r:id="rId558"/>
    <hyperlink ref="K563" r:id="rId559"/>
    <hyperlink ref="K564" r:id="rId560"/>
    <hyperlink ref="K565" r:id="rId561"/>
    <hyperlink ref="K566" r:id="rId562"/>
    <hyperlink ref="K567" r:id="rId563"/>
    <hyperlink ref="K568" r:id="rId564"/>
    <hyperlink ref="K569" r:id="rId565"/>
    <hyperlink ref="K570" r:id="rId566"/>
    <hyperlink ref="K571" r:id="rId567"/>
    <hyperlink ref="K572" r:id="rId568"/>
    <hyperlink ref="K573" r:id="rId569"/>
    <hyperlink ref="K574" r:id="rId570"/>
    <hyperlink ref="K575" r:id="rId571"/>
    <hyperlink ref="K576" r:id="rId572"/>
    <hyperlink ref="K577" r:id="rId573"/>
    <hyperlink ref="K578" r:id="rId574"/>
    <hyperlink ref="K579" r:id="rId575"/>
    <hyperlink ref="K580" r:id="rId576"/>
    <hyperlink ref="K581" r:id="rId577"/>
    <hyperlink ref="K582" r:id="rId578"/>
    <hyperlink ref="K583" r:id="rId579"/>
    <hyperlink ref="K584" r:id="rId580"/>
    <hyperlink ref="K585" r:id="rId581"/>
    <hyperlink ref="K586" r:id="rId582"/>
    <hyperlink ref="K587" r:id="rId583"/>
    <hyperlink ref="K588" r:id="rId584"/>
    <hyperlink ref="K589" r:id="rId585"/>
    <hyperlink ref="K590" r:id="rId586"/>
    <hyperlink ref="K591" r:id="rId587"/>
    <hyperlink ref="K592" r:id="rId588"/>
    <hyperlink ref="K593" r:id="rId589"/>
    <hyperlink ref="K594" r:id="rId590"/>
    <hyperlink ref="K595" r:id="rId591"/>
    <hyperlink ref="K596" r:id="rId592"/>
    <hyperlink ref="K597" r:id="rId593"/>
    <hyperlink ref="K598" r:id="rId594"/>
    <hyperlink ref="K599" r:id="rId595"/>
    <hyperlink ref="K600" r:id="rId596"/>
    <hyperlink ref="K601" r:id="rId597"/>
    <hyperlink ref="K602" r:id="rId598"/>
    <hyperlink ref="K603" r:id="rId599"/>
    <hyperlink ref="K604" r:id="rId600"/>
  </hyperlinks>
  <pageMargins left="0.7" right="0.7" top="0.75" bottom="0.75" header="0.3" footer="0.3"/>
  <pageSetup paperSize="9" fitToHeight="0" orientation="landscape"/>
  <headerFooter>
    <oddFooter>&amp;L菲律宾选品 · 证据审核&amp;R&amp;P / &amp;N</oddFooter>
  </headerFooter>
</worksheet>
</file>

<file path=xl/worksheets/sheet8.xml><?xml version="1.0" encoding="utf-8"?>
<worksheet xmlns="http://schemas.openxmlformats.org/spreadsheetml/2006/main" xmlns:r="http://schemas.openxmlformats.org/officeDocument/2006/relationships">
  <sheetPr>
    <pageSetUpPr fitToPage="1"/>
  </sheetPr>
  <dimension ref="A1:N224"/>
  <sheetViews>
    <sheetView showGridLines="0" zoomScale="85" zoomScaleNormal="85" workbookViewId="0">
      <pane xSplit="2" ySplit="4" topLeftCell="C5" activePane="bottomRight" state="frozen"/>
      <selection pane="topRight" activeCell="C1" sqref="C1"/>
      <selection pane="bottomLeft" activeCell="A5" sqref="A5"/>
      <selection pane="bottomRight"/>
    </sheetView>
  </sheetViews>
  <sheetFormatPr defaultRowHeight="15"/>
  <cols>
    <col min="1" max="5" width="22.7109375" customWidth="1"/>
    <col min="6" max="6" width="68.7109375" customWidth="1"/>
    <col min="7" max="7" width="22.7109375" customWidth="1"/>
    <col min="8" max="8" width="43.7109375" customWidth="1"/>
    <col min="9" max="13" width="22.7109375" customWidth="1"/>
    <col min="14" max="14" width="68.7109375" customWidth="1"/>
  </cols>
  <sheetData>
    <row r="1" spans="1:14" ht="38" customHeight="1">
      <c r="A1" s="1" t="s">
        <v>3246</v>
      </c>
      <c r="B1" s="1"/>
      <c r="C1" s="1"/>
      <c r="D1" s="1"/>
      <c r="E1" s="1"/>
      <c r="F1" s="1"/>
      <c r="G1" s="1"/>
      <c r="H1" s="1"/>
      <c r="I1" s="1"/>
      <c r="J1" s="1"/>
      <c r="K1" s="1"/>
      <c r="L1" s="1"/>
      <c r="M1" s="1"/>
      <c r="N1" s="1"/>
    </row>
    <row r="2" spans="1:14" ht="26" customHeight="1">
      <c r="A2" s="2" t="s">
        <v>3247</v>
      </c>
      <c r="B2" s="2"/>
      <c r="C2" s="2"/>
      <c r="D2" s="2"/>
      <c r="E2" s="2"/>
      <c r="F2" s="2"/>
      <c r="G2" s="2"/>
      <c r="H2" s="2"/>
      <c r="I2" s="2"/>
      <c r="J2" s="2"/>
      <c r="K2" s="2"/>
      <c r="L2" s="2"/>
      <c r="M2" s="2"/>
      <c r="N2" s="2"/>
    </row>
    <row r="3" spans="1:14" ht="22" customHeight="1">
      <c r="A3" s="2"/>
      <c r="B3" s="2"/>
      <c r="C3" s="2"/>
      <c r="D3" s="2"/>
      <c r="E3" s="2"/>
      <c r="F3" s="2"/>
      <c r="G3" s="2"/>
      <c r="H3" s="2"/>
      <c r="I3" s="2"/>
      <c r="J3" s="2"/>
      <c r="K3" s="2"/>
      <c r="L3" s="2"/>
      <c r="M3" s="2"/>
      <c r="N3" s="2"/>
    </row>
    <row r="4" spans="1:14" ht="34" customHeight="1">
      <c r="A4" s="4" t="s">
        <v>3248</v>
      </c>
      <c r="B4" s="4" t="s">
        <v>600</v>
      </c>
      <c r="C4" s="4" t="s">
        <v>3249</v>
      </c>
      <c r="D4" s="4" t="s">
        <v>3250</v>
      </c>
      <c r="E4" s="4" t="s">
        <v>3251</v>
      </c>
      <c r="F4" s="4" t="s">
        <v>3252</v>
      </c>
      <c r="G4" s="4" t="s">
        <v>3253</v>
      </c>
      <c r="H4" s="4" t="s">
        <v>3254</v>
      </c>
      <c r="I4" s="4" t="s">
        <v>3255</v>
      </c>
      <c r="J4" s="4" t="s">
        <v>3256</v>
      </c>
      <c r="K4" s="4" t="s">
        <v>3257</v>
      </c>
      <c r="L4" s="4" t="s">
        <v>3258</v>
      </c>
      <c r="M4" s="4" t="s">
        <v>3259</v>
      </c>
      <c r="N4" s="4" t="s">
        <v>244</v>
      </c>
    </row>
    <row r="5" spans="1:14" ht="68" customHeight="1">
      <c r="A5" s="5" t="s">
        <v>3260</v>
      </c>
      <c r="B5" s="5" t="s">
        <v>611</v>
      </c>
      <c r="C5" s="5" t="s">
        <v>3261</v>
      </c>
      <c r="D5" s="5" t="s">
        <v>3262</v>
      </c>
      <c r="E5" s="5" t="s">
        <v>3263</v>
      </c>
      <c r="F5" s="5" t="s">
        <v>3264</v>
      </c>
      <c r="G5" s="5">
        <v>120</v>
      </c>
      <c r="H5" s="5" t="s">
        <v>3265</v>
      </c>
      <c r="I5" s="5">
        <v>2236</v>
      </c>
      <c r="J5" s="5" t="s">
        <v>3266</v>
      </c>
      <c r="K5" s="5">
        <v>4.42</v>
      </c>
      <c r="L5" s="5">
        <v>1474</v>
      </c>
      <c r="M5" s="5" t="s">
        <v>3267</v>
      </c>
      <c r="N5" s="5" t="s">
        <v>3268</v>
      </c>
    </row>
    <row r="6" spans="1:14" ht="68" customHeight="1">
      <c r="A6" s="5" t="s">
        <v>3269</v>
      </c>
      <c r="B6" s="5" t="s">
        <v>611</v>
      </c>
      <c r="C6" s="5" t="s">
        <v>3261</v>
      </c>
      <c r="D6" s="5" t="s">
        <v>3270</v>
      </c>
      <c r="E6" s="5" t="s">
        <v>3271</v>
      </c>
      <c r="F6" s="5" t="s">
        <v>3272</v>
      </c>
      <c r="G6" s="5">
        <v>395</v>
      </c>
      <c r="H6" s="5" t="s">
        <v>3265</v>
      </c>
      <c r="I6" s="5">
        <v>1416</v>
      </c>
      <c r="J6" s="5" t="s">
        <v>3266</v>
      </c>
      <c r="K6" s="5">
        <v>4.85</v>
      </c>
      <c r="L6" s="5">
        <v>68</v>
      </c>
      <c r="M6" s="5" t="s">
        <v>3267</v>
      </c>
      <c r="N6" s="5" t="s">
        <v>3273</v>
      </c>
    </row>
    <row r="7" spans="1:14" ht="68" customHeight="1">
      <c r="A7" s="5" t="s">
        <v>3274</v>
      </c>
      <c r="B7" s="5" t="s">
        <v>611</v>
      </c>
      <c r="C7" s="5" t="s">
        <v>3261</v>
      </c>
      <c r="D7" s="5" t="s">
        <v>3275</v>
      </c>
      <c r="E7" s="5" t="s">
        <v>3276</v>
      </c>
      <c r="F7" s="5" t="s">
        <v>3277</v>
      </c>
      <c r="G7" s="5">
        <v>66</v>
      </c>
      <c r="H7" s="5" t="s">
        <v>3265</v>
      </c>
      <c r="I7" s="5">
        <v>361</v>
      </c>
      <c r="J7" s="5" t="s">
        <v>3266</v>
      </c>
      <c r="K7" s="5">
        <v>4.74</v>
      </c>
      <c r="L7" s="5">
        <v>2819</v>
      </c>
      <c r="M7" s="5" t="s">
        <v>3267</v>
      </c>
      <c r="N7" s="5" t="s">
        <v>3278</v>
      </c>
    </row>
    <row r="8" spans="1:14" ht="68" customHeight="1">
      <c r="A8" s="5" t="s">
        <v>3279</v>
      </c>
      <c r="B8" s="5" t="s">
        <v>611</v>
      </c>
      <c r="C8" s="5" t="s">
        <v>3261</v>
      </c>
      <c r="D8" s="5" t="s">
        <v>3280</v>
      </c>
      <c r="E8" s="5" t="s">
        <v>3281</v>
      </c>
      <c r="F8" s="5" t="s">
        <v>3282</v>
      </c>
      <c r="G8" s="5">
        <v>93</v>
      </c>
      <c r="H8" s="5" t="s">
        <v>3265</v>
      </c>
      <c r="I8" s="5">
        <v>238</v>
      </c>
      <c r="J8" s="5" t="s">
        <v>3266</v>
      </c>
      <c r="K8" s="5">
        <v>4.79</v>
      </c>
      <c r="L8" s="5">
        <v>704</v>
      </c>
      <c r="M8" s="5" t="s">
        <v>3267</v>
      </c>
      <c r="N8" s="5" t="s">
        <v>3283</v>
      </c>
    </row>
    <row r="9" spans="1:14" ht="68" customHeight="1">
      <c r="A9" s="5" t="s">
        <v>3284</v>
      </c>
      <c r="B9" s="5" t="s">
        <v>611</v>
      </c>
      <c r="C9" s="5" t="s">
        <v>3261</v>
      </c>
      <c r="D9" s="5" t="s">
        <v>3285</v>
      </c>
      <c r="E9" s="5" t="s">
        <v>3286</v>
      </c>
      <c r="F9" s="5" t="s">
        <v>3287</v>
      </c>
      <c r="G9" s="5">
        <v>445</v>
      </c>
      <c r="H9" s="5" t="s">
        <v>3265</v>
      </c>
      <c r="I9" s="5">
        <v>170</v>
      </c>
      <c r="J9" s="5" t="s">
        <v>3266</v>
      </c>
      <c r="K9" s="5">
        <v>4.68</v>
      </c>
      <c r="L9" s="5">
        <v>256</v>
      </c>
      <c r="M9" s="5" t="s">
        <v>3267</v>
      </c>
      <c r="N9" s="5" t="s">
        <v>3288</v>
      </c>
    </row>
    <row r="10" spans="1:14" ht="68" customHeight="1">
      <c r="A10" s="5" t="s">
        <v>3289</v>
      </c>
      <c r="B10" s="5" t="s">
        <v>611</v>
      </c>
      <c r="C10" s="5" t="s">
        <v>3261</v>
      </c>
      <c r="D10" s="5" t="s">
        <v>3290</v>
      </c>
      <c r="E10" s="5" t="s">
        <v>3291</v>
      </c>
      <c r="F10" s="5" t="s">
        <v>3292</v>
      </c>
      <c r="G10" s="5">
        <v>149</v>
      </c>
      <c r="H10" s="5" t="s">
        <v>3265</v>
      </c>
      <c r="I10" s="5">
        <v>134</v>
      </c>
      <c r="J10" s="5" t="s">
        <v>3266</v>
      </c>
      <c r="K10" s="5">
        <v>4.86</v>
      </c>
      <c r="L10" s="5">
        <v>72</v>
      </c>
      <c r="M10" s="5" t="s">
        <v>3267</v>
      </c>
      <c r="N10" s="5" t="s">
        <v>3293</v>
      </c>
    </row>
    <row r="11" spans="1:14" ht="68" customHeight="1">
      <c r="A11" s="5" t="s">
        <v>3294</v>
      </c>
      <c r="B11" s="5" t="s">
        <v>611</v>
      </c>
      <c r="C11" s="5" t="s">
        <v>3261</v>
      </c>
      <c r="D11" s="5" t="s">
        <v>3295</v>
      </c>
      <c r="E11" s="5" t="s">
        <v>3296</v>
      </c>
      <c r="F11" s="5" t="s">
        <v>3297</v>
      </c>
      <c r="G11" s="5">
        <v>80</v>
      </c>
      <c r="H11" s="5" t="s">
        <v>3265</v>
      </c>
      <c r="I11" s="5">
        <v>132</v>
      </c>
      <c r="J11" s="5" t="s">
        <v>3266</v>
      </c>
      <c r="K11" s="5">
        <v>4.88</v>
      </c>
      <c r="L11" s="5">
        <v>42</v>
      </c>
      <c r="M11" s="5" t="s">
        <v>3267</v>
      </c>
      <c r="N11" s="5" t="s">
        <v>3298</v>
      </c>
    </row>
    <row r="12" spans="1:14" ht="68" customHeight="1">
      <c r="A12" s="5" t="s">
        <v>3299</v>
      </c>
      <c r="B12" s="5" t="s">
        <v>611</v>
      </c>
      <c r="C12" s="5" t="s">
        <v>3261</v>
      </c>
      <c r="D12" s="5" t="s">
        <v>3300</v>
      </c>
      <c r="E12" s="5" t="s">
        <v>3301</v>
      </c>
      <c r="F12" s="5" t="s">
        <v>3302</v>
      </c>
      <c r="G12" s="5">
        <v>41</v>
      </c>
      <c r="H12" s="5" t="s">
        <v>3265</v>
      </c>
      <c r="I12" s="5">
        <v>125</v>
      </c>
      <c r="J12" s="5" t="s">
        <v>3266</v>
      </c>
      <c r="K12" s="5">
        <v>4.88</v>
      </c>
      <c r="L12" s="5">
        <v>298</v>
      </c>
      <c r="M12" s="5" t="s">
        <v>3267</v>
      </c>
      <c r="N12" s="5" t="s">
        <v>3303</v>
      </c>
    </row>
    <row r="13" spans="1:14" ht="68" customHeight="1">
      <c r="A13" s="5" t="s">
        <v>3304</v>
      </c>
      <c r="B13" s="5" t="s">
        <v>611</v>
      </c>
      <c r="C13" s="5" t="s">
        <v>3261</v>
      </c>
      <c r="D13" s="5" t="s">
        <v>3305</v>
      </c>
      <c r="E13" s="5" t="s">
        <v>3306</v>
      </c>
      <c r="F13" s="5" t="s">
        <v>3307</v>
      </c>
      <c r="G13" s="5">
        <v>91</v>
      </c>
      <c r="H13" s="5" t="s">
        <v>3265</v>
      </c>
      <c r="I13" s="5">
        <v>108</v>
      </c>
      <c r="J13" s="5" t="s">
        <v>3266</v>
      </c>
      <c r="K13" s="5">
        <v>4.85</v>
      </c>
      <c r="L13" s="5">
        <v>1003</v>
      </c>
      <c r="M13" s="5" t="s">
        <v>3267</v>
      </c>
      <c r="N13" s="5" t="s">
        <v>3308</v>
      </c>
    </row>
    <row r="14" spans="1:14" ht="68" customHeight="1">
      <c r="A14" s="5" t="s">
        <v>3309</v>
      </c>
      <c r="B14" s="5" t="s">
        <v>611</v>
      </c>
      <c r="C14" s="5" t="s">
        <v>3261</v>
      </c>
      <c r="D14" s="5" t="s">
        <v>3310</v>
      </c>
      <c r="E14" s="5" t="s">
        <v>3311</v>
      </c>
      <c r="F14" s="5" t="s">
        <v>3312</v>
      </c>
      <c r="G14" s="5">
        <v>19</v>
      </c>
      <c r="H14" s="5" t="s">
        <v>3265</v>
      </c>
      <c r="I14" s="5">
        <v>103</v>
      </c>
      <c r="J14" s="5" t="s">
        <v>3266</v>
      </c>
      <c r="K14" s="5">
        <v>4.88</v>
      </c>
      <c r="L14" s="5">
        <v>172</v>
      </c>
      <c r="M14" s="5" t="s">
        <v>3267</v>
      </c>
      <c r="N14" s="5" t="s">
        <v>3313</v>
      </c>
    </row>
    <row r="15" spans="1:14" ht="68" customHeight="1">
      <c r="A15" s="5" t="s">
        <v>3314</v>
      </c>
      <c r="B15" s="5" t="s">
        <v>611</v>
      </c>
      <c r="C15" s="5" t="s">
        <v>3261</v>
      </c>
      <c r="D15" s="5" t="s">
        <v>3315</v>
      </c>
      <c r="E15" s="5" t="s">
        <v>3316</v>
      </c>
      <c r="F15" s="5" t="s">
        <v>3317</v>
      </c>
      <c r="G15" s="5">
        <v>15</v>
      </c>
      <c r="H15" s="5" t="s">
        <v>3265</v>
      </c>
      <c r="I15" s="5">
        <v>102</v>
      </c>
      <c r="J15" s="5" t="s">
        <v>3266</v>
      </c>
      <c r="K15" s="5">
        <v>4.67</v>
      </c>
      <c r="L15" s="5">
        <v>18</v>
      </c>
      <c r="M15" s="5" t="s">
        <v>3267</v>
      </c>
      <c r="N15" s="5" t="s">
        <v>311</v>
      </c>
    </row>
    <row r="16" spans="1:14" ht="68" customHeight="1">
      <c r="A16" s="5" t="s">
        <v>3318</v>
      </c>
      <c r="B16" s="5" t="s">
        <v>611</v>
      </c>
      <c r="C16" s="5" t="s">
        <v>3261</v>
      </c>
      <c r="D16" s="5" t="s">
        <v>3319</v>
      </c>
      <c r="E16" s="5" t="s">
        <v>3311</v>
      </c>
      <c r="F16" s="5" t="s">
        <v>3320</v>
      </c>
      <c r="G16" s="5">
        <v>109</v>
      </c>
      <c r="H16" s="5" t="s">
        <v>3265</v>
      </c>
      <c r="I16" s="5">
        <v>89</v>
      </c>
      <c r="J16" s="5" t="s">
        <v>3266</v>
      </c>
      <c r="K16" s="5">
        <v>4.84</v>
      </c>
      <c r="L16" s="5">
        <v>76</v>
      </c>
      <c r="M16" s="5" t="s">
        <v>3267</v>
      </c>
      <c r="N16" s="5" t="s">
        <v>3321</v>
      </c>
    </row>
    <row r="17" spans="1:14" ht="68" customHeight="1">
      <c r="A17" s="5" t="s">
        <v>3322</v>
      </c>
      <c r="B17" s="5" t="s">
        <v>611</v>
      </c>
      <c r="C17" s="5" t="s">
        <v>3261</v>
      </c>
      <c r="D17" s="5" t="s">
        <v>3323</v>
      </c>
      <c r="E17" s="5" t="s">
        <v>3324</v>
      </c>
      <c r="F17" s="5" t="s">
        <v>3325</v>
      </c>
      <c r="G17" s="5">
        <v>89</v>
      </c>
      <c r="H17" s="5" t="s">
        <v>3265</v>
      </c>
      <c r="I17" s="5">
        <v>80</v>
      </c>
      <c r="J17" s="5" t="s">
        <v>3266</v>
      </c>
      <c r="K17" s="5">
        <v>4.75</v>
      </c>
      <c r="L17" s="5">
        <v>960</v>
      </c>
      <c r="M17" s="5" t="s">
        <v>3267</v>
      </c>
      <c r="N17" s="5" t="s">
        <v>3326</v>
      </c>
    </row>
    <row r="18" spans="1:14" ht="68" customHeight="1">
      <c r="A18" s="5" t="s">
        <v>3327</v>
      </c>
      <c r="B18" s="5" t="s">
        <v>611</v>
      </c>
      <c r="C18" s="5" t="s">
        <v>3261</v>
      </c>
      <c r="D18" s="5" t="s">
        <v>3328</v>
      </c>
      <c r="E18" s="5" t="s">
        <v>3329</v>
      </c>
      <c r="F18" s="5" t="s">
        <v>3330</v>
      </c>
      <c r="G18" s="5">
        <v>379</v>
      </c>
      <c r="H18" s="5" t="s">
        <v>3265</v>
      </c>
      <c r="I18" s="5">
        <v>64</v>
      </c>
      <c r="J18" s="5" t="s">
        <v>3266</v>
      </c>
      <c r="K18" s="5">
        <v>4.96</v>
      </c>
      <c r="L18" s="5">
        <v>267</v>
      </c>
      <c r="M18" s="5" t="s">
        <v>3267</v>
      </c>
      <c r="N18" s="5" t="s">
        <v>3331</v>
      </c>
    </row>
    <row r="19" spans="1:14" ht="68" customHeight="1">
      <c r="A19" s="5" t="s">
        <v>3332</v>
      </c>
      <c r="B19" s="5" t="s">
        <v>611</v>
      </c>
      <c r="C19" s="5" t="s">
        <v>3261</v>
      </c>
      <c r="D19" s="5" t="s">
        <v>3333</v>
      </c>
      <c r="E19" s="5" t="s">
        <v>3334</v>
      </c>
      <c r="F19" s="5" t="s">
        <v>3335</v>
      </c>
      <c r="G19" s="5">
        <v>120</v>
      </c>
      <c r="H19" s="5" t="s">
        <v>3265</v>
      </c>
      <c r="I19" s="5">
        <v>63</v>
      </c>
      <c r="J19" s="5" t="s">
        <v>3266</v>
      </c>
      <c r="K19" s="5">
        <v>4.9</v>
      </c>
      <c r="L19" s="5">
        <v>229</v>
      </c>
      <c r="M19" s="5" t="s">
        <v>3267</v>
      </c>
      <c r="N19" s="5" t="s">
        <v>3336</v>
      </c>
    </row>
    <row r="20" spans="1:14" ht="68" customHeight="1">
      <c r="A20" s="5" t="s">
        <v>3337</v>
      </c>
      <c r="B20" s="5" t="s">
        <v>611</v>
      </c>
      <c r="C20" s="5" t="s">
        <v>3261</v>
      </c>
      <c r="D20" s="5" t="s">
        <v>3338</v>
      </c>
      <c r="E20" s="5" t="s">
        <v>3339</v>
      </c>
      <c r="F20" s="5" t="s">
        <v>3340</v>
      </c>
      <c r="G20" s="5">
        <v>56</v>
      </c>
      <c r="H20" s="5" t="s">
        <v>3265</v>
      </c>
      <c r="I20" s="5">
        <v>60</v>
      </c>
      <c r="J20" s="5" t="s">
        <v>3266</v>
      </c>
      <c r="K20" s="5">
        <v>4.84</v>
      </c>
      <c r="L20" s="5">
        <v>45</v>
      </c>
      <c r="M20" s="5" t="s">
        <v>3267</v>
      </c>
      <c r="N20" s="5" t="s">
        <v>3341</v>
      </c>
    </row>
    <row r="21" spans="1:14" ht="68" customHeight="1">
      <c r="A21" s="5" t="s">
        <v>3342</v>
      </c>
      <c r="B21" s="5" t="s">
        <v>611</v>
      </c>
      <c r="C21" s="5" t="s">
        <v>3261</v>
      </c>
      <c r="D21" s="5" t="s">
        <v>3343</v>
      </c>
      <c r="E21" s="5" t="s">
        <v>3344</v>
      </c>
      <c r="F21" s="5" t="s">
        <v>3345</v>
      </c>
      <c r="G21" s="5">
        <v>67</v>
      </c>
      <c r="H21" s="5" t="s">
        <v>3265</v>
      </c>
      <c r="I21" s="5">
        <v>59</v>
      </c>
      <c r="J21" s="5" t="s">
        <v>3266</v>
      </c>
      <c r="K21" s="5">
        <v>4.87</v>
      </c>
      <c r="L21" s="5">
        <v>100</v>
      </c>
      <c r="M21" s="5" t="s">
        <v>3267</v>
      </c>
      <c r="N21" s="5" t="s">
        <v>3346</v>
      </c>
    </row>
    <row r="22" spans="1:14" ht="68" customHeight="1">
      <c r="A22" s="5" t="s">
        <v>3347</v>
      </c>
      <c r="B22" s="5" t="s">
        <v>611</v>
      </c>
      <c r="C22" s="5" t="s">
        <v>3261</v>
      </c>
      <c r="D22" s="5" t="s">
        <v>3348</v>
      </c>
      <c r="E22" s="5" t="s">
        <v>3349</v>
      </c>
      <c r="F22" s="5" t="s">
        <v>3350</v>
      </c>
      <c r="G22" s="5">
        <v>159</v>
      </c>
      <c r="H22" s="5" t="s">
        <v>3265</v>
      </c>
      <c r="I22" s="5">
        <v>58</v>
      </c>
      <c r="J22" s="5" t="s">
        <v>3266</v>
      </c>
      <c r="K22" s="5">
        <v>4.72</v>
      </c>
      <c r="L22" s="5">
        <v>688</v>
      </c>
      <c r="M22" s="5" t="s">
        <v>3267</v>
      </c>
      <c r="N22" s="5" t="s">
        <v>3351</v>
      </c>
    </row>
    <row r="23" spans="1:14" ht="68" customHeight="1">
      <c r="A23" s="5" t="s">
        <v>3352</v>
      </c>
      <c r="B23" s="5" t="s">
        <v>611</v>
      </c>
      <c r="C23" s="5" t="s">
        <v>3261</v>
      </c>
      <c r="D23" s="5" t="s">
        <v>3353</v>
      </c>
      <c r="E23" s="5" t="s">
        <v>3354</v>
      </c>
      <c r="F23" s="5" t="s">
        <v>3355</v>
      </c>
      <c r="G23" s="5">
        <v>50</v>
      </c>
      <c r="H23" s="5" t="s">
        <v>3265</v>
      </c>
      <c r="I23" s="5">
        <v>55</v>
      </c>
      <c r="J23" s="5" t="s">
        <v>3266</v>
      </c>
      <c r="K23" s="5">
        <v>4.96</v>
      </c>
      <c r="L23" s="5">
        <v>26</v>
      </c>
      <c r="M23" s="5" t="s">
        <v>3267</v>
      </c>
      <c r="N23" s="5" t="s">
        <v>3356</v>
      </c>
    </row>
    <row r="24" spans="1:14" ht="68" customHeight="1">
      <c r="A24" s="5" t="s">
        <v>3357</v>
      </c>
      <c r="B24" s="5" t="s">
        <v>611</v>
      </c>
      <c r="C24" s="5" t="s">
        <v>3261</v>
      </c>
      <c r="D24" s="5" t="s">
        <v>3358</v>
      </c>
      <c r="E24" s="5" t="s">
        <v>3359</v>
      </c>
      <c r="F24" s="5" t="s">
        <v>3360</v>
      </c>
      <c r="G24" s="5">
        <v>165</v>
      </c>
      <c r="H24" s="5" t="s">
        <v>3265</v>
      </c>
      <c r="I24" s="5">
        <v>52</v>
      </c>
      <c r="J24" s="5" t="s">
        <v>3266</v>
      </c>
      <c r="K24" s="5">
        <v>4.8</v>
      </c>
      <c r="L24" s="5">
        <v>1358</v>
      </c>
      <c r="M24" s="5" t="s">
        <v>3267</v>
      </c>
      <c r="N24" s="5" t="s">
        <v>3361</v>
      </c>
    </row>
    <row r="25" spans="1:14" ht="68" customHeight="1">
      <c r="A25" s="5" t="s">
        <v>3362</v>
      </c>
      <c r="B25" s="5" t="s">
        <v>611</v>
      </c>
      <c r="C25" s="5" t="s">
        <v>3363</v>
      </c>
      <c r="D25" s="5" t="s">
        <v>3364</v>
      </c>
      <c r="E25" s="5" t="s">
        <v>3365</v>
      </c>
      <c r="F25" s="5" t="s">
        <v>3366</v>
      </c>
      <c r="G25" s="5">
        <v>23</v>
      </c>
      <c r="H25" s="5" t="s">
        <v>3265</v>
      </c>
      <c r="I25" s="5">
        <v>8704</v>
      </c>
      <c r="J25" s="5" t="s">
        <v>3266</v>
      </c>
      <c r="K25" s="5">
        <v>4.85</v>
      </c>
      <c r="L25" s="5">
        <v>2901</v>
      </c>
      <c r="M25" s="5" t="s">
        <v>3267</v>
      </c>
      <c r="N25" s="5" t="s">
        <v>3367</v>
      </c>
    </row>
    <row r="26" spans="1:14" ht="68" customHeight="1">
      <c r="A26" s="5" t="s">
        <v>3368</v>
      </c>
      <c r="B26" s="5" t="s">
        <v>611</v>
      </c>
      <c r="C26" s="5" t="s">
        <v>3363</v>
      </c>
      <c r="D26" s="5" t="s">
        <v>3369</v>
      </c>
      <c r="E26" s="5" t="s">
        <v>3370</v>
      </c>
      <c r="F26" s="5" t="s">
        <v>3371</v>
      </c>
      <c r="G26" s="5">
        <v>24</v>
      </c>
      <c r="H26" s="5" t="s">
        <v>3265</v>
      </c>
      <c r="I26" s="5">
        <v>5076</v>
      </c>
      <c r="J26" s="5" t="s">
        <v>3266</v>
      </c>
      <c r="K26" s="5">
        <v>4.75</v>
      </c>
      <c r="L26" s="5">
        <v>4029</v>
      </c>
      <c r="M26" s="5" t="s">
        <v>3267</v>
      </c>
      <c r="N26" s="5" t="s">
        <v>3372</v>
      </c>
    </row>
    <row r="27" spans="1:14" ht="68" customHeight="1">
      <c r="A27" s="5" t="s">
        <v>3373</v>
      </c>
      <c r="B27" s="5" t="s">
        <v>611</v>
      </c>
      <c r="C27" s="5" t="s">
        <v>3363</v>
      </c>
      <c r="D27" s="5" t="s">
        <v>3374</v>
      </c>
      <c r="E27" s="5" t="s">
        <v>3375</v>
      </c>
      <c r="F27" s="5" t="s">
        <v>3376</v>
      </c>
      <c r="G27" s="5">
        <v>75</v>
      </c>
      <c r="H27" s="5" t="s">
        <v>3265</v>
      </c>
      <c r="I27" s="5">
        <v>4957</v>
      </c>
      <c r="J27" s="5" t="s">
        <v>3266</v>
      </c>
      <c r="K27" s="5">
        <v>4.9</v>
      </c>
      <c r="L27" s="5">
        <v>3692</v>
      </c>
      <c r="M27" s="5" t="s">
        <v>3267</v>
      </c>
      <c r="N27" s="5" t="s">
        <v>254</v>
      </c>
    </row>
    <row r="28" spans="1:14" ht="68" customHeight="1">
      <c r="A28" s="5" t="s">
        <v>3377</v>
      </c>
      <c r="B28" s="5" t="s">
        <v>611</v>
      </c>
      <c r="C28" s="5" t="s">
        <v>3363</v>
      </c>
      <c r="D28" s="5" t="s">
        <v>3378</v>
      </c>
      <c r="E28" s="5" t="s">
        <v>3379</v>
      </c>
      <c r="F28" s="5" t="s">
        <v>3380</v>
      </c>
      <c r="G28" s="5">
        <v>45</v>
      </c>
      <c r="H28" s="5" t="s">
        <v>3265</v>
      </c>
      <c r="I28" s="5">
        <v>4574</v>
      </c>
      <c r="J28" s="5" t="s">
        <v>3266</v>
      </c>
      <c r="K28" s="5">
        <v>4.9</v>
      </c>
      <c r="L28" s="5">
        <v>17203</v>
      </c>
      <c r="M28" s="5" t="s">
        <v>3267</v>
      </c>
      <c r="N28" s="5" t="s">
        <v>3381</v>
      </c>
    </row>
    <row r="29" spans="1:14" ht="68" customHeight="1">
      <c r="A29" s="5" t="s">
        <v>3382</v>
      </c>
      <c r="B29" s="5" t="s">
        <v>611</v>
      </c>
      <c r="C29" s="5" t="s">
        <v>3363</v>
      </c>
      <c r="D29" s="5" t="s">
        <v>3383</v>
      </c>
      <c r="E29" s="5" t="s">
        <v>3384</v>
      </c>
      <c r="F29" s="5" t="s">
        <v>3385</v>
      </c>
      <c r="G29" s="5">
        <v>7</v>
      </c>
      <c r="H29" s="5" t="s">
        <v>3265</v>
      </c>
      <c r="I29" s="5">
        <v>2857</v>
      </c>
      <c r="J29" s="5" t="s">
        <v>3266</v>
      </c>
      <c r="K29" s="5">
        <v>4.73</v>
      </c>
      <c r="L29" s="5">
        <v>1087</v>
      </c>
      <c r="M29" s="5" t="s">
        <v>3267</v>
      </c>
      <c r="N29" s="5" t="s">
        <v>3386</v>
      </c>
    </row>
    <row r="30" spans="1:14" ht="68" customHeight="1">
      <c r="A30" s="5" t="s">
        <v>3387</v>
      </c>
      <c r="B30" s="5" t="s">
        <v>611</v>
      </c>
      <c r="C30" s="5" t="s">
        <v>3363</v>
      </c>
      <c r="D30" s="5" t="s">
        <v>3388</v>
      </c>
      <c r="E30" s="5" t="s">
        <v>3389</v>
      </c>
      <c r="F30" s="5" t="s">
        <v>3390</v>
      </c>
      <c r="G30" s="5">
        <v>20</v>
      </c>
      <c r="H30" s="5" t="s">
        <v>3265</v>
      </c>
      <c r="I30" s="5">
        <v>2357</v>
      </c>
      <c r="J30" s="5" t="s">
        <v>3266</v>
      </c>
      <c r="K30" s="5">
        <v>4.67</v>
      </c>
      <c r="L30" s="5">
        <v>1422</v>
      </c>
      <c r="M30" s="5" t="s">
        <v>3267</v>
      </c>
      <c r="N30" s="5" t="s">
        <v>3391</v>
      </c>
    </row>
    <row r="31" spans="1:14" ht="68" customHeight="1">
      <c r="A31" s="5" t="s">
        <v>3392</v>
      </c>
      <c r="B31" s="5" t="s">
        <v>611</v>
      </c>
      <c r="C31" s="5" t="s">
        <v>3363</v>
      </c>
      <c r="D31" s="5" t="s">
        <v>3393</v>
      </c>
      <c r="E31" s="5" t="s">
        <v>3394</v>
      </c>
      <c r="F31" s="5" t="s">
        <v>3395</v>
      </c>
      <c r="G31" s="5">
        <v>29</v>
      </c>
      <c r="H31" s="5" t="s">
        <v>3265</v>
      </c>
      <c r="I31" s="5">
        <v>1758</v>
      </c>
      <c r="J31" s="5" t="s">
        <v>3266</v>
      </c>
      <c r="K31" s="5">
        <v>4.89</v>
      </c>
      <c r="L31" s="5">
        <v>9956</v>
      </c>
      <c r="M31" s="5" t="s">
        <v>3267</v>
      </c>
      <c r="N31" s="5" t="s">
        <v>3396</v>
      </c>
    </row>
    <row r="32" spans="1:14" ht="68" customHeight="1">
      <c r="A32" s="5" t="s">
        <v>3397</v>
      </c>
      <c r="B32" s="5" t="s">
        <v>611</v>
      </c>
      <c r="C32" s="5" t="s">
        <v>3363</v>
      </c>
      <c r="D32" s="5" t="s">
        <v>3398</v>
      </c>
      <c r="E32" s="5" t="s">
        <v>3399</v>
      </c>
      <c r="F32" s="5" t="s">
        <v>3400</v>
      </c>
      <c r="G32" s="5">
        <v>52</v>
      </c>
      <c r="H32" s="5" t="s">
        <v>3265</v>
      </c>
      <c r="I32" s="5">
        <v>1660</v>
      </c>
      <c r="J32" s="5" t="s">
        <v>3266</v>
      </c>
      <c r="K32" s="5">
        <v>4.9</v>
      </c>
      <c r="L32" s="5">
        <v>1396</v>
      </c>
      <c r="M32" s="5" t="s">
        <v>3267</v>
      </c>
      <c r="N32" s="5" t="s">
        <v>3401</v>
      </c>
    </row>
    <row r="33" spans="1:14" ht="68" customHeight="1">
      <c r="A33" s="5" t="s">
        <v>3402</v>
      </c>
      <c r="B33" s="5" t="s">
        <v>611</v>
      </c>
      <c r="C33" s="5" t="s">
        <v>3363</v>
      </c>
      <c r="D33" s="5" t="s">
        <v>3403</v>
      </c>
      <c r="E33" s="5" t="s">
        <v>3404</v>
      </c>
      <c r="F33" s="5" t="s">
        <v>3405</v>
      </c>
      <c r="G33" s="5">
        <v>45</v>
      </c>
      <c r="H33" s="5" t="s">
        <v>3265</v>
      </c>
      <c r="I33" s="5">
        <v>1293</v>
      </c>
      <c r="J33" s="5" t="s">
        <v>3266</v>
      </c>
      <c r="K33" s="5">
        <v>4.89</v>
      </c>
      <c r="L33" s="5">
        <v>5707</v>
      </c>
      <c r="M33" s="5" t="s">
        <v>3267</v>
      </c>
      <c r="N33" s="5" t="s">
        <v>3406</v>
      </c>
    </row>
    <row r="34" spans="1:14" ht="68" customHeight="1">
      <c r="A34" s="5" t="s">
        <v>3407</v>
      </c>
      <c r="B34" s="5" t="s">
        <v>611</v>
      </c>
      <c r="C34" s="5" t="s">
        <v>3363</v>
      </c>
      <c r="D34" s="5" t="s">
        <v>3408</v>
      </c>
      <c r="E34" s="5" t="s">
        <v>3409</v>
      </c>
      <c r="F34" s="5" t="s">
        <v>3410</v>
      </c>
      <c r="G34" s="5">
        <v>160</v>
      </c>
      <c r="H34" s="5" t="s">
        <v>3265</v>
      </c>
      <c r="I34" s="5">
        <v>1180</v>
      </c>
      <c r="J34" s="5" t="s">
        <v>3266</v>
      </c>
      <c r="K34" s="5">
        <v>4.91</v>
      </c>
      <c r="L34" s="5">
        <v>3236</v>
      </c>
      <c r="M34" s="5" t="s">
        <v>3267</v>
      </c>
      <c r="N34" s="5" t="s">
        <v>3411</v>
      </c>
    </row>
    <row r="35" spans="1:14" ht="68" customHeight="1">
      <c r="A35" s="5" t="s">
        <v>3412</v>
      </c>
      <c r="B35" s="5" t="s">
        <v>611</v>
      </c>
      <c r="C35" s="5" t="s">
        <v>3363</v>
      </c>
      <c r="D35" s="5" t="s">
        <v>3413</v>
      </c>
      <c r="E35" s="5" t="s">
        <v>3414</v>
      </c>
      <c r="F35" s="5" t="s">
        <v>3415</v>
      </c>
      <c r="G35" s="5">
        <v>107</v>
      </c>
      <c r="H35" s="5" t="s">
        <v>3265</v>
      </c>
      <c r="I35" s="5">
        <v>1157</v>
      </c>
      <c r="J35" s="5" t="s">
        <v>3266</v>
      </c>
      <c r="K35" s="5">
        <v>4.88</v>
      </c>
      <c r="L35" s="5">
        <v>5361</v>
      </c>
      <c r="M35" s="5" t="s">
        <v>3267</v>
      </c>
      <c r="N35" s="5" t="s">
        <v>3416</v>
      </c>
    </row>
    <row r="36" spans="1:14" ht="68" customHeight="1">
      <c r="A36" s="5" t="s">
        <v>3417</v>
      </c>
      <c r="B36" s="5" t="s">
        <v>611</v>
      </c>
      <c r="C36" s="5" t="s">
        <v>3363</v>
      </c>
      <c r="D36" s="5" t="s">
        <v>3418</v>
      </c>
      <c r="E36" s="5" t="s">
        <v>3419</v>
      </c>
      <c r="F36" s="5" t="s">
        <v>3420</v>
      </c>
      <c r="G36" s="5">
        <v>45</v>
      </c>
      <c r="H36" s="5" t="s">
        <v>3265</v>
      </c>
      <c r="I36" s="5">
        <v>925</v>
      </c>
      <c r="J36" s="5" t="s">
        <v>3266</v>
      </c>
      <c r="K36" s="5">
        <v>4.92</v>
      </c>
      <c r="L36" s="5">
        <v>2293</v>
      </c>
      <c r="M36" s="5" t="s">
        <v>3267</v>
      </c>
      <c r="N36" s="5" t="s">
        <v>3421</v>
      </c>
    </row>
    <row r="37" spans="1:14" ht="68" customHeight="1">
      <c r="A37" s="5" t="s">
        <v>3422</v>
      </c>
      <c r="B37" s="5" t="s">
        <v>611</v>
      </c>
      <c r="C37" s="5" t="s">
        <v>3363</v>
      </c>
      <c r="D37" s="5" t="s">
        <v>3423</v>
      </c>
      <c r="E37" s="5" t="s">
        <v>3424</v>
      </c>
      <c r="F37" s="5" t="s">
        <v>3425</v>
      </c>
      <c r="G37" s="5">
        <v>119</v>
      </c>
      <c r="H37" s="5" t="s">
        <v>3265</v>
      </c>
      <c r="I37" s="5">
        <v>860</v>
      </c>
      <c r="J37" s="5" t="s">
        <v>3266</v>
      </c>
      <c r="K37" s="5">
        <v>4.91</v>
      </c>
      <c r="L37" s="5">
        <v>3926</v>
      </c>
      <c r="M37" s="5" t="s">
        <v>3267</v>
      </c>
      <c r="N37" s="5" t="s">
        <v>3426</v>
      </c>
    </row>
    <row r="38" spans="1:14" ht="68" customHeight="1">
      <c r="A38" s="5" t="s">
        <v>3427</v>
      </c>
      <c r="B38" s="5" t="s">
        <v>611</v>
      </c>
      <c r="C38" s="5" t="s">
        <v>3363</v>
      </c>
      <c r="D38" s="5" t="s">
        <v>3428</v>
      </c>
      <c r="E38" s="5" t="s">
        <v>3429</v>
      </c>
      <c r="F38" s="5" t="s">
        <v>3430</v>
      </c>
      <c r="G38" s="5">
        <v>75</v>
      </c>
      <c r="H38" s="5" t="s">
        <v>3265</v>
      </c>
      <c r="I38" s="5">
        <v>854</v>
      </c>
      <c r="J38" s="5" t="s">
        <v>3266</v>
      </c>
      <c r="K38" s="5">
        <v>4.88</v>
      </c>
      <c r="L38" s="5">
        <v>781</v>
      </c>
      <c r="M38" s="5" t="s">
        <v>3267</v>
      </c>
      <c r="N38" s="5" t="s">
        <v>3431</v>
      </c>
    </row>
    <row r="39" spans="1:14" ht="68" customHeight="1">
      <c r="A39" s="5" t="s">
        <v>3432</v>
      </c>
      <c r="B39" s="5" t="s">
        <v>611</v>
      </c>
      <c r="C39" s="5" t="s">
        <v>3363</v>
      </c>
      <c r="D39" s="5" t="s">
        <v>3433</v>
      </c>
      <c r="E39" s="5" t="s">
        <v>3434</v>
      </c>
      <c r="F39" s="5" t="s">
        <v>3435</v>
      </c>
      <c r="G39" s="5">
        <v>374</v>
      </c>
      <c r="H39" s="5" t="s">
        <v>3265</v>
      </c>
      <c r="I39" s="5">
        <v>763</v>
      </c>
      <c r="J39" s="5" t="s">
        <v>3266</v>
      </c>
      <c r="K39" s="5">
        <v>4.88</v>
      </c>
      <c r="L39" s="5">
        <v>994</v>
      </c>
      <c r="M39" s="5" t="s">
        <v>3267</v>
      </c>
      <c r="N39" s="5" t="s">
        <v>3436</v>
      </c>
    </row>
    <row r="40" spans="1:14" ht="68" customHeight="1">
      <c r="A40" s="5" t="s">
        <v>3437</v>
      </c>
      <c r="B40" s="5" t="s">
        <v>611</v>
      </c>
      <c r="C40" s="5" t="s">
        <v>3363</v>
      </c>
      <c r="D40" s="5" t="s">
        <v>3438</v>
      </c>
      <c r="E40" s="5" t="s">
        <v>3439</v>
      </c>
      <c r="F40" s="5" t="s">
        <v>3440</v>
      </c>
      <c r="G40" s="5">
        <v>103</v>
      </c>
      <c r="H40" s="5" t="s">
        <v>3265</v>
      </c>
      <c r="I40" s="5">
        <v>758</v>
      </c>
      <c r="J40" s="5" t="s">
        <v>3266</v>
      </c>
      <c r="K40" s="5">
        <v>4.93</v>
      </c>
      <c r="L40" s="5">
        <v>719</v>
      </c>
      <c r="M40" s="5" t="s">
        <v>3267</v>
      </c>
      <c r="N40" s="5" t="s">
        <v>3441</v>
      </c>
    </row>
    <row r="41" spans="1:14" ht="68" customHeight="1">
      <c r="A41" s="5" t="s">
        <v>3442</v>
      </c>
      <c r="B41" s="5" t="s">
        <v>611</v>
      </c>
      <c r="C41" s="5" t="s">
        <v>3363</v>
      </c>
      <c r="D41" s="5" t="s">
        <v>3443</v>
      </c>
      <c r="E41" s="5" t="s">
        <v>3444</v>
      </c>
      <c r="F41" s="5" t="s">
        <v>3445</v>
      </c>
      <c r="G41" s="5">
        <v>42</v>
      </c>
      <c r="H41" s="5" t="s">
        <v>3265</v>
      </c>
      <c r="I41" s="5">
        <v>727</v>
      </c>
      <c r="J41" s="5" t="s">
        <v>3266</v>
      </c>
      <c r="K41" s="5">
        <v>4.83</v>
      </c>
      <c r="L41" s="5">
        <v>4839</v>
      </c>
      <c r="M41" s="5" t="s">
        <v>3267</v>
      </c>
      <c r="N41" s="5" t="s">
        <v>3446</v>
      </c>
    </row>
    <row r="42" spans="1:14" ht="68" customHeight="1">
      <c r="A42" s="5" t="s">
        <v>3447</v>
      </c>
      <c r="B42" s="5" t="s">
        <v>611</v>
      </c>
      <c r="C42" s="5" t="s">
        <v>3363</v>
      </c>
      <c r="D42" s="5" t="s">
        <v>3448</v>
      </c>
      <c r="E42" s="5" t="s">
        <v>3449</v>
      </c>
      <c r="F42" s="5" t="s">
        <v>3450</v>
      </c>
      <c r="G42" s="5">
        <v>75</v>
      </c>
      <c r="H42" s="5" t="s">
        <v>3265</v>
      </c>
      <c r="I42" s="5">
        <v>684</v>
      </c>
      <c r="J42" s="5" t="s">
        <v>3266</v>
      </c>
      <c r="K42" s="5">
        <v>4.92</v>
      </c>
      <c r="L42" s="5">
        <v>2215</v>
      </c>
      <c r="M42" s="5" t="s">
        <v>3267</v>
      </c>
      <c r="N42" s="5" t="s">
        <v>3451</v>
      </c>
    </row>
    <row r="43" spans="1:14" ht="68" customHeight="1">
      <c r="A43" s="5" t="s">
        <v>3452</v>
      </c>
      <c r="B43" s="5" t="s">
        <v>611</v>
      </c>
      <c r="C43" s="5" t="s">
        <v>3363</v>
      </c>
      <c r="D43" s="5" t="s">
        <v>3453</v>
      </c>
      <c r="E43" s="5" t="s">
        <v>3454</v>
      </c>
      <c r="F43" s="5" t="s">
        <v>3455</v>
      </c>
      <c r="G43" s="5">
        <v>59</v>
      </c>
      <c r="H43" s="5" t="s">
        <v>3265</v>
      </c>
      <c r="I43" s="5">
        <v>681</v>
      </c>
      <c r="J43" s="5" t="s">
        <v>3266</v>
      </c>
      <c r="K43" s="5">
        <v>4.93</v>
      </c>
      <c r="L43" s="5">
        <v>3575</v>
      </c>
      <c r="M43" s="5" t="s">
        <v>3267</v>
      </c>
      <c r="N43" s="5" t="s">
        <v>3456</v>
      </c>
    </row>
    <row r="44" spans="1:14" ht="68" customHeight="1">
      <c r="A44" s="5" t="s">
        <v>3457</v>
      </c>
      <c r="B44" s="5" t="s">
        <v>611</v>
      </c>
      <c r="C44" s="5" t="s">
        <v>3363</v>
      </c>
      <c r="D44" s="5" t="s">
        <v>3458</v>
      </c>
      <c r="E44" s="5" t="s">
        <v>3459</v>
      </c>
      <c r="F44" s="5" t="s">
        <v>3460</v>
      </c>
      <c r="G44" s="5">
        <v>103</v>
      </c>
      <c r="H44" s="5" t="s">
        <v>3265</v>
      </c>
      <c r="I44" s="5">
        <v>672</v>
      </c>
      <c r="J44" s="5" t="s">
        <v>3266</v>
      </c>
      <c r="K44" s="5">
        <v>4.78</v>
      </c>
      <c r="L44" s="5">
        <v>7713</v>
      </c>
      <c r="M44" s="5" t="s">
        <v>3267</v>
      </c>
      <c r="N44" s="5" t="s">
        <v>3461</v>
      </c>
    </row>
    <row r="45" spans="1:14" ht="68" customHeight="1">
      <c r="A45" s="5" t="s">
        <v>3462</v>
      </c>
      <c r="B45" s="5" t="s">
        <v>611</v>
      </c>
      <c r="C45" s="5" t="s">
        <v>3463</v>
      </c>
      <c r="D45" s="5" t="s">
        <v>3464</v>
      </c>
      <c r="E45" s="5" t="s">
        <v>3465</v>
      </c>
      <c r="F45" s="5" t="s">
        <v>3466</v>
      </c>
      <c r="G45" s="5">
        <v>29</v>
      </c>
      <c r="H45" s="5" t="s">
        <v>3265</v>
      </c>
      <c r="I45" s="5">
        <v>3582</v>
      </c>
      <c r="J45" s="5" t="s">
        <v>3266</v>
      </c>
      <c r="K45" s="5">
        <v>4.79</v>
      </c>
      <c r="L45" s="5">
        <v>7167</v>
      </c>
      <c r="M45" s="5" t="s">
        <v>3267</v>
      </c>
      <c r="N45" s="5" t="s">
        <v>3467</v>
      </c>
    </row>
    <row r="46" spans="1:14" ht="68" customHeight="1">
      <c r="A46" s="5" t="s">
        <v>3468</v>
      </c>
      <c r="B46" s="5" t="s">
        <v>611</v>
      </c>
      <c r="C46" s="5" t="s">
        <v>3463</v>
      </c>
      <c r="D46" s="5" t="s">
        <v>3469</v>
      </c>
      <c r="E46" s="5" t="s">
        <v>3470</v>
      </c>
      <c r="F46" s="5" t="s">
        <v>3471</v>
      </c>
      <c r="G46" s="5">
        <v>69</v>
      </c>
      <c r="H46" s="5" t="s">
        <v>3265</v>
      </c>
      <c r="I46" s="5">
        <v>2853</v>
      </c>
      <c r="J46" s="5" t="s">
        <v>3266</v>
      </c>
      <c r="K46" s="5">
        <v>4.82</v>
      </c>
      <c r="L46" s="5">
        <v>3611</v>
      </c>
      <c r="M46" s="5" t="s">
        <v>3267</v>
      </c>
      <c r="N46" s="5" t="s">
        <v>3472</v>
      </c>
    </row>
    <row r="47" spans="1:14" ht="68" customHeight="1">
      <c r="A47" s="5" t="s">
        <v>3473</v>
      </c>
      <c r="B47" s="5" t="s">
        <v>611</v>
      </c>
      <c r="C47" s="5" t="s">
        <v>3463</v>
      </c>
      <c r="D47" s="5" t="s">
        <v>3474</v>
      </c>
      <c r="E47" s="5" t="s">
        <v>3475</v>
      </c>
      <c r="F47" s="5" t="s">
        <v>3476</v>
      </c>
      <c r="G47" s="5">
        <v>29</v>
      </c>
      <c r="H47" s="5" t="s">
        <v>3265</v>
      </c>
      <c r="I47" s="5">
        <v>1862</v>
      </c>
      <c r="J47" s="5" t="s">
        <v>3266</v>
      </c>
      <c r="K47" s="5">
        <v>4.79</v>
      </c>
      <c r="L47" s="5">
        <v>13220</v>
      </c>
      <c r="M47" s="5" t="s">
        <v>3267</v>
      </c>
      <c r="N47" s="5" t="s">
        <v>3477</v>
      </c>
    </row>
    <row r="48" spans="1:14" ht="68" customHeight="1">
      <c r="A48" s="5" t="s">
        <v>3478</v>
      </c>
      <c r="B48" s="5" t="s">
        <v>611</v>
      </c>
      <c r="C48" s="5" t="s">
        <v>3463</v>
      </c>
      <c r="D48" s="5" t="s">
        <v>3479</v>
      </c>
      <c r="E48" s="5" t="s">
        <v>3480</v>
      </c>
      <c r="F48" s="5" t="s">
        <v>3481</v>
      </c>
      <c r="G48" s="5">
        <v>39</v>
      </c>
      <c r="H48" s="5" t="s">
        <v>3265</v>
      </c>
      <c r="I48" s="5">
        <v>1223</v>
      </c>
      <c r="J48" s="5" t="s">
        <v>3266</v>
      </c>
      <c r="K48" s="5">
        <v>4.71</v>
      </c>
      <c r="L48" s="5">
        <v>1520</v>
      </c>
      <c r="M48" s="5" t="s">
        <v>3267</v>
      </c>
      <c r="N48" s="5" t="s">
        <v>345</v>
      </c>
    </row>
    <row r="49" spans="1:14" ht="68" customHeight="1">
      <c r="A49" s="5" t="s">
        <v>3482</v>
      </c>
      <c r="B49" s="5" t="s">
        <v>611</v>
      </c>
      <c r="C49" s="5" t="s">
        <v>3463</v>
      </c>
      <c r="D49" s="5" t="s">
        <v>3483</v>
      </c>
      <c r="E49" s="5" t="s">
        <v>3484</v>
      </c>
      <c r="F49" s="5" t="s">
        <v>3485</v>
      </c>
      <c r="G49" s="5">
        <v>78</v>
      </c>
      <c r="H49" s="5" t="s">
        <v>3265</v>
      </c>
      <c r="I49" s="5">
        <v>923</v>
      </c>
      <c r="J49" s="5" t="s">
        <v>3266</v>
      </c>
      <c r="K49" s="5">
        <v>4.76</v>
      </c>
      <c r="L49" s="5">
        <v>27073</v>
      </c>
      <c r="M49" s="5" t="s">
        <v>3267</v>
      </c>
      <c r="N49" s="5" t="s">
        <v>335</v>
      </c>
    </row>
    <row r="50" spans="1:14" ht="68" customHeight="1">
      <c r="A50" s="5" t="s">
        <v>3486</v>
      </c>
      <c r="B50" s="5" t="s">
        <v>611</v>
      </c>
      <c r="C50" s="5" t="s">
        <v>3463</v>
      </c>
      <c r="D50" s="5" t="s">
        <v>3487</v>
      </c>
      <c r="E50" s="5" t="s">
        <v>3488</v>
      </c>
      <c r="F50" s="5" t="s">
        <v>3489</v>
      </c>
      <c r="G50" s="5">
        <v>29</v>
      </c>
      <c r="H50" s="5" t="s">
        <v>3265</v>
      </c>
      <c r="I50" s="5">
        <v>614</v>
      </c>
      <c r="J50" s="5" t="s">
        <v>3266</v>
      </c>
      <c r="K50" s="5">
        <v>4.69</v>
      </c>
      <c r="L50" s="5">
        <v>3771</v>
      </c>
      <c r="M50" s="5" t="s">
        <v>3267</v>
      </c>
      <c r="N50" s="5" t="s">
        <v>3490</v>
      </c>
    </row>
    <row r="51" spans="1:14" ht="68" customHeight="1">
      <c r="A51" s="5" t="s">
        <v>3491</v>
      </c>
      <c r="B51" s="5" t="s">
        <v>611</v>
      </c>
      <c r="C51" s="5" t="s">
        <v>3463</v>
      </c>
      <c r="D51" s="5" t="s">
        <v>3492</v>
      </c>
      <c r="E51" s="5" t="s">
        <v>3484</v>
      </c>
      <c r="F51" s="5" t="s">
        <v>3493</v>
      </c>
      <c r="G51" s="5">
        <v>54</v>
      </c>
      <c r="H51" s="5" t="s">
        <v>3265</v>
      </c>
      <c r="I51" s="5">
        <v>563</v>
      </c>
      <c r="J51" s="5" t="s">
        <v>3266</v>
      </c>
      <c r="K51" s="5">
        <v>4.84</v>
      </c>
      <c r="L51" s="5">
        <v>17325</v>
      </c>
      <c r="M51" s="5" t="s">
        <v>3267</v>
      </c>
      <c r="N51" s="5" t="s">
        <v>3494</v>
      </c>
    </row>
    <row r="52" spans="1:14" ht="68" customHeight="1">
      <c r="A52" s="5" t="s">
        <v>3495</v>
      </c>
      <c r="B52" s="5" t="s">
        <v>611</v>
      </c>
      <c r="C52" s="5" t="s">
        <v>3463</v>
      </c>
      <c r="D52" s="5" t="s">
        <v>3496</v>
      </c>
      <c r="E52" s="5" t="s">
        <v>3497</v>
      </c>
      <c r="F52" s="5" t="s">
        <v>3498</v>
      </c>
      <c r="G52" s="5">
        <v>39</v>
      </c>
      <c r="H52" s="5" t="s">
        <v>3265</v>
      </c>
      <c r="I52" s="5">
        <v>557</v>
      </c>
      <c r="J52" s="5" t="s">
        <v>3266</v>
      </c>
      <c r="K52" s="5">
        <v>4.94</v>
      </c>
      <c r="L52" s="5">
        <v>20058</v>
      </c>
      <c r="M52" s="5" t="s">
        <v>3267</v>
      </c>
      <c r="N52" s="5" t="s">
        <v>3499</v>
      </c>
    </row>
    <row r="53" spans="1:14" ht="68" customHeight="1">
      <c r="A53" s="5" t="s">
        <v>3500</v>
      </c>
      <c r="B53" s="5" t="s">
        <v>611</v>
      </c>
      <c r="C53" s="5" t="s">
        <v>3463</v>
      </c>
      <c r="D53" s="5" t="s">
        <v>3501</v>
      </c>
      <c r="E53" s="5" t="s">
        <v>3502</v>
      </c>
      <c r="F53" s="5" t="s">
        <v>3503</v>
      </c>
      <c r="G53" s="5">
        <v>29</v>
      </c>
      <c r="H53" s="5" t="s">
        <v>3265</v>
      </c>
      <c r="I53" s="5">
        <v>524</v>
      </c>
      <c r="J53" s="5" t="s">
        <v>3266</v>
      </c>
      <c r="K53" s="5">
        <v>4.68</v>
      </c>
      <c r="L53" s="5">
        <v>8200</v>
      </c>
      <c r="M53" s="5" t="s">
        <v>3267</v>
      </c>
      <c r="N53" s="5" t="s">
        <v>3504</v>
      </c>
    </row>
    <row r="54" spans="1:14" ht="68" customHeight="1">
      <c r="A54" s="5" t="s">
        <v>3505</v>
      </c>
      <c r="B54" s="5" t="s">
        <v>611</v>
      </c>
      <c r="C54" s="5" t="s">
        <v>3463</v>
      </c>
      <c r="D54" s="5" t="s">
        <v>3506</v>
      </c>
      <c r="E54" s="5" t="s">
        <v>3507</v>
      </c>
      <c r="F54" s="5" t="s">
        <v>3508</v>
      </c>
      <c r="G54" s="5">
        <v>105</v>
      </c>
      <c r="H54" s="5" t="s">
        <v>3265</v>
      </c>
      <c r="I54" s="5">
        <v>522</v>
      </c>
      <c r="J54" s="5" t="s">
        <v>3266</v>
      </c>
      <c r="K54" s="5">
        <v>4.9</v>
      </c>
      <c r="L54" s="5">
        <v>819</v>
      </c>
      <c r="M54" s="5" t="s">
        <v>3267</v>
      </c>
      <c r="N54" s="5" t="s">
        <v>353</v>
      </c>
    </row>
    <row r="55" spans="1:14" ht="68" customHeight="1">
      <c r="A55" s="5" t="s">
        <v>3509</v>
      </c>
      <c r="B55" s="5" t="s">
        <v>611</v>
      </c>
      <c r="C55" s="5" t="s">
        <v>3463</v>
      </c>
      <c r="D55" s="5" t="s">
        <v>3510</v>
      </c>
      <c r="E55" s="5" t="s">
        <v>3511</v>
      </c>
      <c r="F55" s="5" t="s">
        <v>3512</v>
      </c>
      <c r="G55" s="5">
        <v>79</v>
      </c>
      <c r="H55" s="5" t="s">
        <v>3265</v>
      </c>
      <c r="I55" s="5">
        <v>514</v>
      </c>
      <c r="J55" s="5" t="s">
        <v>3266</v>
      </c>
      <c r="K55" s="5">
        <v>4.78</v>
      </c>
      <c r="L55" s="5">
        <v>11167</v>
      </c>
      <c r="M55" s="5" t="s">
        <v>3267</v>
      </c>
      <c r="N55" s="5" t="s">
        <v>3513</v>
      </c>
    </row>
    <row r="56" spans="1:14" ht="68" customHeight="1">
      <c r="A56" s="5" t="s">
        <v>3514</v>
      </c>
      <c r="B56" s="5" t="s">
        <v>611</v>
      </c>
      <c r="C56" s="5" t="s">
        <v>3463</v>
      </c>
      <c r="D56" s="5" t="s">
        <v>3515</v>
      </c>
      <c r="E56" s="5" t="s">
        <v>3516</v>
      </c>
      <c r="F56" s="5" t="s">
        <v>3517</v>
      </c>
      <c r="G56" s="5">
        <v>63</v>
      </c>
      <c r="H56" s="5" t="s">
        <v>3265</v>
      </c>
      <c r="I56" s="5">
        <v>513</v>
      </c>
      <c r="J56" s="5" t="s">
        <v>3266</v>
      </c>
      <c r="K56" s="5">
        <v>4.75</v>
      </c>
      <c r="L56" s="5">
        <v>23265</v>
      </c>
      <c r="M56" s="5" t="s">
        <v>3267</v>
      </c>
      <c r="N56" s="5" t="s">
        <v>3518</v>
      </c>
    </row>
    <row r="57" spans="1:14" ht="68" customHeight="1">
      <c r="A57" s="5" t="s">
        <v>3519</v>
      </c>
      <c r="B57" s="5" t="s">
        <v>611</v>
      </c>
      <c r="C57" s="5" t="s">
        <v>3463</v>
      </c>
      <c r="D57" s="5" t="s">
        <v>3520</v>
      </c>
      <c r="E57" s="5" t="s">
        <v>3521</v>
      </c>
      <c r="F57" s="5" t="s">
        <v>3522</v>
      </c>
      <c r="G57" s="5">
        <v>5</v>
      </c>
      <c r="H57" s="5" t="s">
        <v>3265</v>
      </c>
      <c r="I57" s="5">
        <v>494</v>
      </c>
      <c r="J57" s="5" t="s">
        <v>3266</v>
      </c>
      <c r="K57" s="5">
        <v>4.67</v>
      </c>
      <c r="L57" s="5">
        <v>178</v>
      </c>
      <c r="M57" s="5" t="s">
        <v>3267</v>
      </c>
      <c r="N57" s="5" t="s">
        <v>3523</v>
      </c>
    </row>
    <row r="58" spans="1:14" ht="68" customHeight="1">
      <c r="A58" s="5" t="s">
        <v>3524</v>
      </c>
      <c r="B58" s="5" t="s">
        <v>611</v>
      </c>
      <c r="C58" s="5" t="s">
        <v>3463</v>
      </c>
      <c r="D58" s="5" t="s">
        <v>3525</v>
      </c>
      <c r="E58" s="5" t="s">
        <v>3526</v>
      </c>
      <c r="F58" s="5" t="s">
        <v>3527</v>
      </c>
      <c r="G58" s="5">
        <v>79</v>
      </c>
      <c r="H58" s="5" t="s">
        <v>3265</v>
      </c>
      <c r="I58" s="5">
        <v>443</v>
      </c>
      <c r="J58" s="5" t="s">
        <v>3266</v>
      </c>
      <c r="K58" s="5">
        <v>4.77</v>
      </c>
      <c r="L58" s="5">
        <v>2324</v>
      </c>
      <c r="M58" s="5" t="s">
        <v>3267</v>
      </c>
      <c r="N58" s="5" t="s">
        <v>3528</v>
      </c>
    </row>
    <row r="59" spans="1:14" ht="68" customHeight="1">
      <c r="A59" s="5" t="s">
        <v>3529</v>
      </c>
      <c r="B59" s="5" t="s">
        <v>611</v>
      </c>
      <c r="C59" s="5" t="s">
        <v>3463</v>
      </c>
      <c r="D59" s="5" t="s">
        <v>3530</v>
      </c>
      <c r="E59" s="5" t="s">
        <v>3531</v>
      </c>
      <c r="F59" s="5" t="s">
        <v>3532</v>
      </c>
      <c r="G59" s="5">
        <v>7</v>
      </c>
      <c r="H59" s="5" t="s">
        <v>3265</v>
      </c>
      <c r="I59" s="5">
        <v>433</v>
      </c>
      <c r="J59" s="5" t="s">
        <v>3266</v>
      </c>
      <c r="K59" s="5">
        <v>4.86</v>
      </c>
      <c r="L59" s="5">
        <v>2280</v>
      </c>
      <c r="M59" s="5" t="s">
        <v>3267</v>
      </c>
      <c r="N59" s="5" t="s">
        <v>3533</v>
      </c>
    </row>
    <row r="60" spans="1:14" ht="68" customHeight="1">
      <c r="A60" s="5" t="s">
        <v>3534</v>
      </c>
      <c r="B60" s="5" t="s">
        <v>611</v>
      </c>
      <c r="C60" s="5" t="s">
        <v>3463</v>
      </c>
      <c r="D60" s="5" t="s">
        <v>3535</v>
      </c>
      <c r="E60" s="5" t="s">
        <v>3536</v>
      </c>
      <c r="F60" s="5" t="s">
        <v>3537</v>
      </c>
      <c r="G60" s="5">
        <v>18</v>
      </c>
      <c r="H60" s="5" t="s">
        <v>3265</v>
      </c>
      <c r="I60" s="5">
        <v>358</v>
      </c>
      <c r="J60" s="5" t="s">
        <v>3266</v>
      </c>
      <c r="K60" s="5">
        <v>4.83</v>
      </c>
      <c r="L60" s="5">
        <v>656</v>
      </c>
      <c r="M60" s="5" t="s">
        <v>3267</v>
      </c>
      <c r="N60" s="5" t="s">
        <v>3538</v>
      </c>
    </row>
    <row r="61" spans="1:14" ht="68" customHeight="1">
      <c r="A61" s="5" t="s">
        <v>3539</v>
      </c>
      <c r="B61" s="5" t="s">
        <v>611</v>
      </c>
      <c r="C61" s="5" t="s">
        <v>3463</v>
      </c>
      <c r="D61" s="5" t="s">
        <v>3540</v>
      </c>
      <c r="E61" s="5" t="s">
        <v>3541</v>
      </c>
      <c r="F61" s="5" t="s">
        <v>3542</v>
      </c>
      <c r="G61" s="5">
        <v>58</v>
      </c>
      <c r="H61" s="5" t="s">
        <v>3265</v>
      </c>
      <c r="I61" s="5">
        <v>347</v>
      </c>
      <c r="J61" s="5" t="s">
        <v>3266</v>
      </c>
      <c r="K61" s="5">
        <v>4.67</v>
      </c>
      <c r="L61" s="5">
        <v>1907</v>
      </c>
      <c r="M61" s="5" t="s">
        <v>3267</v>
      </c>
      <c r="N61" s="5" t="s">
        <v>3543</v>
      </c>
    </row>
    <row r="62" spans="1:14" ht="68" customHeight="1">
      <c r="A62" s="5" t="s">
        <v>3544</v>
      </c>
      <c r="B62" s="5" t="s">
        <v>611</v>
      </c>
      <c r="C62" s="5" t="s">
        <v>3463</v>
      </c>
      <c r="D62" s="5" t="s">
        <v>3545</v>
      </c>
      <c r="E62" s="5" t="s">
        <v>3546</v>
      </c>
      <c r="F62" s="5" t="s">
        <v>3547</v>
      </c>
      <c r="G62" s="5">
        <v>16</v>
      </c>
      <c r="H62" s="5" t="s">
        <v>3265</v>
      </c>
      <c r="I62" s="5">
        <v>334</v>
      </c>
      <c r="J62" s="5" t="s">
        <v>3266</v>
      </c>
      <c r="K62" s="5">
        <v>4.54</v>
      </c>
      <c r="L62" s="5">
        <v>267</v>
      </c>
      <c r="M62" s="5" t="s">
        <v>3267</v>
      </c>
      <c r="N62" s="5" t="s">
        <v>3548</v>
      </c>
    </row>
    <row r="63" spans="1:14" ht="68" customHeight="1">
      <c r="A63" s="5" t="s">
        <v>3549</v>
      </c>
      <c r="B63" s="5" t="s">
        <v>611</v>
      </c>
      <c r="C63" s="5" t="s">
        <v>3463</v>
      </c>
      <c r="D63" s="5" t="s">
        <v>3550</v>
      </c>
      <c r="E63" s="5" t="s">
        <v>3551</v>
      </c>
      <c r="F63" s="5" t="s">
        <v>3552</v>
      </c>
      <c r="G63" s="5">
        <v>8</v>
      </c>
      <c r="H63" s="5" t="s">
        <v>3265</v>
      </c>
      <c r="I63" s="5">
        <v>303</v>
      </c>
      <c r="J63" s="5" t="s">
        <v>3266</v>
      </c>
      <c r="K63" s="5">
        <v>4.66</v>
      </c>
      <c r="L63" s="5">
        <v>389</v>
      </c>
      <c r="M63" s="5" t="s">
        <v>3267</v>
      </c>
      <c r="N63" s="5" t="s">
        <v>3553</v>
      </c>
    </row>
    <row r="64" spans="1:14" ht="68" customHeight="1">
      <c r="A64" s="5" t="s">
        <v>3554</v>
      </c>
      <c r="B64" s="5" t="s">
        <v>611</v>
      </c>
      <c r="C64" s="5" t="s">
        <v>3463</v>
      </c>
      <c r="D64" s="5" t="s">
        <v>3555</v>
      </c>
      <c r="E64" s="5" t="s">
        <v>3556</v>
      </c>
      <c r="F64" s="5" t="s">
        <v>3557</v>
      </c>
      <c r="G64" s="5">
        <v>65</v>
      </c>
      <c r="H64" s="5" t="s">
        <v>3265</v>
      </c>
      <c r="I64" s="5">
        <v>299</v>
      </c>
      <c r="J64" s="5" t="s">
        <v>3266</v>
      </c>
      <c r="K64" s="5">
        <v>4.9</v>
      </c>
      <c r="L64" s="5">
        <v>5704</v>
      </c>
      <c r="M64" s="5" t="s">
        <v>3267</v>
      </c>
      <c r="N64" s="5" t="s">
        <v>3558</v>
      </c>
    </row>
    <row r="65" spans="1:14" ht="68" customHeight="1">
      <c r="A65" s="5" t="s">
        <v>3559</v>
      </c>
      <c r="B65" s="5" t="s">
        <v>611</v>
      </c>
      <c r="C65" s="5" t="s">
        <v>3560</v>
      </c>
      <c r="D65" s="5" t="s">
        <v>3561</v>
      </c>
      <c r="E65" s="5" t="s">
        <v>3562</v>
      </c>
      <c r="F65" s="5" t="s">
        <v>3563</v>
      </c>
      <c r="G65" s="5">
        <v>767</v>
      </c>
      <c r="H65" s="5" t="s">
        <v>3265</v>
      </c>
      <c r="I65" s="5">
        <v>172</v>
      </c>
      <c r="J65" s="5" t="s">
        <v>3266</v>
      </c>
      <c r="K65" s="5">
        <v>4.95</v>
      </c>
      <c r="L65" s="5">
        <v>4134</v>
      </c>
      <c r="M65" s="5" t="s">
        <v>3267</v>
      </c>
      <c r="N65" s="5" t="s">
        <v>3564</v>
      </c>
    </row>
    <row r="66" spans="1:14" ht="68" customHeight="1">
      <c r="A66" s="5" t="s">
        <v>3565</v>
      </c>
      <c r="B66" s="5" t="s">
        <v>611</v>
      </c>
      <c r="C66" s="5" t="s">
        <v>3560</v>
      </c>
      <c r="D66" s="5" t="s">
        <v>3566</v>
      </c>
      <c r="E66" s="5" t="s">
        <v>3567</v>
      </c>
      <c r="F66" s="5" t="s">
        <v>3568</v>
      </c>
      <c r="G66" s="5">
        <v>75</v>
      </c>
      <c r="H66" s="5" t="s">
        <v>3265</v>
      </c>
      <c r="I66" s="5">
        <v>154</v>
      </c>
      <c r="J66" s="5" t="s">
        <v>3266</v>
      </c>
      <c r="K66" s="5">
        <v>4.95</v>
      </c>
      <c r="L66" s="5">
        <v>115</v>
      </c>
      <c r="M66" s="5" t="s">
        <v>3267</v>
      </c>
      <c r="N66" s="5" t="s">
        <v>3569</v>
      </c>
    </row>
    <row r="67" spans="1:14" ht="68" customHeight="1">
      <c r="A67" s="5" t="s">
        <v>3570</v>
      </c>
      <c r="B67" s="5" t="s">
        <v>611</v>
      </c>
      <c r="C67" s="5" t="s">
        <v>3560</v>
      </c>
      <c r="D67" s="5" t="s">
        <v>3571</v>
      </c>
      <c r="E67" s="5" t="s">
        <v>3572</v>
      </c>
      <c r="F67" s="5" t="s">
        <v>3573</v>
      </c>
      <c r="G67" s="5">
        <v>350</v>
      </c>
      <c r="H67" s="5" t="s">
        <v>3265</v>
      </c>
      <c r="I67" s="5">
        <v>125</v>
      </c>
      <c r="J67" s="5" t="s">
        <v>3266</v>
      </c>
      <c r="K67" s="5">
        <v>4.89</v>
      </c>
      <c r="L67" s="5">
        <v>740</v>
      </c>
      <c r="M67" s="5" t="s">
        <v>3267</v>
      </c>
      <c r="N67" s="5" t="s">
        <v>3574</v>
      </c>
    </row>
    <row r="68" spans="1:14" ht="68" customHeight="1">
      <c r="A68" s="5" t="s">
        <v>3575</v>
      </c>
      <c r="B68" s="5" t="s">
        <v>611</v>
      </c>
      <c r="C68" s="5" t="s">
        <v>3560</v>
      </c>
      <c r="D68" s="5" t="s">
        <v>3576</v>
      </c>
      <c r="E68" s="5" t="s">
        <v>3577</v>
      </c>
      <c r="F68" s="5" t="s">
        <v>3578</v>
      </c>
      <c r="G68" s="5">
        <v>120</v>
      </c>
      <c r="H68" s="5" t="s">
        <v>3265</v>
      </c>
      <c r="I68" s="5">
        <v>112</v>
      </c>
      <c r="J68" s="5" t="s">
        <v>3266</v>
      </c>
      <c r="K68" s="5">
        <v>4.83</v>
      </c>
      <c r="L68" s="5">
        <v>1438</v>
      </c>
      <c r="M68" s="5" t="s">
        <v>3267</v>
      </c>
      <c r="N68" s="5" t="s">
        <v>3579</v>
      </c>
    </row>
    <row r="69" spans="1:14" ht="68" customHeight="1">
      <c r="A69" s="5" t="s">
        <v>3580</v>
      </c>
      <c r="B69" s="5" t="s">
        <v>611</v>
      </c>
      <c r="C69" s="5" t="s">
        <v>3560</v>
      </c>
      <c r="D69" s="5" t="s">
        <v>3581</v>
      </c>
      <c r="E69" s="5" t="s">
        <v>3582</v>
      </c>
      <c r="F69" s="5" t="s">
        <v>3583</v>
      </c>
      <c r="G69" s="5">
        <v>737</v>
      </c>
      <c r="H69" s="5" t="s">
        <v>3265</v>
      </c>
      <c r="I69" s="5">
        <v>112</v>
      </c>
      <c r="J69" s="5" t="s">
        <v>3266</v>
      </c>
      <c r="K69" s="5">
        <v>4.95</v>
      </c>
      <c r="L69" s="5">
        <v>1143</v>
      </c>
      <c r="M69" s="5" t="s">
        <v>3267</v>
      </c>
      <c r="N69" s="5" t="s">
        <v>3584</v>
      </c>
    </row>
    <row r="70" spans="1:14" ht="68" customHeight="1">
      <c r="A70" s="5" t="s">
        <v>3585</v>
      </c>
      <c r="B70" s="5" t="s">
        <v>611</v>
      </c>
      <c r="C70" s="5" t="s">
        <v>3560</v>
      </c>
      <c r="D70" s="5" t="s">
        <v>3586</v>
      </c>
      <c r="E70" s="5" t="s">
        <v>3587</v>
      </c>
      <c r="F70" s="5" t="s">
        <v>3588</v>
      </c>
      <c r="G70" s="5">
        <v>85</v>
      </c>
      <c r="H70" s="5" t="s">
        <v>3265</v>
      </c>
      <c r="I70" s="5">
        <v>101</v>
      </c>
      <c r="J70" s="5" t="s">
        <v>3266</v>
      </c>
      <c r="K70" s="5">
        <v>4.94</v>
      </c>
      <c r="L70" s="5">
        <v>536</v>
      </c>
      <c r="M70" s="5" t="s">
        <v>3267</v>
      </c>
      <c r="N70" s="5" t="s">
        <v>3589</v>
      </c>
    </row>
    <row r="71" spans="1:14" ht="68" customHeight="1">
      <c r="A71" s="5" t="s">
        <v>3590</v>
      </c>
      <c r="B71" s="5" t="s">
        <v>611</v>
      </c>
      <c r="C71" s="5" t="s">
        <v>3560</v>
      </c>
      <c r="D71" s="5" t="s">
        <v>3591</v>
      </c>
      <c r="E71" s="5" t="s">
        <v>3592</v>
      </c>
      <c r="F71" s="5" t="s">
        <v>3593</v>
      </c>
      <c r="G71" s="5">
        <v>243</v>
      </c>
      <c r="H71" s="5" t="s">
        <v>3265</v>
      </c>
      <c r="I71" s="5">
        <v>68</v>
      </c>
      <c r="J71" s="5" t="s">
        <v>3266</v>
      </c>
      <c r="K71" s="5">
        <v>4.93</v>
      </c>
      <c r="L71" s="5">
        <v>786</v>
      </c>
      <c r="M71" s="5" t="s">
        <v>3267</v>
      </c>
      <c r="N71" s="5" t="s">
        <v>291</v>
      </c>
    </row>
    <row r="72" spans="1:14" ht="68" customHeight="1">
      <c r="A72" s="5" t="s">
        <v>3594</v>
      </c>
      <c r="B72" s="5" t="s">
        <v>611</v>
      </c>
      <c r="C72" s="5" t="s">
        <v>3560</v>
      </c>
      <c r="D72" s="5" t="s">
        <v>3595</v>
      </c>
      <c r="E72" s="5" t="s">
        <v>3596</v>
      </c>
      <c r="F72" s="5" t="s">
        <v>3597</v>
      </c>
      <c r="G72" s="5">
        <v>198</v>
      </c>
      <c r="H72" s="5" t="s">
        <v>3265</v>
      </c>
      <c r="I72" s="5">
        <v>46</v>
      </c>
      <c r="J72" s="5" t="s">
        <v>3266</v>
      </c>
      <c r="K72" s="5">
        <v>4.86</v>
      </c>
      <c r="L72" s="5">
        <v>1481</v>
      </c>
      <c r="M72" s="5" t="s">
        <v>3267</v>
      </c>
      <c r="N72" s="5" t="s">
        <v>3598</v>
      </c>
    </row>
    <row r="73" spans="1:14" ht="68" customHeight="1">
      <c r="A73" s="5" t="s">
        <v>3599</v>
      </c>
      <c r="B73" s="5" t="s">
        <v>611</v>
      </c>
      <c r="C73" s="5" t="s">
        <v>3560</v>
      </c>
      <c r="D73" s="5" t="s">
        <v>3600</v>
      </c>
      <c r="E73" s="5" t="s">
        <v>3601</v>
      </c>
      <c r="F73" s="5" t="s">
        <v>3602</v>
      </c>
      <c r="G73" s="5">
        <v>164</v>
      </c>
      <c r="H73" s="5" t="s">
        <v>3265</v>
      </c>
      <c r="I73" s="5">
        <v>25</v>
      </c>
      <c r="J73" s="5" t="s">
        <v>3266</v>
      </c>
      <c r="K73" s="5">
        <v>4.8</v>
      </c>
      <c r="L73" s="5">
        <v>54</v>
      </c>
      <c r="M73" s="5" t="s">
        <v>3267</v>
      </c>
      <c r="N73" s="5" t="s">
        <v>3603</v>
      </c>
    </row>
    <row r="74" spans="1:14" ht="68" customHeight="1">
      <c r="A74" s="5" t="s">
        <v>3604</v>
      </c>
      <c r="B74" s="5" t="s">
        <v>611</v>
      </c>
      <c r="C74" s="5" t="s">
        <v>3560</v>
      </c>
      <c r="D74" s="5" t="s">
        <v>3605</v>
      </c>
      <c r="E74" s="5" t="s">
        <v>3606</v>
      </c>
      <c r="F74" s="5" t="s">
        <v>3607</v>
      </c>
      <c r="G74" s="5">
        <v>120</v>
      </c>
      <c r="H74" s="5" t="s">
        <v>3265</v>
      </c>
      <c r="I74" s="5">
        <v>14</v>
      </c>
      <c r="J74" s="5" t="s">
        <v>3266</v>
      </c>
      <c r="K74" s="5">
        <v>4.94</v>
      </c>
      <c r="L74" s="5">
        <v>163</v>
      </c>
      <c r="M74" s="5" t="s">
        <v>3267</v>
      </c>
      <c r="N74" s="5" t="s">
        <v>3608</v>
      </c>
    </row>
    <row r="75" spans="1:14" ht="68" customHeight="1">
      <c r="A75" s="5" t="s">
        <v>3609</v>
      </c>
      <c r="B75" s="5" t="s">
        <v>611</v>
      </c>
      <c r="C75" s="5" t="s">
        <v>3560</v>
      </c>
      <c r="D75" s="5" t="s">
        <v>3610</v>
      </c>
      <c r="E75" s="5" t="s">
        <v>3611</v>
      </c>
      <c r="F75" s="5" t="s">
        <v>3612</v>
      </c>
      <c r="G75" s="5">
        <v>230</v>
      </c>
      <c r="H75" s="5" t="s">
        <v>3265</v>
      </c>
      <c r="I75" s="5">
        <v>8</v>
      </c>
      <c r="J75" s="5" t="s">
        <v>3266</v>
      </c>
      <c r="K75" s="5">
        <v>5</v>
      </c>
      <c r="L75" s="5">
        <v>1</v>
      </c>
      <c r="M75" s="5" t="s">
        <v>3267</v>
      </c>
      <c r="N75" s="5" t="s">
        <v>3613</v>
      </c>
    </row>
    <row r="76" spans="1:14" ht="68" customHeight="1">
      <c r="A76" s="5" t="s">
        <v>3614</v>
      </c>
      <c r="B76" s="5" t="s">
        <v>611</v>
      </c>
      <c r="C76" s="5" t="s">
        <v>3560</v>
      </c>
      <c r="D76" s="5" t="s">
        <v>3615</v>
      </c>
      <c r="E76" s="5" t="s">
        <v>3562</v>
      </c>
      <c r="F76" s="5" t="s">
        <v>3616</v>
      </c>
      <c r="G76" s="5">
        <v>1508</v>
      </c>
      <c r="H76" s="5" t="s">
        <v>3265</v>
      </c>
      <c r="I76" s="5">
        <v>7</v>
      </c>
      <c r="J76" s="5" t="s">
        <v>3266</v>
      </c>
      <c r="K76" s="5">
        <v>5</v>
      </c>
      <c r="L76" s="5">
        <v>22</v>
      </c>
      <c r="M76" s="5" t="s">
        <v>3267</v>
      </c>
      <c r="N76" s="5" t="s">
        <v>3617</v>
      </c>
    </row>
    <row r="77" spans="1:14" ht="68" customHeight="1">
      <c r="A77" s="5" t="s">
        <v>3618</v>
      </c>
      <c r="B77" s="5" t="s">
        <v>611</v>
      </c>
      <c r="C77" s="5" t="s">
        <v>3560</v>
      </c>
      <c r="D77" s="5" t="s">
        <v>3619</v>
      </c>
      <c r="E77" s="5" t="s">
        <v>3620</v>
      </c>
      <c r="F77" s="5" t="s">
        <v>3621</v>
      </c>
      <c r="G77" s="5">
        <v>363</v>
      </c>
      <c r="H77" s="5" t="s">
        <v>3265</v>
      </c>
      <c r="I77" s="5">
        <v>4</v>
      </c>
      <c r="J77" s="5" t="s">
        <v>3266</v>
      </c>
      <c r="K77" s="5">
        <v>5</v>
      </c>
      <c r="L77" s="5">
        <v>66</v>
      </c>
      <c r="M77" s="5" t="s">
        <v>3267</v>
      </c>
      <c r="N77" s="5" t="s">
        <v>3622</v>
      </c>
    </row>
    <row r="78" spans="1:14" ht="68" customHeight="1">
      <c r="A78" s="5" t="s">
        <v>3623</v>
      </c>
      <c r="B78" s="5" t="s">
        <v>611</v>
      </c>
      <c r="C78" s="5" t="s">
        <v>3560</v>
      </c>
      <c r="D78" s="5" t="s">
        <v>3624</v>
      </c>
      <c r="E78" s="5" t="s">
        <v>3625</v>
      </c>
      <c r="F78" s="5" t="s">
        <v>3626</v>
      </c>
      <c r="G78" s="5">
        <v>2350</v>
      </c>
      <c r="H78" s="5" t="s">
        <v>3265</v>
      </c>
      <c r="I78" s="5">
        <v>4</v>
      </c>
      <c r="J78" s="5" t="s">
        <v>3266</v>
      </c>
      <c r="K78" s="5">
        <v>5</v>
      </c>
      <c r="L78" s="5">
        <v>23</v>
      </c>
      <c r="M78" s="5" t="s">
        <v>3267</v>
      </c>
      <c r="N78" s="5" t="s">
        <v>3627</v>
      </c>
    </row>
    <row r="79" spans="1:14" ht="68" customHeight="1">
      <c r="A79" s="5" t="s">
        <v>3628</v>
      </c>
      <c r="B79" s="5" t="s">
        <v>611</v>
      </c>
      <c r="C79" s="5" t="s">
        <v>3560</v>
      </c>
      <c r="D79" s="5" t="s">
        <v>3629</v>
      </c>
      <c r="E79" s="5" t="s">
        <v>3630</v>
      </c>
      <c r="F79" s="5" t="s">
        <v>3631</v>
      </c>
      <c r="G79" s="5">
        <v>650</v>
      </c>
      <c r="H79" s="5" t="s">
        <v>3265</v>
      </c>
      <c r="I79" s="5">
        <v>4</v>
      </c>
      <c r="J79" s="5" t="s">
        <v>3266</v>
      </c>
      <c r="K79" s="5">
        <v>4.95</v>
      </c>
      <c r="L79" s="5">
        <v>19</v>
      </c>
      <c r="M79" s="5" t="s">
        <v>3267</v>
      </c>
      <c r="N79" s="5" t="s">
        <v>3632</v>
      </c>
    </row>
    <row r="80" spans="1:14" ht="68" customHeight="1">
      <c r="A80" s="5" t="s">
        <v>3633</v>
      </c>
      <c r="B80" s="5" t="s">
        <v>611</v>
      </c>
      <c r="C80" s="5" t="s">
        <v>3560</v>
      </c>
      <c r="D80" s="5" t="s">
        <v>3634</v>
      </c>
      <c r="E80" s="5" t="s">
        <v>3635</v>
      </c>
      <c r="F80" s="5" t="s">
        <v>3636</v>
      </c>
      <c r="G80" s="5">
        <v>175</v>
      </c>
      <c r="H80" s="5" t="s">
        <v>3265</v>
      </c>
      <c r="I80" s="5">
        <v>3</v>
      </c>
      <c r="J80" s="5" t="s">
        <v>3266</v>
      </c>
      <c r="K80" s="5">
        <v>4.64</v>
      </c>
      <c r="L80" s="5">
        <v>104</v>
      </c>
      <c r="M80" s="5" t="s">
        <v>3267</v>
      </c>
      <c r="N80" s="5" t="s">
        <v>3637</v>
      </c>
    </row>
    <row r="81" spans="1:14" ht="68" customHeight="1">
      <c r="A81" s="5" t="s">
        <v>3638</v>
      </c>
      <c r="B81" s="5" t="s">
        <v>611</v>
      </c>
      <c r="C81" s="5" t="s">
        <v>3560</v>
      </c>
      <c r="D81" s="5" t="s">
        <v>3639</v>
      </c>
      <c r="E81" s="5" t="s">
        <v>3640</v>
      </c>
      <c r="F81" s="5" t="s">
        <v>3641</v>
      </c>
      <c r="G81" s="5">
        <v>359</v>
      </c>
      <c r="H81" s="5" t="s">
        <v>3265</v>
      </c>
      <c r="I81" s="5">
        <v>2</v>
      </c>
      <c r="J81" s="5" t="s">
        <v>3266</v>
      </c>
      <c r="K81" s="5">
        <v>4.8</v>
      </c>
      <c r="L81" s="5">
        <v>10</v>
      </c>
      <c r="M81" s="5" t="s">
        <v>3267</v>
      </c>
      <c r="N81" s="5" t="s">
        <v>3642</v>
      </c>
    </row>
    <row r="82" spans="1:14" ht="68" customHeight="1">
      <c r="A82" s="5" t="s">
        <v>3643</v>
      </c>
      <c r="B82" s="5" t="s">
        <v>611</v>
      </c>
      <c r="C82" s="5" t="s">
        <v>3560</v>
      </c>
      <c r="D82" s="5" t="s">
        <v>3644</v>
      </c>
      <c r="E82" s="5" t="s">
        <v>3645</v>
      </c>
      <c r="F82" s="5" t="s">
        <v>3646</v>
      </c>
      <c r="G82" s="5">
        <v>145</v>
      </c>
      <c r="H82" s="5" t="s">
        <v>3265</v>
      </c>
      <c r="I82" s="5">
        <v>1</v>
      </c>
      <c r="J82" s="5" t="s">
        <v>3266</v>
      </c>
      <c r="K82" s="5">
        <v>4.82</v>
      </c>
      <c r="L82" s="5">
        <v>346</v>
      </c>
      <c r="M82" s="5" t="s">
        <v>3267</v>
      </c>
      <c r="N82" s="5" t="s">
        <v>3647</v>
      </c>
    </row>
    <row r="83" spans="1:14" ht="68" customHeight="1">
      <c r="A83" s="5" t="s">
        <v>3648</v>
      </c>
      <c r="B83" s="5" t="s">
        <v>611</v>
      </c>
      <c r="C83" s="5" t="s">
        <v>3560</v>
      </c>
      <c r="D83" s="5" t="s">
        <v>3649</v>
      </c>
      <c r="E83" s="5" t="s">
        <v>3625</v>
      </c>
      <c r="F83" s="5" t="s">
        <v>3650</v>
      </c>
      <c r="G83" s="5">
        <v>1200</v>
      </c>
      <c r="H83" s="5" t="s">
        <v>3265</v>
      </c>
      <c r="I83" s="5">
        <v>1</v>
      </c>
      <c r="J83" s="5" t="s">
        <v>3266</v>
      </c>
      <c r="K83" s="5">
        <v>5</v>
      </c>
      <c r="L83" s="5">
        <v>5</v>
      </c>
      <c r="M83" s="5" t="s">
        <v>3267</v>
      </c>
      <c r="N83" s="5" t="s">
        <v>3651</v>
      </c>
    </row>
    <row r="84" spans="1:14" ht="68" customHeight="1">
      <c r="A84" s="5" t="s">
        <v>3652</v>
      </c>
      <c r="B84" s="5" t="s">
        <v>611</v>
      </c>
      <c r="C84" s="5" t="s">
        <v>3560</v>
      </c>
      <c r="D84" s="5" t="s">
        <v>3653</v>
      </c>
      <c r="E84" s="5" t="s">
        <v>3654</v>
      </c>
      <c r="F84" s="5" t="s">
        <v>3655</v>
      </c>
      <c r="G84" s="5">
        <v>423</v>
      </c>
      <c r="H84" s="5" t="s">
        <v>3265</v>
      </c>
      <c r="I84" s="5">
        <v>0</v>
      </c>
      <c r="J84" s="5" t="s">
        <v>3266</v>
      </c>
      <c r="K84" s="5">
        <v>5</v>
      </c>
      <c r="L84" s="5">
        <v>2</v>
      </c>
      <c r="M84" s="5" t="s">
        <v>3267</v>
      </c>
      <c r="N84" s="5" t="s">
        <v>3656</v>
      </c>
    </row>
    <row r="85" spans="1:14" ht="68" customHeight="1">
      <c r="A85" s="5" t="s">
        <v>3657</v>
      </c>
      <c r="B85" s="5" t="s">
        <v>611</v>
      </c>
      <c r="C85" s="5" t="s">
        <v>3658</v>
      </c>
      <c r="D85" s="5" t="s">
        <v>3659</v>
      </c>
      <c r="E85" s="5" t="s">
        <v>3394</v>
      </c>
      <c r="F85" s="5" t="s">
        <v>3660</v>
      </c>
      <c r="G85" s="5">
        <v>27</v>
      </c>
      <c r="H85" s="5" t="s">
        <v>3265</v>
      </c>
      <c r="I85" s="5">
        <v>4053</v>
      </c>
      <c r="J85" s="5" t="s">
        <v>3266</v>
      </c>
      <c r="K85" s="5">
        <v>4.8</v>
      </c>
      <c r="L85" s="5">
        <v>3348</v>
      </c>
      <c r="M85" s="5" t="s">
        <v>3267</v>
      </c>
      <c r="N85" s="5" t="s">
        <v>376</v>
      </c>
    </row>
    <row r="86" spans="1:14" ht="68" customHeight="1">
      <c r="A86" s="5" t="s">
        <v>3661</v>
      </c>
      <c r="B86" s="5" t="s">
        <v>611</v>
      </c>
      <c r="C86" s="5" t="s">
        <v>3658</v>
      </c>
      <c r="D86" s="5" t="s">
        <v>3662</v>
      </c>
      <c r="E86" s="5" t="s">
        <v>3572</v>
      </c>
      <c r="F86" s="5" t="s">
        <v>3663</v>
      </c>
      <c r="G86" s="5">
        <v>110</v>
      </c>
      <c r="H86" s="5" t="s">
        <v>3265</v>
      </c>
      <c r="I86" s="5">
        <v>3470</v>
      </c>
      <c r="J86" s="5" t="s">
        <v>3266</v>
      </c>
      <c r="K86" s="5">
        <v>4.88</v>
      </c>
      <c r="L86" s="5">
        <v>8585</v>
      </c>
      <c r="M86" s="5" t="s">
        <v>3267</v>
      </c>
      <c r="N86" s="5" t="s">
        <v>301</v>
      </c>
    </row>
    <row r="87" spans="1:14" ht="68" customHeight="1">
      <c r="A87" s="5" t="s">
        <v>3664</v>
      </c>
      <c r="B87" s="5" t="s">
        <v>611</v>
      </c>
      <c r="C87" s="5" t="s">
        <v>3658</v>
      </c>
      <c r="D87" s="5" t="s">
        <v>3665</v>
      </c>
      <c r="E87" s="5" t="s">
        <v>3666</v>
      </c>
      <c r="F87" s="5" t="s">
        <v>3667</v>
      </c>
      <c r="G87" s="5">
        <v>12</v>
      </c>
      <c r="H87" s="5" t="s">
        <v>3265</v>
      </c>
      <c r="I87" s="5">
        <v>3409</v>
      </c>
      <c r="J87" s="5" t="s">
        <v>3266</v>
      </c>
      <c r="K87" s="5">
        <v>4.78</v>
      </c>
      <c r="L87" s="5">
        <v>6564</v>
      </c>
      <c r="M87" s="5" t="s">
        <v>3267</v>
      </c>
      <c r="N87" s="5" t="s">
        <v>3668</v>
      </c>
    </row>
    <row r="88" spans="1:14" ht="68" customHeight="1">
      <c r="A88" s="5" t="s">
        <v>3669</v>
      </c>
      <c r="B88" s="5" t="s">
        <v>611</v>
      </c>
      <c r="C88" s="5" t="s">
        <v>3658</v>
      </c>
      <c r="D88" s="5" t="s">
        <v>3670</v>
      </c>
      <c r="E88" s="5" t="s">
        <v>3671</v>
      </c>
      <c r="F88" s="5" t="s">
        <v>3672</v>
      </c>
      <c r="G88" s="5">
        <v>95</v>
      </c>
      <c r="H88" s="5" t="s">
        <v>3265</v>
      </c>
      <c r="I88" s="5">
        <v>2675</v>
      </c>
      <c r="J88" s="5" t="s">
        <v>3266</v>
      </c>
      <c r="K88" s="5">
        <v>4.75</v>
      </c>
      <c r="L88" s="5">
        <v>16301</v>
      </c>
      <c r="M88" s="5" t="s">
        <v>3267</v>
      </c>
      <c r="N88" s="5" t="s">
        <v>3673</v>
      </c>
    </row>
    <row r="89" spans="1:14" ht="68" customHeight="1">
      <c r="A89" s="5" t="s">
        <v>3674</v>
      </c>
      <c r="B89" s="5" t="s">
        <v>611</v>
      </c>
      <c r="C89" s="5" t="s">
        <v>3658</v>
      </c>
      <c r="D89" s="5" t="s">
        <v>3675</v>
      </c>
      <c r="E89" s="5" t="s">
        <v>3676</v>
      </c>
      <c r="F89" s="5" t="s">
        <v>3677</v>
      </c>
      <c r="G89" s="5">
        <v>204</v>
      </c>
      <c r="H89" s="5" t="s">
        <v>3265</v>
      </c>
      <c r="I89" s="5">
        <v>1741</v>
      </c>
      <c r="J89" s="5" t="s">
        <v>3266</v>
      </c>
      <c r="K89" s="5">
        <v>4.88</v>
      </c>
      <c r="L89" s="5">
        <v>874</v>
      </c>
      <c r="M89" s="5" t="s">
        <v>3267</v>
      </c>
      <c r="N89" s="5" t="s">
        <v>3678</v>
      </c>
    </row>
    <row r="90" spans="1:14" ht="68" customHeight="1">
      <c r="A90" s="5" t="s">
        <v>3679</v>
      </c>
      <c r="B90" s="5" t="s">
        <v>611</v>
      </c>
      <c r="C90" s="5" t="s">
        <v>3658</v>
      </c>
      <c r="D90" s="5" t="s">
        <v>3680</v>
      </c>
      <c r="E90" s="5" t="s">
        <v>3681</v>
      </c>
      <c r="F90" s="5" t="s">
        <v>3682</v>
      </c>
      <c r="G90" s="5">
        <v>162</v>
      </c>
      <c r="H90" s="5" t="s">
        <v>3265</v>
      </c>
      <c r="I90" s="5">
        <v>1398</v>
      </c>
      <c r="J90" s="5" t="s">
        <v>3266</v>
      </c>
      <c r="K90" s="5">
        <v>4.86</v>
      </c>
      <c r="L90" s="5">
        <v>1380</v>
      </c>
      <c r="M90" s="5" t="s">
        <v>3267</v>
      </c>
      <c r="N90" s="5" t="s">
        <v>3683</v>
      </c>
    </row>
    <row r="91" spans="1:14" ht="68" customHeight="1">
      <c r="A91" s="5" t="s">
        <v>3684</v>
      </c>
      <c r="B91" s="5" t="s">
        <v>611</v>
      </c>
      <c r="C91" s="5" t="s">
        <v>3658</v>
      </c>
      <c r="D91" s="5" t="s">
        <v>3685</v>
      </c>
      <c r="E91" s="5" t="s">
        <v>3686</v>
      </c>
      <c r="F91" s="5" t="s">
        <v>3687</v>
      </c>
      <c r="G91" s="5">
        <v>324</v>
      </c>
      <c r="H91" s="5" t="s">
        <v>3265</v>
      </c>
      <c r="I91" s="5">
        <v>1096</v>
      </c>
      <c r="J91" s="5" t="s">
        <v>3266</v>
      </c>
      <c r="K91" s="5">
        <v>4.88</v>
      </c>
      <c r="L91" s="5">
        <v>5200</v>
      </c>
      <c r="M91" s="5" t="s">
        <v>3267</v>
      </c>
      <c r="N91" s="5" t="s">
        <v>3688</v>
      </c>
    </row>
    <row r="92" spans="1:14" ht="68" customHeight="1">
      <c r="A92" s="5" t="s">
        <v>3689</v>
      </c>
      <c r="B92" s="5" t="s">
        <v>611</v>
      </c>
      <c r="C92" s="5" t="s">
        <v>3658</v>
      </c>
      <c r="D92" s="5" t="s">
        <v>3690</v>
      </c>
      <c r="E92" s="5" t="s">
        <v>3691</v>
      </c>
      <c r="F92" s="5" t="s">
        <v>3692</v>
      </c>
      <c r="G92" s="5">
        <v>76</v>
      </c>
      <c r="H92" s="5" t="s">
        <v>3265</v>
      </c>
      <c r="I92" s="5">
        <v>994</v>
      </c>
      <c r="J92" s="5" t="s">
        <v>3266</v>
      </c>
      <c r="K92" s="5">
        <v>4.81</v>
      </c>
      <c r="L92" s="5">
        <v>2615</v>
      </c>
      <c r="M92" s="5" t="s">
        <v>3267</v>
      </c>
      <c r="N92" s="5" t="s">
        <v>3693</v>
      </c>
    </row>
    <row r="93" spans="1:14" ht="68" customHeight="1">
      <c r="A93" s="5" t="s">
        <v>3694</v>
      </c>
      <c r="B93" s="5" t="s">
        <v>611</v>
      </c>
      <c r="C93" s="5" t="s">
        <v>3658</v>
      </c>
      <c r="D93" s="5" t="s">
        <v>3695</v>
      </c>
      <c r="E93" s="5" t="s">
        <v>3666</v>
      </c>
      <c r="F93" s="5" t="s">
        <v>3696</v>
      </c>
      <c r="G93" s="5">
        <v>12</v>
      </c>
      <c r="H93" s="5" t="s">
        <v>3265</v>
      </c>
      <c r="I93" s="5">
        <v>866</v>
      </c>
      <c r="J93" s="5" t="s">
        <v>3266</v>
      </c>
      <c r="K93" s="5">
        <v>4.75</v>
      </c>
      <c r="L93" s="5">
        <v>515</v>
      </c>
      <c r="M93" s="5" t="s">
        <v>3267</v>
      </c>
      <c r="N93" s="5" t="s">
        <v>3697</v>
      </c>
    </row>
    <row r="94" spans="1:14" ht="68" customHeight="1">
      <c r="A94" s="5" t="s">
        <v>3698</v>
      </c>
      <c r="B94" s="5" t="s">
        <v>611</v>
      </c>
      <c r="C94" s="5" t="s">
        <v>3658</v>
      </c>
      <c r="D94" s="5" t="s">
        <v>3699</v>
      </c>
      <c r="E94" s="5" t="s">
        <v>3700</v>
      </c>
      <c r="F94" s="5" t="s">
        <v>3701</v>
      </c>
      <c r="G94" s="5">
        <v>90</v>
      </c>
      <c r="H94" s="5" t="s">
        <v>3265</v>
      </c>
      <c r="I94" s="5">
        <v>849</v>
      </c>
      <c r="J94" s="5" t="s">
        <v>3266</v>
      </c>
      <c r="K94" s="5">
        <v>4.74</v>
      </c>
      <c r="L94" s="5">
        <v>3991</v>
      </c>
      <c r="M94" s="5" t="s">
        <v>3267</v>
      </c>
      <c r="N94" s="5" t="s">
        <v>3702</v>
      </c>
    </row>
    <row r="95" spans="1:14" ht="68" customHeight="1">
      <c r="A95" s="5" t="s">
        <v>3703</v>
      </c>
      <c r="B95" s="5" t="s">
        <v>611</v>
      </c>
      <c r="C95" s="5" t="s">
        <v>3658</v>
      </c>
      <c r="D95" s="5" t="s">
        <v>3704</v>
      </c>
      <c r="E95" s="5" t="s">
        <v>3484</v>
      </c>
      <c r="F95" s="5" t="s">
        <v>3705</v>
      </c>
      <c r="G95" s="5">
        <v>82</v>
      </c>
      <c r="H95" s="5" t="s">
        <v>3265</v>
      </c>
      <c r="I95" s="5">
        <v>825</v>
      </c>
      <c r="J95" s="5" t="s">
        <v>3266</v>
      </c>
      <c r="K95" s="5">
        <v>4.88</v>
      </c>
      <c r="L95" s="5">
        <v>951</v>
      </c>
      <c r="M95" s="5" t="s">
        <v>3267</v>
      </c>
      <c r="N95" s="5" t="s">
        <v>3706</v>
      </c>
    </row>
    <row r="96" spans="1:14" ht="68" customHeight="1">
      <c r="A96" s="5" t="s">
        <v>3707</v>
      </c>
      <c r="B96" s="5" t="s">
        <v>611</v>
      </c>
      <c r="C96" s="5" t="s">
        <v>3658</v>
      </c>
      <c r="D96" s="5" t="s">
        <v>3708</v>
      </c>
      <c r="E96" s="5" t="s">
        <v>3709</v>
      </c>
      <c r="F96" s="5" t="s">
        <v>3710</v>
      </c>
      <c r="G96" s="5">
        <v>51</v>
      </c>
      <c r="H96" s="5" t="s">
        <v>3265</v>
      </c>
      <c r="I96" s="5">
        <v>815</v>
      </c>
      <c r="J96" s="5" t="s">
        <v>3266</v>
      </c>
      <c r="K96" s="5">
        <v>4.74</v>
      </c>
      <c r="L96" s="5">
        <v>2442</v>
      </c>
      <c r="M96" s="5" t="s">
        <v>3267</v>
      </c>
      <c r="N96" s="5" t="s">
        <v>3711</v>
      </c>
    </row>
    <row r="97" spans="1:14" ht="68" customHeight="1">
      <c r="A97" s="5" t="s">
        <v>3712</v>
      </c>
      <c r="B97" s="5" t="s">
        <v>611</v>
      </c>
      <c r="C97" s="5" t="s">
        <v>3658</v>
      </c>
      <c r="D97" s="5" t="s">
        <v>3713</v>
      </c>
      <c r="E97" s="5" t="s">
        <v>3394</v>
      </c>
      <c r="F97" s="5" t="s">
        <v>3714</v>
      </c>
      <c r="G97" s="5">
        <v>168</v>
      </c>
      <c r="H97" s="5" t="s">
        <v>3265</v>
      </c>
      <c r="I97" s="5">
        <v>750</v>
      </c>
      <c r="J97" s="5" t="s">
        <v>3266</v>
      </c>
      <c r="K97" s="5">
        <v>4.87</v>
      </c>
      <c r="L97" s="5">
        <v>6033</v>
      </c>
      <c r="M97" s="5" t="s">
        <v>3267</v>
      </c>
      <c r="N97" s="5" t="s">
        <v>319</v>
      </c>
    </row>
    <row r="98" spans="1:14" ht="68" customHeight="1">
      <c r="A98" s="5" t="s">
        <v>3715</v>
      </c>
      <c r="B98" s="5" t="s">
        <v>611</v>
      </c>
      <c r="C98" s="5" t="s">
        <v>3658</v>
      </c>
      <c r="D98" s="5" t="s">
        <v>3716</v>
      </c>
      <c r="E98" s="5" t="s">
        <v>3717</v>
      </c>
      <c r="F98" s="5" t="s">
        <v>3718</v>
      </c>
      <c r="G98" s="5">
        <v>90</v>
      </c>
      <c r="H98" s="5" t="s">
        <v>3265</v>
      </c>
      <c r="I98" s="5">
        <v>727</v>
      </c>
      <c r="J98" s="5" t="s">
        <v>3266</v>
      </c>
      <c r="K98" s="5">
        <v>4.82</v>
      </c>
      <c r="L98" s="5">
        <v>31363</v>
      </c>
      <c r="M98" s="5" t="s">
        <v>3267</v>
      </c>
      <c r="N98" s="5" t="s">
        <v>3719</v>
      </c>
    </row>
    <row r="99" spans="1:14" ht="68" customHeight="1">
      <c r="A99" s="5" t="s">
        <v>3720</v>
      </c>
      <c r="B99" s="5" t="s">
        <v>611</v>
      </c>
      <c r="C99" s="5" t="s">
        <v>3658</v>
      </c>
      <c r="D99" s="5" t="s">
        <v>3721</v>
      </c>
      <c r="E99" s="5" t="s">
        <v>3676</v>
      </c>
      <c r="F99" s="5" t="s">
        <v>3722</v>
      </c>
      <c r="G99" s="5">
        <v>204</v>
      </c>
      <c r="H99" s="5" t="s">
        <v>3265</v>
      </c>
      <c r="I99" s="5">
        <v>602</v>
      </c>
      <c r="J99" s="5" t="s">
        <v>3266</v>
      </c>
      <c r="K99" s="5">
        <v>4.86</v>
      </c>
      <c r="L99" s="5">
        <v>1015</v>
      </c>
      <c r="M99" s="5" t="s">
        <v>3267</v>
      </c>
      <c r="N99" s="5" t="s">
        <v>3723</v>
      </c>
    </row>
    <row r="100" spans="1:14" ht="68" customHeight="1">
      <c r="A100" s="5" t="s">
        <v>3724</v>
      </c>
      <c r="B100" s="5" t="s">
        <v>611</v>
      </c>
      <c r="C100" s="5" t="s">
        <v>3658</v>
      </c>
      <c r="D100" s="5" t="s">
        <v>3725</v>
      </c>
      <c r="E100" s="5" t="s">
        <v>3691</v>
      </c>
      <c r="F100" s="5" t="s">
        <v>3726</v>
      </c>
      <c r="G100" s="5">
        <v>76</v>
      </c>
      <c r="H100" s="5" t="s">
        <v>3265</v>
      </c>
      <c r="I100" s="5">
        <v>579</v>
      </c>
      <c r="J100" s="5" t="s">
        <v>3266</v>
      </c>
      <c r="K100" s="5">
        <v>4.77</v>
      </c>
      <c r="L100" s="5">
        <v>3705</v>
      </c>
      <c r="M100" s="5" t="s">
        <v>3267</v>
      </c>
      <c r="N100" s="5" t="s">
        <v>3727</v>
      </c>
    </row>
    <row r="101" spans="1:14" ht="68" customHeight="1">
      <c r="A101" s="5" t="s">
        <v>3728</v>
      </c>
      <c r="B101" s="5" t="s">
        <v>611</v>
      </c>
      <c r="C101" s="5" t="s">
        <v>3658</v>
      </c>
      <c r="D101" s="5" t="s">
        <v>3729</v>
      </c>
      <c r="E101" s="5" t="s">
        <v>3730</v>
      </c>
      <c r="F101" s="5" t="s">
        <v>3731</v>
      </c>
      <c r="G101" s="5">
        <v>129</v>
      </c>
      <c r="H101" s="5" t="s">
        <v>3265</v>
      </c>
      <c r="I101" s="5">
        <v>567</v>
      </c>
      <c r="J101" s="5" t="s">
        <v>3266</v>
      </c>
      <c r="K101" s="5">
        <v>4.85</v>
      </c>
      <c r="L101" s="5">
        <v>3712</v>
      </c>
      <c r="M101" s="5" t="s">
        <v>3267</v>
      </c>
      <c r="N101" s="5" t="s">
        <v>3732</v>
      </c>
    </row>
    <row r="102" spans="1:14" ht="68" customHeight="1">
      <c r="A102" s="5" t="s">
        <v>3733</v>
      </c>
      <c r="B102" s="5" t="s">
        <v>611</v>
      </c>
      <c r="C102" s="5" t="s">
        <v>3658</v>
      </c>
      <c r="D102" s="5" t="s">
        <v>3734</v>
      </c>
      <c r="E102" s="5" t="s">
        <v>3735</v>
      </c>
      <c r="F102" s="5" t="s">
        <v>3736</v>
      </c>
      <c r="G102" s="5">
        <v>40</v>
      </c>
      <c r="H102" s="5" t="s">
        <v>3265</v>
      </c>
      <c r="I102" s="5">
        <v>528</v>
      </c>
      <c r="J102" s="5" t="s">
        <v>3266</v>
      </c>
      <c r="K102" s="5">
        <v>4.9</v>
      </c>
      <c r="L102" s="5">
        <v>3084</v>
      </c>
      <c r="M102" s="5" t="s">
        <v>3267</v>
      </c>
      <c r="N102" s="5" t="s">
        <v>327</v>
      </c>
    </row>
    <row r="103" spans="1:14" ht="68" customHeight="1">
      <c r="A103" s="5" t="s">
        <v>3737</v>
      </c>
      <c r="B103" s="5" t="s">
        <v>611</v>
      </c>
      <c r="C103" s="5" t="s">
        <v>3658</v>
      </c>
      <c r="D103" s="5" t="s">
        <v>3738</v>
      </c>
      <c r="E103" s="5" t="s">
        <v>3739</v>
      </c>
      <c r="F103" s="5" t="s">
        <v>3740</v>
      </c>
      <c r="G103" s="5">
        <v>110</v>
      </c>
      <c r="H103" s="5" t="s">
        <v>3265</v>
      </c>
      <c r="I103" s="5">
        <v>510</v>
      </c>
      <c r="J103" s="5" t="s">
        <v>3266</v>
      </c>
      <c r="K103" s="5">
        <v>4.85</v>
      </c>
      <c r="L103" s="5">
        <v>14934</v>
      </c>
      <c r="M103" s="5" t="s">
        <v>3267</v>
      </c>
      <c r="N103" s="5" t="s">
        <v>3741</v>
      </c>
    </row>
    <row r="104" spans="1:14" ht="68" customHeight="1">
      <c r="A104" s="5" t="s">
        <v>3742</v>
      </c>
      <c r="B104" s="5" t="s">
        <v>611</v>
      </c>
      <c r="C104" s="5" t="s">
        <v>3658</v>
      </c>
      <c r="D104" s="5" t="s">
        <v>3743</v>
      </c>
      <c r="E104" s="5" t="s">
        <v>3744</v>
      </c>
      <c r="F104" s="5" t="s">
        <v>3745</v>
      </c>
      <c r="G104" s="5">
        <v>55</v>
      </c>
      <c r="H104" s="5" t="s">
        <v>3265</v>
      </c>
      <c r="I104" s="5">
        <v>510</v>
      </c>
      <c r="J104" s="5" t="s">
        <v>3266</v>
      </c>
      <c r="K104" s="5">
        <v>4.8</v>
      </c>
      <c r="L104" s="5">
        <v>1586</v>
      </c>
      <c r="M104" s="5" t="s">
        <v>3267</v>
      </c>
      <c r="N104" s="5" t="s">
        <v>3746</v>
      </c>
    </row>
    <row r="105" spans="1:14" ht="68" customHeight="1">
      <c r="A105" s="5" t="s">
        <v>3747</v>
      </c>
      <c r="B105" s="5" t="s">
        <v>611</v>
      </c>
      <c r="C105" s="5" t="s">
        <v>3748</v>
      </c>
      <c r="D105" s="5" t="s">
        <v>3749</v>
      </c>
      <c r="E105" s="5" t="s">
        <v>3750</v>
      </c>
      <c r="F105" s="5" t="s">
        <v>3751</v>
      </c>
      <c r="G105" s="5">
        <v>14</v>
      </c>
      <c r="H105" s="5" t="s">
        <v>3265</v>
      </c>
      <c r="I105" s="5">
        <v>6232</v>
      </c>
      <c r="J105" s="5" t="s">
        <v>3266</v>
      </c>
      <c r="K105" s="5">
        <v>4.75</v>
      </c>
      <c r="L105" s="5">
        <v>16263</v>
      </c>
      <c r="M105" s="5" t="s">
        <v>3267</v>
      </c>
      <c r="N105" s="5" t="s">
        <v>3752</v>
      </c>
    </row>
    <row r="106" spans="1:14" ht="68" customHeight="1">
      <c r="A106" s="5" t="s">
        <v>3753</v>
      </c>
      <c r="B106" s="5" t="s">
        <v>611</v>
      </c>
      <c r="C106" s="5" t="s">
        <v>3748</v>
      </c>
      <c r="D106" s="5" t="s">
        <v>3754</v>
      </c>
      <c r="E106" s="5" t="s">
        <v>3755</v>
      </c>
      <c r="F106" s="5" t="s">
        <v>3756</v>
      </c>
      <c r="G106" s="5">
        <v>88</v>
      </c>
      <c r="H106" s="5" t="s">
        <v>3265</v>
      </c>
      <c r="I106" s="5">
        <v>4926</v>
      </c>
      <c r="J106" s="5" t="s">
        <v>3266</v>
      </c>
      <c r="K106" s="5">
        <v>4.81</v>
      </c>
      <c r="L106" s="5">
        <v>3693</v>
      </c>
      <c r="M106" s="5" t="s">
        <v>3267</v>
      </c>
      <c r="N106" s="5" t="s">
        <v>3757</v>
      </c>
    </row>
    <row r="107" spans="1:14" ht="68" customHeight="1">
      <c r="A107" s="5" t="s">
        <v>3758</v>
      </c>
      <c r="B107" s="5" t="s">
        <v>611</v>
      </c>
      <c r="C107" s="5" t="s">
        <v>3748</v>
      </c>
      <c r="D107" s="5" t="s">
        <v>3759</v>
      </c>
      <c r="E107" s="5" t="s">
        <v>3760</v>
      </c>
      <c r="F107" s="5" t="s">
        <v>3761</v>
      </c>
      <c r="G107" s="5">
        <v>15</v>
      </c>
      <c r="H107" s="5" t="s">
        <v>3265</v>
      </c>
      <c r="I107" s="5">
        <v>2969</v>
      </c>
      <c r="J107" s="5" t="s">
        <v>3266</v>
      </c>
      <c r="K107" s="5">
        <v>4.86</v>
      </c>
      <c r="L107" s="5">
        <v>6833</v>
      </c>
      <c r="M107" s="5" t="s">
        <v>3267</v>
      </c>
      <c r="N107" s="5" t="s">
        <v>361</v>
      </c>
    </row>
    <row r="108" spans="1:14" ht="68" customHeight="1">
      <c r="A108" s="5" t="s">
        <v>3762</v>
      </c>
      <c r="B108" s="5" t="s">
        <v>611</v>
      </c>
      <c r="C108" s="5" t="s">
        <v>3748</v>
      </c>
      <c r="D108" s="5" t="s">
        <v>3763</v>
      </c>
      <c r="E108" s="5" t="s">
        <v>3764</v>
      </c>
      <c r="F108" s="5" t="s">
        <v>3765</v>
      </c>
      <c r="G108" s="5">
        <v>158</v>
      </c>
      <c r="H108" s="5" t="s">
        <v>3265</v>
      </c>
      <c r="I108" s="5">
        <v>2490</v>
      </c>
      <c r="J108" s="5" t="s">
        <v>3266</v>
      </c>
      <c r="K108" s="5">
        <v>4.64</v>
      </c>
      <c r="L108" s="5">
        <v>8515</v>
      </c>
      <c r="M108" s="5" t="s">
        <v>3267</v>
      </c>
      <c r="N108" s="5" t="s">
        <v>3766</v>
      </c>
    </row>
    <row r="109" spans="1:14" ht="68" customHeight="1">
      <c r="A109" s="5" t="s">
        <v>3767</v>
      </c>
      <c r="B109" s="5" t="s">
        <v>611</v>
      </c>
      <c r="C109" s="5" t="s">
        <v>3748</v>
      </c>
      <c r="D109" s="5" t="s">
        <v>3768</v>
      </c>
      <c r="E109" s="5" t="s">
        <v>3769</v>
      </c>
      <c r="F109" s="5" t="s">
        <v>3770</v>
      </c>
      <c r="G109" s="5">
        <v>15</v>
      </c>
      <c r="H109" s="5" t="s">
        <v>3265</v>
      </c>
      <c r="I109" s="5">
        <v>2486</v>
      </c>
      <c r="J109" s="5" t="s">
        <v>3266</v>
      </c>
      <c r="K109" s="5">
        <v>4.83</v>
      </c>
      <c r="L109" s="5">
        <v>8890</v>
      </c>
      <c r="M109" s="5" t="s">
        <v>3267</v>
      </c>
      <c r="N109" s="5" t="s">
        <v>3771</v>
      </c>
    </row>
    <row r="110" spans="1:14" ht="68" customHeight="1">
      <c r="A110" s="5" t="s">
        <v>3772</v>
      </c>
      <c r="B110" s="5" t="s">
        <v>611</v>
      </c>
      <c r="C110" s="5" t="s">
        <v>3748</v>
      </c>
      <c r="D110" s="5" t="s">
        <v>3773</v>
      </c>
      <c r="E110" s="5" t="s">
        <v>3750</v>
      </c>
      <c r="F110" s="5" t="s">
        <v>3774</v>
      </c>
      <c r="G110" s="5">
        <v>79</v>
      </c>
      <c r="H110" s="5" t="s">
        <v>3265</v>
      </c>
      <c r="I110" s="5">
        <v>1907</v>
      </c>
      <c r="J110" s="5" t="s">
        <v>3266</v>
      </c>
      <c r="K110" s="5">
        <v>4.82</v>
      </c>
      <c r="L110" s="5">
        <v>1168</v>
      </c>
      <c r="M110" s="5" t="s">
        <v>3267</v>
      </c>
      <c r="N110" s="5" t="s">
        <v>3775</v>
      </c>
    </row>
    <row r="111" spans="1:14" ht="68" customHeight="1">
      <c r="A111" s="5" t="s">
        <v>3776</v>
      </c>
      <c r="B111" s="5" t="s">
        <v>611</v>
      </c>
      <c r="C111" s="5" t="s">
        <v>3748</v>
      </c>
      <c r="D111" s="5" t="s">
        <v>3777</v>
      </c>
      <c r="E111" s="5" t="s">
        <v>3370</v>
      </c>
      <c r="F111" s="5" t="s">
        <v>3778</v>
      </c>
      <c r="G111" s="5">
        <v>50</v>
      </c>
      <c r="H111" s="5" t="s">
        <v>3265</v>
      </c>
      <c r="I111" s="5">
        <v>1736</v>
      </c>
      <c r="J111" s="5" t="s">
        <v>3266</v>
      </c>
      <c r="K111" s="5">
        <v>4.85</v>
      </c>
      <c r="L111" s="5">
        <v>4054</v>
      </c>
      <c r="M111" s="5" t="s">
        <v>3267</v>
      </c>
      <c r="N111" s="5" t="s">
        <v>3779</v>
      </c>
    </row>
    <row r="112" spans="1:14" ht="68" customHeight="1">
      <c r="A112" s="5" t="s">
        <v>3780</v>
      </c>
      <c r="B112" s="5" t="s">
        <v>611</v>
      </c>
      <c r="C112" s="5" t="s">
        <v>3748</v>
      </c>
      <c r="D112" s="5" t="s">
        <v>3781</v>
      </c>
      <c r="E112" s="5" t="s">
        <v>3750</v>
      </c>
      <c r="F112" s="5" t="s">
        <v>3782</v>
      </c>
      <c r="G112" s="5">
        <v>309</v>
      </c>
      <c r="H112" s="5" t="s">
        <v>3265</v>
      </c>
      <c r="I112" s="5">
        <v>1590</v>
      </c>
      <c r="J112" s="5" t="s">
        <v>3266</v>
      </c>
      <c r="K112" s="5">
        <v>4.84</v>
      </c>
      <c r="L112" s="5">
        <v>9885</v>
      </c>
      <c r="M112" s="5" t="s">
        <v>3267</v>
      </c>
      <c r="N112" s="5" t="s">
        <v>3783</v>
      </c>
    </row>
    <row r="113" spans="1:14" ht="68" customHeight="1">
      <c r="A113" s="5" t="s">
        <v>3784</v>
      </c>
      <c r="B113" s="5" t="s">
        <v>611</v>
      </c>
      <c r="C113" s="5" t="s">
        <v>3748</v>
      </c>
      <c r="D113" s="5" t="s">
        <v>3785</v>
      </c>
      <c r="E113" s="5" t="s">
        <v>3786</v>
      </c>
      <c r="F113" s="5" t="s">
        <v>3787</v>
      </c>
      <c r="G113" s="5">
        <v>153</v>
      </c>
      <c r="H113" s="5" t="s">
        <v>3265</v>
      </c>
      <c r="I113" s="5">
        <v>1497</v>
      </c>
      <c r="J113" s="5" t="s">
        <v>3266</v>
      </c>
      <c r="K113" s="5">
        <v>4.85</v>
      </c>
      <c r="L113" s="5">
        <v>6198</v>
      </c>
      <c r="M113" s="5" t="s">
        <v>3267</v>
      </c>
      <c r="N113" s="5" t="s">
        <v>3788</v>
      </c>
    </row>
    <row r="114" spans="1:14" ht="68" customHeight="1">
      <c r="A114" s="5" t="s">
        <v>3789</v>
      </c>
      <c r="B114" s="5" t="s">
        <v>611</v>
      </c>
      <c r="C114" s="5" t="s">
        <v>3748</v>
      </c>
      <c r="D114" s="5" t="s">
        <v>3790</v>
      </c>
      <c r="E114" s="5" t="s">
        <v>3791</v>
      </c>
      <c r="F114" s="5" t="s">
        <v>3792</v>
      </c>
      <c r="G114" s="5">
        <v>12</v>
      </c>
      <c r="H114" s="5" t="s">
        <v>3265</v>
      </c>
      <c r="I114" s="5">
        <v>1496</v>
      </c>
      <c r="J114" s="5" t="s">
        <v>3266</v>
      </c>
      <c r="K114" s="5">
        <v>4.86</v>
      </c>
      <c r="L114" s="5">
        <v>7061</v>
      </c>
      <c r="M114" s="5" t="s">
        <v>3267</v>
      </c>
      <c r="N114" s="5" t="s">
        <v>3793</v>
      </c>
    </row>
    <row r="115" spans="1:14" ht="68" customHeight="1">
      <c r="A115" s="5" t="s">
        <v>3794</v>
      </c>
      <c r="B115" s="5" t="s">
        <v>611</v>
      </c>
      <c r="C115" s="5" t="s">
        <v>3748</v>
      </c>
      <c r="D115" s="5" t="s">
        <v>3795</v>
      </c>
      <c r="E115" s="5" t="s">
        <v>3796</v>
      </c>
      <c r="F115" s="5" t="s">
        <v>3797</v>
      </c>
      <c r="G115" s="5">
        <v>22</v>
      </c>
      <c r="H115" s="5" t="s">
        <v>3265</v>
      </c>
      <c r="I115" s="5">
        <v>1225</v>
      </c>
      <c r="J115" s="5" t="s">
        <v>3266</v>
      </c>
      <c r="K115" s="5">
        <v>4.85</v>
      </c>
      <c r="L115" s="5">
        <v>3923</v>
      </c>
      <c r="M115" s="5" t="s">
        <v>3267</v>
      </c>
      <c r="N115" s="5" t="s">
        <v>3798</v>
      </c>
    </row>
    <row r="116" spans="1:14" ht="68" customHeight="1">
      <c r="A116" s="5" t="s">
        <v>3799</v>
      </c>
      <c r="B116" s="5" t="s">
        <v>611</v>
      </c>
      <c r="C116" s="5" t="s">
        <v>3748</v>
      </c>
      <c r="D116" s="5" t="s">
        <v>3800</v>
      </c>
      <c r="E116" s="5" t="s">
        <v>3801</v>
      </c>
      <c r="F116" s="5" t="s">
        <v>3802</v>
      </c>
      <c r="G116" s="5">
        <v>155</v>
      </c>
      <c r="H116" s="5" t="s">
        <v>3265</v>
      </c>
      <c r="I116" s="5">
        <v>994</v>
      </c>
      <c r="J116" s="5" t="s">
        <v>3266</v>
      </c>
      <c r="K116" s="5">
        <v>4.8</v>
      </c>
      <c r="L116" s="5">
        <v>908</v>
      </c>
      <c r="M116" s="5" t="s">
        <v>3267</v>
      </c>
      <c r="N116" s="5" t="s">
        <v>3803</v>
      </c>
    </row>
    <row r="117" spans="1:14" ht="68" customHeight="1">
      <c r="A117" s="5" t="s">
        <v>3804</v>
      </c>
      <c r="B117" s="5" t="s">
        <v>611</v>
      </c>
      <c r="C117" s="5" t="s">
        <v>3748</v>
      </c>
      <c r="D117" s="5" t="s">
        <v>3805</v>
      </c>
      <c r="E117" s="5" t="s">
        <v>3806</v>
      </c>
      <c r="F117" s="5" t="s">
        <v>3807</v>
      </c>
      <c r="G117" s="5">
        <v>118</v>
      </c>
      <c r="H117" s="5" t="s">
        <v>3265</v>
      </c>
      <c r="I117" s="5">
        <v>869</v>
      </c>
      <c r="J117" s="5" t="s">
        <v>3266</v>
      </c>
      <c r="K117" s="5">
        <v>4.83</v>
      </c>
      <c r="L117" s="5">
        <v>524</v>
      </c>
      <c r="M117" s="5" t="s">
        <v>3267</v>
      </c>
      <c r="N117" s="5" t="s">
        <v>3808</v>
      </c>
    </row>
    <row r="118" spans="1:14" ht="68" customHeight="1">
      <c r="A118" s="5" t="s">
        <v>3809</v>
      </c>
      <c r="B118" s="5" t="s">
        <v>611</v>
      </c>
      <c r="C118" s="5" t="s">
        <v>3748</v>
      </c>
      <c r="D118" s="5" t="s">
        <v>3810</v>
      </c>
      <c r="E118" s="5" t="s">
        <v>3811</v>
      </c>
      <c r="F118" s="5" t="s">
        <v>3812</v>
      </c>
      <c r="G118" s="5">
        <v>45</v>
      </c>
      <c r="H118" s="5" t="s">
        <v>3265</v>
      </c>
      <c r="I118" s="5">
        <v>805</v>
      </c>
      <c r="J118" s="5" t="s">
        <v>3266</v>
      </c>
      <c r="K118" s="5">
        <v>4.78</v>
      </c>
      <c r="L118" s="5">
        <v>5635</v>
      </c>
      <c r="M118" s="5" t="s">
        <v>3267</v>
      </c>
      <c r="N118" s="5" t="s">
        <v>3813</v>
      </c>
    </row>
    <row r="119" spans="1:14" ht="68" customHeight="1">
      <c r="A119" s="5" t="s">
        <v>3814</v>
      </c>
      <c r="B119" s="5" t="s">
        <v>611</v>
      </c>
      <c r="C119" s="5" t="s">
        <v>3748</v>
      </c>
      <c r="D119" s="5" t="s">
        <v>3815</v>
      </c>
      <c r="E119" s="5" t="s">
        <v>3750</v>
      </c>
      <c r="F119" s="5" t="s">
        <v>3816</v>
      </c>
      <c r="G119" s="5">
        <v>329</v>
      </c>
      <c r="H119" s="5" t="s">
        <v>3265</v>
      </c>
      <c r="I119" s="5">
        <v>656</v>
      </c>
      <c r="J119" s="5" t="s">
        <v>3266</v>
      </c>
      <c r="K119" s="5">
        <v>4.84</v>
      </c>
      <c r="L119" s="5">
        <v>9268</v>
      </c>
      <c r="M119" s="5" t="s">
        <v>3267</v>
      </c>
      <c r="N119" s="5" t="s">
        <v>3817</v>
      </c>
    </row>
    <row r="120" spans="1:14" ht="68" customHeight="1">
      <c r="A120" s="5" t="s">
        <v>3818</v>
      </c>
      <c r="B120" s="5" t="s">
        <v>611</v>
      </c>
      <c r="C120" s="5" t="s">
        <v>3748</v>
      </c>
      <c r="D120" s="5" t="s">
        <v>3819</v>
      </c>
      <c r="E120" s="5" t="s">
        <v>3484</v>
      </c>
      <c r="F120" s="5" t="s">
        <v>3820</v>
      </c>
      <c r="G120" s="5">
        <v>58</v>
      </c>
      <c r="H120" s="5" t="s">
        <v>3265</v>
      </c>
      <c r="I120" s="5">
        <v>638</v>
      </c>
      <c r="J120" s="5" t="s">
        <v>3266</v>
      </c>
      <c r="K120" s="5">
        <v>4.97</v>
      </c>
      <c r="L120" s="5">
        <v>16605</v>
      </c>
      <c r="M120" s="5" t="s">
        <v>3267</v>
      </c>
      <c r="N120" s="5" t="s">
        <v>3821</v>
      </c>
    </row>
    <row r="121" spans="1:14" ht="68" customHeight="1">
      <c r="A121" s="5" t="s">
        <v>3822</v>
      </c>
      <c r="B121" s="5" t="s">
        <v>611</v>
      </c>
      <c r="C121" s="5" t="s">
        <v>3748</v>
      </c>
      <c r="D121" s="5" t="s">
        <v>3823</v>
      </c>
      <c r="E121" s="5" t="s">
        <v>3824</v>
      </c>
      <c r="F121" s="5" t="s">
        <v>3825</v>
      </c>
      <c r="G121" s="5">
        <v>55</v>
      </c>
      <c r="H121" s="5" t="s">
        <v>3265</v>
      </c>
      <c r="I121" s="5">
        <v>610</v>
      </c>
      <c r="J121" s="5" t="s">
        <v>3266</v>
      </c>
      <c r="K121" s="5">
        <v>4.9</v>
      </c>
      <c r="L121" s="5">
        <v>283</v>
      </c>
      <c r="M121" s="5" t="s">
        <v>3267</v>
      </c>
      <c r="N121" s="5" t="s">
        <v>3826</v>
      </c>
    </row>
    <row r="122" spans="1:14" ht="68" customHeight="1">
      <c r="A122" s="5" t="s">
        <v>3827</v>
      </c>
      <c r="B122" s="5" t="s">
        <v>611</v>
      </c>
      <c r="C122" s="5" t="s">
        <v>3748</v>
      </c>
      <c r="D122" s="5" t="s">
        <v>3828</v>
      </c>
      <c r="E122" s="5" t="s">
        <v>3829</v>
      </c>
      <c r="F122" s="5" t="s">
        <v>3830</v>
      </c>
      <c r="G122" s="5">
        <v>80</v>
      </c>
      <c r="H122" s="5" t="s">
        <v>3265</v>
      </c>
      <c r="I122" s="5">
        <v>587</v>
      </c>
      <c r="J122" s="5" t="s">
        <v>3266</v>
      </c>
      <c r="K122" s="5">
        <v>4.78</v>
      </c>
      <c r="L122" s="5">
        <v>330</v>
      </c>
      <c r="M122" s="5" t="s">
        <v>3267</v>
      </c>
      <c r="N122" s="5" t="s">
        <v>3831</v>
      </c>
    </row>
    <row r="123" spans="1:14" ht="68" customHeight="1">
      <c r="A123" s="5" t="s">
        <v>3832</v>
      </c>
      <c r="B123" s="5" t="s">
        <v>611</v>
      </c>
      <c r="C123" s="5" t="s">
        <v>3748</v>
      </c>
      <c r="D123" s="5" t="s">
        <v>3833</v>
      </c>
      <c r="E123" s="5" t="s">
        <v>3834</v>
      </c>
      <c r="F123" s="5" t="s">
        <v>3835</v>
      </c>
      <c r="G123" s="5">
        <v>162</v>
      </c>
      <c r="H123" s="5" t="s">
        <v>3265</v>
      </c>
      <c r="I123" s="5">
        <v>494</v>
      </c>
      <c r="J123" s="5" t="s">
        <v>3266</v>
      </c>
      <c r="K123" s="5">
        <v>4.86</v>
      </c>
      <c r="L123" s="5">
        <v>3820</v>
      </c>
      <c r="M123" s="5" t="s">
        <v>3267</v>
      </c>
      <c r="N123" s="5" t="s">
        <v>3836</v>
      </c>
    </row>
    <row r="124" spans="1:14" ht="68" customHeight="1">
      <c r="A124" s="5" t="s">
        <v>3837</v>
      </c>
      <c r="B124" s="5" t="s">
        <v>611</v>
      </c>
      <c r="C124" s="5" t="s">
        <v>3748</v>
      </c>
      <c r="D124" s="5" t="s">
        <v>3838</v>
      </c>
      <c r="E124" s="5" t="s">
        <v>3811</v>
      </c>
      <c r="F124" s="5" t="s">
        <v>3839</v>
      </c>
      <c r="G124" s="5">
        <v>25</v>
      </c>
      <c r="H124" s="5" t="s">
        <v>3265</v>
      </c>
      <c r="I124" s="5">
        <v>434</v>
      </c>
      <c r="J124" s="5" t="s">
        <v>3266</v>
      </c>
      <c r="K124" s="5">
        <v>4.83</v>
      </c>
      <c r="L124" s="5">
        <v>1545</v>
      </c>
      <c r="M124" s="5" t="s">
        <v>3267</v>
      </c>
      <c r="N124" s="5" t="s">
        <v>3840</v>
      </c>
    </row>
    <row r="125" spans="1:14" ht="68" customHeight="1">
      <c r="A125" s="5" t="s">
        <v>3841</v>
      </c>
      <c r="B125" s="5" t="s">
        <v>611</v>
      </c>
      <c r="C125" s="5" t="s">
        <v>3842</v>
      </c>
      <c r="D125" s="5" t="s">
        <v>3843</v>
      </c>
      <c r="E125" s="5" t="s">
        <v>3844</v>
      </c>
      <c r="F125" s="5" t="s">
        <v>3845</v>
      </c>
      <c r="G125" s="5">
        <v>69</v>
      </c>
      <c r="H125" s="5" t="s">
        <v>3265</v>
      </c>
      <c r="I125" s="5">
        <v>2706</v>
      </c>
      <c r="J125" s="5" t="s">
        <v>3266</v>
      </c>
      <c r="K125" s="5">
        <v>4.54</v>
      </c>
      <c r="L125" s="5">
        <v>8698</v>
      </c>
      <c r="M125" s="5" t="s">
        <v>3267</v>
      </c>
      <c r="N125" s="5" t="s">
        <v>3846</v>
      </c>
    </row>
    <row r="126" spans="1:14" ht="68" customHeight="1">
      <c r="A126" s="5" t="s">
        <v>3847</v>
      </c>
      <c r="B126" s="5" t="s">
        <v>611</v>
      </c>
      <c r="C126" s="5" t="s">
        <v>3842</v>
      </c>
      <c r="D126" s="5" t="s">
        <v>3848</v>
      </c>
      <c r="E126" s="5" t="s">
        <v>3849</v>
      </c>
      <c r="F126" s="5" t="s">
        <v>3850</v>
      </c>
      <c r="G126" s="5">
        <v>52</v>
      </c>
      <c r="H126" s="5" t="s">
        <v>3265</v>
      </c>
      <c r="I126" s="5">
        <v>2663</v>
      </c>
      <c r="J126" s="5" t="s">
        <v>3266</v>
      </c>
      <c r="K126" s="5">
        <v>4.63</v>
      </c>
      <c r="L126" s="5">
        <v>3495</v>
      </c>
      <c r="M126" s="5" t="s">
        <v>3267</v>
      </c>
      <c r="N126" s="5" t="s">
        <v>3851</v>
      </c>
    </row>
    <row r="127" spans="1:14" ht="68" customHeight="1">
      <c r="A127" s="5" t="s">
        <v>3852</v>
      </c>
      <c r="B127" s="5" t="s">
        <v>611</v>
      </c>
      <c r="C127" s="5" t="s">
        <v>3842</v>
      </c>
      <c r="D127" s="5" t="s">
        <v>3853</v>
      </c>
      <c r="E127" s="5" t="s">
        <v>3854</v>
      </c>
      <c r="F127" s="5" t="s">
        <v>3855</v>
      </c>
      <c r="G127" s="5">
        <v>20</v>
      </c>
      <c r="H127" s="5" t="s">
        <v>3265</v>
      </c>
      <c r="I127" s="5">
        <v>1445</v>
      </c>
      <c r="J127" s="5" t="s">
        <v>3266</v>
      </c>
      <c r="K127" s="5">
        <v>4.65</v>
      </c>
      <c r="L127" s="5">
        <v>5077</v>
      </c>
      <c r="M127" s="5" t="s">
        <v>3267</v>
      </c>
      <c r="N127" s="5" t="s">
        <v>3856</v>
      </c>
    </row>
    <row r="128" spans="1:14" ht="68" customHeight="1">
      <c r="A128" s="5" t="s">
        <v>3857</v>
      </c>
      <c r="B128" s="5" t="s">
        <v>611</v>
      </c>
      <c r="C128" s="5" t="s">
        <v>3842</v>
      </c>
      <c r="D128" s="5" t="s">
        <v>3858</v>
      </c>
      <c r="E128" s="5" t="s">
        <v>3859</v>
      </c>
      <c r="F128" s="5" t="s">
        <v>3860</v>
      </c>
      <c r="G128" s="5">
        <v>174</v>
      </c>
      <c r="H128" s="5" t="s">
        <v>3265</v>
      </c>
      <c r="I128" s="5">
        <v>995</v>
      </c>
      <c r="J128" s="5" t="s">
        <v>3266</v>
      </c>
      <c r="K128" s="5">
        <v>4.84</v>
      </c>
      <c r="L128" s="5">
        <v>3893</v>
      </c>
      <c r="M128" s="5" t="s">
        <v>3267</v>
      </c>
      <c r="N128" s="5" t="s">
        <v>3861</v>
      </c>
    </row>
    <row r="129" spans="1:14" ht="68" customHeight="1">
      <c r="A129" s="5" t="s">
        <v>3862</v>
      </c>
      <c r="B129" s="5" t="s">
        <v>611</v>
      </c>
      <c r="C129" s="5" t="s">
        <v>3842</v>
      </c>
      <c r="D129" s="5" t="s">
        <v>3863</v>
      </c>
      <c r="E129" s="5" t="s">
        <v>3511</v>
      </c>
      <c r="F129" s="5" t="s">
        <v>3864</v>
      </c>
      <c r="G129" s="5">
        <v>68</v>
      </c>
      <c r="H129" s="5" t="s">
        <v>3265</v>
      </c>
      <c r="I129" s="5">
        <v>927</v>
      </c>
      <c r="J129" s="5" t="s">
        <v>3266</v>
      </c>
      <c r="K129" s="5">
        <v>4.53</v>
      </c>
      <c r="L129" s="5">
        <v>10059</v>
      </c>
      <c r="M129" s="5" t="s">
        <v>3267</v>
      </c>
      <c r="N129" s="5" t="s">
        <v>3865</v>
      </c>
    </row>
    <row r="130" spans="1:14" ht="68" customHeight="1">
      <c r="A130" s="5" t="s">
        <v>3866</v>
      </c>
      <c r="B130" s="5" t="s">
        <v>611</v>
      </c>
      <c r="C130" s="5" t="s">
        <v>3842</v>
      </c>
      <c r="D130" s="5" t="s">
        <v>3867</v>
      </c>
      <c r="E130" s="5" t="s">
        <v>3868</v>
      </c>
      <c r="F130" s="5" t="s">
        <v>3869</v>
      </c>
      <c r="G130" s="5">
        <v>99</v>
      </c>
      <c r="H130" s="5" t="s">
        <v>3265</v>
      </c>
      <c r="I130" s="5">
        <v>902</v>
      </c>
      <c r="J130" s="5" t="s">
        <v>3266</v>
      </c>
      <c r="K130" s="5">
        <v>4.8</v>
      </c>
      <c r="L130" s="5">
        <v>11934</v>
      </c>
      <c r="M130" s="5" t="s">
        <v>3267</v>
      </c>
      <c r="N130" s="5" t="s">
        <v>3870</v>
      </c>
    </row>
    <row r="131" spans="1:14" ht="68" customHeight="1">
      <c r="A131" s="5" t="s">
        <v>3871</v>
      </c>
      <c r="B131" s="5" t="s">
        <v>611</v>
      </c>
      <c r="C131" s="5" t="s">
        <v>3842</v>
      </c>
      <c r="D131" s="5" t="s">
        <v>3872</v>
      </c>
      <c r="E131" s="5" t="s">
        <v>3873</v>
      </c>
      <c r="F131" s="5" t="s">
        <v>3874</v>
      </c>
      <c r="G131" s="5">
        <v>31</v>
      </c>
      <c r="H131" s="5" t="s">
        <v>3265</v>
      </c>
      <c r="I131" s="5">
        <v>763</v>
      </c>
      <c r="J131" s="5" t="s">
        <v>3266</v>
      </c>
      <c r="K131" s="5">
        <v>4.6</v>
      </c>
      <c r="L131" s="5">
        <v>12273</v>
      </c>
      <c r="M131" s="5" t="s">
        <v>3267</v>
      </c>
      <c r="N131" s="5" t="s">
        <v>3875</v>
      </c>
    </row>
    <row r="132" spans="1:14" ht="68" customHeight="1">
      <c r="A132" s="5" t="s">
        <v>3876</v>
      </c>
      <c r="B132" s="5" t="s">
        <v>611</v>
      </c>
      <c r="C132" s="5" t="s">
        <v>3842</v>
      </c>
      <c r="D132" s="5" t="s">
        <v>3877</v>
      </c>
      <c r="E132" s="5" t="s">
        <v>3878</v>
      </c>
      <c r="F132" s="5" t="s">
        <v>3879</v>
      </c>
      <c r="G132" s="5">
        <v>125</v>
      </c>
      <c r="H132" s="5" t="s">
        <v>3265</v>
      </c>
      <c r="I132" s="5">
        <v>731</v>
      </c>
      <c r="J132" s="5" t="s">
        <v>3266</v>
      </c>
      <c r="K132" s="5">
        <v>4.79</v>
      </c>
      <c r="L132" s="5">
        <v>3358</v>
      </c>
      <c r="M132" s="5" t="s">
        <v>3267</v>
      </c>
      <c r="N132" s="5" t="s">
        <v>3880</v>
      </c>
    </row>
    <row r="133" spans="1:14" ht="68" customHeight="1">
      <c r="A133" s="5" t="s">
        <v>3881</v>
      </c>
      <c r="B133" s="5" t="s">
        <v>611</v>
      </c>
      <c r="C133" s="5" t="s">
        <v>3842</v>
      </c>
      <c r="D133" s="5" t="s">
        <v>3882</v>
      </c>
      <c r="E133" s="5" t="s">
        <v>3465</v>
      </c>
      <c r="F133" s="5" t="s">
        <v>3883</v>
      </c>
      <c r="G133" s="5">
        <v>40</v>
      </c>
      <c r="H133" s="5" t="s">
        <v>3265</v>
      </c>
      <c r="I133" s="5">
        <v>725</v>
      </c>
      <c r="J133" s="5" t="s">
        <v>3266</v>
      </c>
      <c r="K133" s="5">
        <v>4.77</v>
      </c>
      <c r="L133" s="5">
        <v>1293</v>
      </c>
      <c r="M133" s="5" t="s">
        <v>3267</v>
      </c>
      <c r="N133" s="5" t="s">
        <v>3884</v>
      </c>
    </row>
    <row r="134" spans="1:14" ht="68" customHeight="1">
      <c r="A134" s="5" t="s">
        <v>3885</v>
      </c>
      <c r="B134" s="5" t="s">
        <v>611</v>
      </c>
      <c r="C134" s="5" t="s">
        <v>3842</v>
      </c>
      <c r="D134" s="5" t="s">
        <v>3886</v>
      </c>
      <c r="E134" s="5" t="s">
        <v>3887</v>
      </c>
      <c r="F134" s="5" t="s">
        <v>3888</v>
      </c>
      <c r="G134" s="5">
        <v>24</v>
      </c>
      <c r="H134" s="5" t="s">
        <v>3265</v>
      </c>
      <c r="I134" s="5">
        <v>711</v>
      </c>
      <c r="J134" s="5" t="s">
        <v>3266</v>
      </c>
      <c r="K134" s="5">
        <v>4.9</v>
      </c>
      <c r="L134" s="5">
        <v>237</v>
      </c>
      <c r="M134" s="5" t="s">
        <v>3267</v>
      </c>
      <c r="N134" s="5" t="s">
        <v>3889</v>
      </c>
    </row>
    <row r="135" spans="1:14" ht="68" customHeight="1">
      <c r="A135" s="5" t="s">
        <v>3890</v>
      </c>
      <c r="B135" s="5" t="s">
        <v>611</v>
      </c>
      <c r="C135" s="5" t="s">
        <v>3842</v>
      </c>
      <c r="D135" s="5" t="s">
        <v>3891</v>
      </c>
      <c r="E135" s="5" t="s">
        <v>3892</v>
      </c>
      <c r="F135" s="5" t="s">
        <v>3893</v>
      </c>
      <c r="G135" s="5">
        <v>35</v>
      </c>
      <c r="H135" s="5" t="s">
        <v>3265</v>
      </c>
      <c r="I135" s="5">
        <v>667</v>
      </c>
      <c r="J135" s="5" t="s">
        <v>3266</v>
      </c>
      <c r="K135" s="5">
        <v>4.78</v>
      </c>
      <c r="L135" s="5">
        <v>299</v>
      </c>
      <c r="M135" s="5" t="s">
        <v>3267</v>
      </c>
      <c r="N135" s="5" t="s">
        <v>3894</v>
      </c>
    </row>
    <row r="136" spans="1:14" ht="68" customHeight="1">
      <c r="A136" s="5" t="s">
        <v>3895</v>
      </c>
      <c r="B136" s="5" t="s">
        <v>611</v>
      </c>
      <c r="C136" s="5" t="s">
        <v>3842</v>
      </c>
      <c r="D136" s="5" t="s">
        <v>3896</v>
      </c>
      <c r="E136" s="5" t="s">
        <v>3897</v>
      </c>
      <c r="F136" s="5" t="s">
        <v>3898</v>
      </c>
      <c r="G136" s="5">
        <v>49</v>
      </c>
      <c r="H136" s="5" t="s">
        <v>3265</v>
      </c>
      <c r="I136" s="5">
        <v>647</v>
      </c>
      <c r="J136" s="5" t="s">
        <v>3266</v>
      </c>
      <c r="K136" s="5">
        <v>4.67</v>
      </c>
      <c r="L136" s="5">
        <v>1044</v>
      </c>
      <c r="M136" s="5" t="s">
        <v>3267</v>
      </c>
      <c r="N136" s="5" t="s">
        <v>368</v>
      </c>
    </row>
    <row r="137" spans="1:14" ht="68" customHeight="1">
      <c r="A137" s="5" t="s">
        <v>3899</v>
      </c>
      <c r="B137" s="5" t="s">
        <v>611</v>
      </c>
      <c r="C137" s="5" t="s">
        <v>3842</v>
      </c>
      <c r="D137" s="5" t="s">
        <v>3900</v>
      </c>
      <c r="E137" s="5" t="s">
        <v>3901</v>
      </c>
      <c r="F137" s="5" t="s">
        <v>3902</v>
      </c>
      <c r="G137" s="5">
        <v>27</v>
      </c>
      <c r="H137" s="5" t="s">
        <v>3265</v>
      </c>
      <c r="I137" s="5">
        <v>603</v>
      </c>
      <c r="J137" s="5" t="s">
        <v>3266</v>
      </c>
      <c r="K137" s="5">
        <v>4.79</v>
      </c>
      <c r="L137" s="5">
        <v>1407</v>
      </c>
      <c r="M137" s="5" t="s">
        <v>3267</v>
      </c>
      <c r="N137" s="5" t="s">
        <v>3903</v>
      </c>
    </row>
    <row r="138" spans="1:14" ht="68" customHeight="1">
      <c r="A138" s="5" t="s">
        <v>3904</v>
      </c>
      <c r="B138" s="5" t="s">
        <v>611</v>
      </c>
      <c r="C138" s="5" t="s">
        <v>3842</v>
      </c>
      <c r="D138" s="5" t="s">
        <v>3905</v>
      </c>
      <c r="E138" s="5" t="s">
        <v>3906</v>
      </c>
      <c r="F138" s="5" t="s">
        <v>3907</v>
      </c>
      <c r="G138" s="5">
        <v>48</v>
      </c>
      <c r="H138" s="5" t="s">
        <v>3265</v>
      </c>
      <c r="I138" s="5">
        <v>565</v>
      </c>
      <c r="J138" s="5" t="s">
        <v>3266</v>
      </c>
      <c r="K138" s="5">
        <v>4.82</v>
      </c>
      <c r="L138" s="5">
        <v>2773</v>
      </c>
      <c r="M138" s="5" t="s">
        <v>3267</v>
      </c>
      <c r="N138" s="5" t="s">
        <v>3908</v>
      </c>
    </row>
    <row r="139" spans="1:14" ht="68" customHeight="1">
      <c r="A139" s="5" t="s">
        <v>3909</v>
      </c>
      <c r="B139" s="5" t="s">
        <v>611</v>
      </c>
      <c r="C139" s="5" t="s">
        <v>3842</v>
      </c>
      <c r="D139" s="5" t="s">
        <v>3910</v>
      </c>
      <c r="E139" s="5" t="s">
        <v>3911</v>
      </c>
      <c r="F139" s="5" t="s">
        <v>3912</v>
      </c>
      <c r="G139" s="5">
        <v>20</v>
      </c>
      <c r="H139" s="5" t="s">
        <v>3265</v>
      </c>
      <c r="I139" s="5">
        <v>532</v>
      </c>
      <c r="J139" s="5" t="s">
        <v>3266</v>
      </c>
      <c r="K139" s="5">
        <v>4.62</v>
      </c>
      <c r="L139" s="5">
        <v>1912</v>
      </c>
      <c r="M139" s="5" t="s">
        <v>3267</v>
      </c>
      <c r="N139" s="5" t="s">
        <v>3913</v>
      </c>
    </row>
    <row r="140" spans="1:14" ht="68" customHeight="1">
      <c r="A140" s="5" t="s">
        <v>3914</v>
      </c>
      <c r="B140" s="5" t="s">
        <v>611</v>
      </c>
      <c r="C140" s="5" t="s">
        <v>3842</v>
      </c>
      <c r="D140" s="5" t="s">
        <v>3915</v>
      </c>
      <c r="E140" s="5" t="s">
        <v>3916</v>
      </c>
      <c r="F140" s="5" t="s">
        <v>3917</v>
      </c>
      <c r="G140" s="5">
        <v>31</v>
      </c>
      <c r="H140" s="5" t="s">
        <v>3265</v>
      </c>
      <c r="I140" s="5">
        <v>428</v>
      </c>
      <c r="J140" s="5" t="s">
        <v>3266</v>
      </c>
      <c r="K140" s="5">
        <v>4.9</v>
      </c>
      <c r="L140" s="5">
        <v>447</v>
      </c>
      <c r="M140" s="5" t="s">
        <v>3267</v>
      </c>
      <c r="N140" s="5" t="s">
        <v>3918</v>
      </c>
    </row>
    <row r="141" spans="1:14" ht="68" customHeight="1">
      <c r="A141" s="5" t="s">
        <v>3919</v>
      </c>
      <c r="B141" s="5" t="s">
        <v>611</v>
      </c>
      <c r="C141" s="5" t="s">
        <v>3842</v>
      </c>
      <c r="D141" s="5" t="s">
        <v>3920</v>
      </c>
      <c r="E141" s="5" t="s">
        <v>3921</v>
      </c>
      <c r="F141" s="5" t="s">
        <v>3922</v>
      </c>
      <c r="G141" s="5">
        <v>34</v>
      </c>
      <c r="H141" s="5" t="s">
        <v>3265</v>
      </c>
      <c r="I141" s="5">
        <v>382</v>
      </c>
      <c r="J141" s="5" t="s">
        <v>3266</v>
      </c>
      <c r="K141" s="5">
        <v>4.89</v>
      </c>
      <c r="L141" s="5">
        <v>2625</v>
      </c>
      <c r="M141" s="5" t="s">
        <v>3267</v>
      </c>
      <c r="N141" s="5" t="s">
        <v>3923</v>
      </c>
    </row>
    <row r="142" spans="1:14" ht="68" customHeight="1">
      <c r="A142" s="5" t="s">
        <v>3924</v>
      </c>
      <c r="B142" s="5" t="s">
        <v>611</v>
      </c>
      <c r="C142" s="5" t="s">
        <v>3842</v>
      </c>
      <c r="D142" s="5" t="s">
        <v>3925</v>
      </c>
      <c r="E142" s="5" t="s">
        <v>3926</v>
      </c>
      <c r="F142" s="5" t="s">
        <v>3927</v>
      </c>
      <c r="G142" s="5">
        <v>25</v>
      </c>
      <c r="H142" s="5" t="s">
        <v>3265</v>
      </c>
      <c r="I142" s="5">
        <v>379</v>
      </c>
      <c r="J142" s="5" t="s">
        <v>3266</v>
      </c>
      <c r="K142" s="5">
        <v>4.86</v>
      </c>
      <c r="L142" s="5">
        <v>836</v>
      </c>
      <c r="M142" s="5" t="s">
        <v>3267</v>
      </c>
      <c r="N142" s="5" t="s">
        <v>3928</v>
      </c>
    </row>
    <row r="143" spans="1:14" ht="68" customHeight="1">
      <c r="A143" s="5" t="s">
        <v>3929</v>
      </c>
      <c r="B143" s="5" t="s">
        <v>611</v>
      </c>
      <c r="C143" s="5" t="s">
        <v>3842</v>
      </c>
      <c r="D143" s="5" t="s">
        <v>3930</v>
      </c>
      <c r="E143" s="5" t="s">
        <v>3931</v>
      </c>
      <c r="F143" s="5" t="s">
        <v>3932</v>
      </c>
      <c r="G143" s="5">
        <v>20</v>
      </c>
      <c r="H143" s="5" t="s">
        <v>3265</v>
      </c>
      <c r="I143" s="5">
        <v>360</v>
      </c>
      <c r="J143" s="5" t="s">
        <v>3266</v>
      </c>
      <c r="K143" s="5">
        <v>4.76</v>
      </c>
      <c r="L143" s="5">
        <v>322</v>
      </c>
      <c r="M143" s="5" t="s">
        <v>3267</v>
      </c>
      <c r="N143" s="5" t="s">
        <v>3933</v>
      </c>
    </row>
    <row r="144" spans="1:14" ht="68" customHeight="1">
      <c r="A144" s="5" t="s">
        <v>3934</v>
      </c>
      <c r="B144" s="5" t="s">
        <v>611</v>
      </c>
      <c r="C144" s="5" t="s">
        <v>3842</v>
      </c>
      <c r="D144" s="5" t="s">
        <v>3935</v>
      </c>
      <c r="E144" s="5" t="s">
        <v>3936</v>
      </c>
      <c r="F144" s="5" t="s">
        <v>3937</v>
      </c>
      <c r="G144" s="5">
        <v>125</v>
      </c>
      <c r="H144" s="5" t="s">
        <v>3265</v>
      </c>
      <c r="I144" s="5">
        <v>329</v>
      </c>
      <c r="J144" s="5" t="s">
        <v>3266</v>
      </c>
      <c r="K144" s="5">
        <v>4.56</v>
      </c>
      <c r="L144" s="5">
        <v>7632</v>
      </c>
      <c r="M144" s="5" t="s">
        <v>3267</v>
      </c>
      <c r="N144" s="5" t="s">
        <v>3938</v>
      </c>
    </row>
    <row r="145" spans="1:14" ht="68" customHeight="1">
      <c r="A145" s="5" t="s">
        <v>3939</v>
      </c>
      <c r="B145" s="5" t="s">
        <v>3940</v>
      </c>
      <c r="C145" s="5" t="s">
        <v>3941</v>
      </c>
      <c r="D145" s="5" t="s">
        <v>3942</v>
      </c>
      <c r="E145" s="5" t="s">
        <v>3943</v>
      </c>
      <c r="F145" s="5" t="s">
        <v>3944</v>
      </c>
      <c r="G145" s="5">
        <v>69</v>
      </c>
      <c r="H145" s="5" t="s">
        <v>3265</v>
      </c>
      <c r="I145" s="5">
        <v>3423</v>
      </c>
      <c r="J145" s="5" t="s">
        <v>3266</v>
      </c>
      <c r="K145" s="5">
        <v>4.51</v>
      </c>
      <c r="L145" s="5">
        <v>1155</v>
      </c>
      <c r="M145" s="5" t="s">
        <v>3267</v>
      </c>
      <c r="N145" s="5" t="s">
        <v>404</v>
      </c>
    </row>
    <row r="146" spans="1:14" ht="68" customHeight="1">
      <c r="A146" s="5" t="s">
        <v>3945</v>
      </c>
      <c r="B146" s="5" t="s">
        <v>3940</v>
      </c>
      <c r="C146" s="5" t="s">
        <v>3941</v>
      </c>
      <c r="D146" s="5" t="s">
        <v>3946</v>
      </c>
      <c r="E146" s="5" t="s">
        <v>3947</v>
      </c>
      <c r="F146" s="5" t="s">
        <v>3948</v>
      </c>
      <c r="G146" s="5">
        <v>75</v>
      </c>
      <c r="H146" s="5" t="s">
        <v>3265</v>
      </c>
      <c r="I146" s="5">
        <v>2930</v>
      </c>
      <c r="J146" s="5" t="s">
        <v>3266</v>
      </c>
      <c r="K146" s="5">
        <v>4.59</v>
      </c>
      <c r="L146" s="5">
        <v>641</v>
      </c>
      <c r="M146" s="5" t="s">
        <v>3267</v>
      </c>
      <c r="N146" s="5" t="s">
        <v>3949</v>
      </c>
    </row>
    <row r="147" spans="1:14" ht="68" customHeight="1">
      <c r="A147" s="5" t="s">
        <v>3950</v>
      </c>
      <c r="B147" s="5" t="s">
        <v>3940</v>
      </c>
      <c r="C147" s="5" t="s">
        <v>3941</v>
      </c>
      <c r="D147" s="5" t="s">
        <v>3670</v>
      </c>
      <c r="E147" s="5" t="s">
        <v>3671</v>
      </c>
      <c r="F147" s="5" t="s">
        <v>3672</v>
      </c>
      <c r="G147" s="5">
        <v>95</v>
      </c>
      <c r="H147" s="5" t="s">
        <v>3265</v>
      </c>
      <c r="I147" s="5">
        <v>2675</v>
      </c>
      <c r="J147" s="5" t="s">
        <v>3266</v>
      </c>
      <c r="K147" s="5">
        <v>4.75</v>
      </c>
      <c r="L147" s="5">
        <v>16301</v>
      </c>
      <c r="M147" s="5" t="s">
        <v>3267</v>
      </c>
      <c r="N147" s="5" t="s">
        <v>3951</v>
      </c>
    </row>
    <row r="148" spans="1:14" ht="68" customHeight="1">
      <c r="A148" s="5" t="s">
        <v>3952</v>
      </c>
      <c r="B148" s="5" t="s">
        <v>3940</v>
      </c>
      <c r="C148" s="5" t="s">
        <v>3941</v>
      </c>
      <c r="D148" s="5" t="s">
        <v>3953</v>
      </c>
      <c r="E148" s="5" t="s">
        <v>3954</v>
      </c>
      <c r="F148" s="5" t="s">
        <v>3955</v>
      </c>
      <c r="G148" s="5">
        <v>146</v>
      </c>
      <c r="H148" s="5" t="s">
        <v>3265</v>
      </c>
      <c r="I148" s="5">
        <v>2383</v>
      </c>
      <c r="J148" s="5" t="s">
        <v>3266</v>
      </c>
      <c r="K148" s="5">
        <v>4.87</v>
      </c>
      <c r="L148" s="5">
        <v>4892</v>
      </c>
      <c r="M148" s="5" t="s">
        <v>3267</v>
      </c>
      <c r="N148" s="5" t="s">
        <v>3956</v>
      </c>
    </row>
    <row r="149" spans="1:14" ht="68" customHeight="1">
      <c r="A149" s="5" t="s">
        <v>3957</v>
      </c>
      <c r="B149" s="5" t="s">
        <v>3940</v>
      </c>
      <c r="C149" s="5" t="s">
        <v>3941</v>
      </c>
      <c r="D149" s="5" t="s">
        <v>3958</v>
      </c>
      <c r="E149" s="5" t="s">
        <v>3959</v>
      </c>
      <c r="F149" s="5" t="s">
        <v>3960</v>
      </c>
      <c r="G149" s="5">
        <v>599</v>
      </c>
      <c r="H149" s="5" t="s">
        <v>3265</v>
      </c>
      <c r="I149" s="5">
        <v>1229</v>
      </c>
      <c r="J149" s="5" t="s">
        <v>3266</v>
      </c>
      <c r="K149" s="5">
        <v>4.87</v>
      </c>
      <c r="L149" s="5">
        <v>8436</v>
      </c>
      <c r="M149" s="5" t="s">
        <v>3267</v>
      </c>
      <c r="N149" s="5" t="s">
        <v>3961</v>
      </c>
    </row>
    <row r="150" spans="1:14" ht="68" customHeight="1">
      <c r="A150" s="5" t="s">
        <v>3962</v>
      </c>
      <c r="B150" s="5" t="s">
        <v>3940</v>
      </c>
      <c r="C150" s="5" t="s">
        <v>3941</v>
      </c>
      <c r="D150" s="5" t="s">
        <v>3963</v>
      </c>
      <c r="E150" s="5" t="s">
        <v>3964</v>
      </c>
      <c r="F150" s="5" t="s">
        <v>3965</v>
      </c>
      <c r="G150" s="5">
        <v>75</v>
      </c>
      <c r="H150" s="5" t="s">
        <v>3265</v>
      </c>
      <c r="I150" s="5">
        <v>858</v>
      </c>
      <c r="J150" s="5" t="s">
        <v>3266</v>
      </c>
      <c r="K150" s="5">
        <v>4.79</v>
      </c>
      <c r="L150" s="5">
        <v>6687</v>
      </c>
      <c r="M150" s="5" t="s">
        <v>3267</v>
      </c>
      <c r="N150" s="5" t="s">
        <v>3966</v>
      </c>
    </row>
    <row r="151" spans="1:14" ht="68" customHeight="1">
      <c r="A151" s="5" t="s">
        <v>3967</v>
      </c>
      <c r="B151" s="5" t="s">
        <v>3940</v>
      </c>
      <c r="C151" s="5" t="s">
        <v>3941</v>
      </c>
      <c r="D151" s="5" t="s">
        <v>3968</v>
      </c>
      <c r="E151" s="5" t="s">
        <v>3969</v>
      </c>
      <c r="F151" s="5" t="s">
        <v>3970</v>
      </c>
      <c r="G151" s="5">
        <v>169</v>
      </c>
      <c r="H151" s="5" t="s">
        <v>3265</v>
      </c>
      <c r="I151" s="5">
        <v>826</v>
      </c>
      <c r="J151" s="5" t="s">
        <v>3266</v>
      </c>
      <c r="K151" s="5">
        <v>4.84</v>
      </c>
      <c r="L151" s="5">
        <v>886</v>
      </c>
      <c r="M151" s="5" t="s">
        <v>3267</v>
      </c>
      <c r="N151" s="5" t="s">
        <v>429</v>
      </c>
    </row>
    <row r="152" spans="1:14" ht="68" customHeight="1">
      <c r="A152" s="5" t="s">
        <v>3971</v>
      </c>
      <c r="B152" s="5" t="s">
        <v>3940</v>
      </c>
      <c r="C152" s="5" t="s">
        <v>3941</v>
      </c>
      <c r="D152" s="5" t="s">
        <v>3713</v>
      </c>
      <c r="E152" s="5" t="s">
        <v>3394</v>
      </c>
      <c r="F152" s="5" t="s">
        <v>3714</v>
      </c>
      <c r="G152" s="5">
        <v>168</v>
      </c>
      <c r="H152" s="5" t="s">
        <v>3265</v>
      </c>
      <c r="I152" s="5">
        <v>750</v>
      </c>
      <c r="J152" s="5" t="s">
        <v>3266</v>
      </c>
      <c r="K152" s="5">
        <v>4.87</v>
      </c>
      <c r="L152" s="5">
        <v>6033</v>
      </c>
      <c r="M152" s="5" t="s">
        <v>3267</v>
      </c>
      <c r="N152" s="5" t="s">
        <v>3972</v>
      </c>
    </row>
    <row r="153" spans="1:14" ht="68" customHeight="1">
      <c r="A153" s="5" t="s">
        <v>3973</v>
      </c>
      <c r="B153" s="5" t="s">
        <v>3940</v>
      </c>
      <c r="C153" s="5" t="s">
        <v>3941</v>
      </c>
      <c r="D153" s="5" t="s">
        <v>3716</v>
      </c>
      <c r="E153" s="5" t="s">
        <v>3717</v>
      </c>
      <c r="F153" s="5" t="s">
        <v>3718</v>
      </c>
      <c r="G153" s="5">
        <v>90</v>
      </c>
      <c r="H153" s="5" t="s">
        <v>3265</v>
      </c>
      <c r="I153" s="5">
        <v>727</v>
      </c>
      <c r="J153" s="5" t="s">
        <v>3266</v>
      </c>
      <c r="K153" s="5">
        <v>4.82</v>
      </c>
      <c r="L153" s="5">
        <v>31363</v>
      </c>
      <c r="M153" s="5" t="s">
        <v>3267</v>
      </c>
      <c r="N153" s="5" t="s">
        <v>3974</v>
      </c>
    </row>
    <row r="154" spans="1:14" ht="68" customHeight="1">
      <c r="A154" s="5" t="s">
        <v>3975</v>
      </c>
      <c r="B154" s="5" t="s">
        <v>3940</v>
      </c>
      <c r="C154" s="5" t="s">
        <v>3941</v>
      </c>
      <c r="D154" s="5" t="s">
        <v>3976</v>
      </c>
      <c r="E154" s="5" t="s">
        <v>3977</v>
      </c>
      <c r="F154" s="5" t="s">
        <v>3978</v>
      </c>
      <c r="G154" s="5">
        <v>132</v>
      </c>
      <c r="H154" s="5" t="s">
        <v>3265</v>
      </c>
      <c r="I154" s="5">
        <v>693</v>
      </c>
      <c r="J154" s="5" t="s">
        <v>3266</v>
      </c>
      <c r="K154" s="5">
        <v>4.38</v>
      </c>
      <c r="L154" s="5">
        <v>2320</v>
      </c>
      <c r="M154" s="5" t="s">
        <v>3267</v>
      </c>
      <c r="N154" s="5" t="s">
        <v>3979</v>
      </c>
    </row>
    <row r="155" spans="1:14" ht="68" customHeight="1">
      <c r="A155" s="5" t="s">
        <v>3980</v>
      </c>
      <c r="B155" s="5" t="s">
        <v>3940</v>
      </c>
      <c r="C155" s="5" t="s">
        <v>3941</v>
      </c>
      <c r="D155" s="5" t="s">
        <v>3981</v>
      </c>
      <c r="E155" s="5" t="s">
        <v>3982</v>
      </c>
      <c r="F155" s="5" t="s">
        <v>3983</v>
      </c>
      <c r="G155" s="5">
        <v>420</v>
      </c>
      <c r="H155" s="5" t="s">
        <v>3265</v>
      </c>
      <c r="I155" s="5">
        <v>625</v>
      </c>
      <c r="J155" s="5" t="s">
        <v>3266</v>
      </c>
      <c r="K155" s="5">
        <v>4.75</v>
      </c>
      <c r="L155" s="5">
        <v>2466</v>
      </c>
      <c r="M155" s="5" t="s">
        <v>3267</v>
      </c>
      <c r="N155" s="5" t="s">
        <v>3984</v>
      </c>
    </row>
    <row r="156" spans="1:14" ht="68" customHeight="1">
      <c r="A156" s="5" t="s">
        <v>3985</v>
      </c>
      <c r="B156" s="5" t="s">
        <v>3940</v>
      </c>
      <c r="C156" s="5" t="s">
        <v>3941</v>
      </c>
      <c r="D156" s="5" t="s">
        <v>3729</v>
      </c>
      <c r="E156" s="5" t="s">
        <v>3730</v>
      </c>
      <c r="F156" s="5" t="s">
        <v>3731</v>
      </c>
      <c r="G156" s="5">
        <v>129</v>
      </c>
      <c r="H156" s="5" t="s">
        <v>3265</v>
      </c>
      <c r="I156" s="5">
        <v>567</v>
      </c>
      <c r="J156" s="5" t="s">
        <v>3266</v>
      </c>
      <c r="K156" s="5">
        <v>4.85</v>
      </c>
      <c r="L156" s="5">
        <v>3712</v>
      </c>
      <c r="M156" s="5" t="s">
        <v>3267</v>
      </c>
      <c r="N156" s="5" t="s">
        <v>3986</v>
      </c>
    </row>
    <row r="157" spans="1:14" ht="68" customHeight="1">
      <c r="A157" s="5" t="s">
        <v>3987</v>
      </c>
      <c r="B157" s="5" t="s">
        <v>3940</v>
      </c>
      <c r="C157" s="5" t="s">
        <v>3941</v>
      </c>
      <c r="D157" s="5" t="s">
        <v>3988</v>
      </c>
      <c r="E157" s="5" t="s">
        <v>3989</v>
      </c>
      <c r="F157" s="5" t="s">
        <v>3990</v>
      </c>
      <c r="G157" s="5">
        <v>59</v>
      </c>
      <c r="H157" s="5" t="s">
        <v>3265</v>
      </c>
      <c r="I157" s="5">
        <v>539</v>
      </c>
      <c r="J157" s="5" t="s">
        <v>3266</v>
      </c>
      <c r="K157" s="5">
        <v>4.24</v>
      </c>
      <c r="L157" s="5">
        <v>1262</v>
      </c>
      <c r="M157" s="5" t="s">
        <v>3267</v>
      </c>
      <c r="N157" s="5" t="s">
        <v>3991</v>
      </c>
    </row>
    <row r="158" spans="1:14" ht="68" customHeight="1">
      <c r="A158" s="5" t="s">
        <v>3992</v>
      </c>
      <c r="B158" s="5" t="s">
        <v>3940</v>
      </c>
      <c r="C158" s="5" t="s">
        <v>3941</v>
      </c>
      <c r="D158" s="5" t="s">
        <v>3734</v>
      </c>
      <c r="E158" s="5" t="s">
        <v>3735</v>
      </c>
      <c r="F158" s="5" t="s">
        <v>3736</v>
      </c>
      <c r="G158" s="5">
        <v>40</v>
      </c>
      <c r="H158" s="5" t="s">
        <v>3265</v>
      </c>
      <c r="I158" s="5">
        <v>528</v>
      </c>
      <c r="J158" s="5" t="s">
        <v>3266</v>
      </c>
      <c r="K158" s="5">
        <v>4.9</v>
      </c>
      <c r="L158" s="5">
        <v>3084</v>
      </c>
      <c r="M158" s="5" t="s">
        <v>3267</v>
      </c>
      <c r="N158" s="5" t="s">
        <v>3993</v>
      </c>
    </row>
    <row r="159" spans="1:14" ht="68" customHeight="1">
      <c r="A159" s="5" t="s">
        <v>3994</v>
      </c>
      <c r="B159" s="5" t="s">
        <v>3940</v>
      </c>
      <c r="C159" s="5" t="s">
        <v>3941</v>
      </c>
      <c r="D159" s="5" t="s">
        <v>3995</v>
      </c>
      <c r="E159" s="5" t="s">
        <v>3996</v>
      </c>
      <c r="F159" s="5" t="s">
        <v>3997</v>
      </c>
      <c r="G159" s="5">
        <v>99</v>
      </c>
      <c r="H159" s="5" t="s">
        <v>3265</v>
      </c>
      <c r="I159" s="5">
        <v>494</v>
      </c>
      <c r="J159" s="5" t="s">
        <v>3266</v>
      </c>
      <c r="K159" s="5">
        <v>4.83</v>
      </c>
      <c r="L159" s="5">
        <v>805</v>
      </c>
      <c r="M159" s="5" t="s">
        <v>3267</v>
      </c>
      <c r="N159" s="5" t="s">
        <v>445</v>
      </c>
    </row>
    <row r="160" spans="1:14" ht="68" customHeight="1">
      <c r="A160" s="5" t="s">
        <v>3998</v>
      </c>
      <c r="B160" s="5" t="s">
        <v>3940</v>
      </c>
      <c r="C160" s="5" t="s">
        <v>3941</v>
      </c>
      <c r="D160" s="5" t="s">
        <v>3999</v>
      </c>
      <c r="E160" s="5" t="s">
        <v>3316</v>
      </c>
      <c r="F160" s="5" t="s">
        <v>4000</v>
      </c>
      <c r="G160" s="5">
        <v>26</v>
      </c>
      <c r="H160" s="5" t="s">
        <v>3265</v>
      </c>
      <c r="I160" s="5">
        <v>443</v>
      </c>
      <c r="J160" s="5" t="s">
        <v>3266</v>
      </c>
      <c r="K160" s="5">
        <v>4.8</v>
      </c>
      <c r="L160" s="5">
        <v>240</v>
      </c>
      <c r="M160" s="5" t="s">
        <v>3267</v>
      </c>
      <c r="N160" s="5" t="s">
        <v>4001</v>
      </c>
    </row>
    <row r="161" spans="1:14" ht="68" customHeight="1">
      <c r="A161" s="5" t="s">
        <v>4002</v>
      </c>
      <c r="B161" s="5" t="s">
        <v>3940</v>
      </c>
      <c r="C161" s="5" t="s">
        <v>3941</v>
      </c>
      <c r="D161" s="5" t="s">
        <v>4003</v>
      </c>
      <c r="E161" s="5" t="s">
        <v>4004</v>
      </c>
      <c r="F161" s="5" t="s">
        <v>4005</v>
      </c>
      <c r="G161" s="5">
        <v>85</v>
      </c>
      <c r="H161" s="5" t="s">
        <v>3265</v>
      </c>
      <c r="I161" s="5">
        <v>439</v>
      </c>
      <c r="J161" s="5" t="s">
        <v>3266</v>
      </c>
      <c r="K161" s="5">
        <v>4.59</v>
      </c>
      <c r="L161" s="5">
        <v>29857</v>
      </c>
      <c r="M161" s="5" t="s">
        <v>3267</v>
      </c>
      <c r="N161" s="5" t="s">
        <v>4006</v>
      </c>
    </row>
    <row r="162" spans="1:14" ht="68" customHeight="1">
      <c r="A162" s="5" t="s">
        <v>4007</v>
      </c>
      <c r="B162" s="5" t="s">
        <v>3940</v>
      </c>
      <c r="C162" s="5" t="s">
        <v>3941</v>
      </c>
      <c r="D162" s="5" t="s">
        <v>4008</v>
      </c>
      <c r="E162" s="5" t="s">
        <v>4009</v>
      </c>
      <c r="F162" s="5" t="s">
        <v>4010</v>
      </c>
      <c r="G162" s="5">
        <v>84</v>
      </c>
      <c r="H162" s="5" t="s">
        <v>3265</v>
      </c>
      <c r="I162" s="5">
        <v>424</v>
      </c>
      <c r="J162" s="5" t="s">
        <v>3266</v>
      </c>
      <c r="K162" s="5">
        <v>4.78</v>
      </c>
      <c r="L162" s="5">
        <v>287</v>
      </c>
      <c r="M162" s="5" t="s">
        <v>3267</v>
      </c>
      <c r="N162" s="5" t="s">
        <v>4011</v>
      </c>
    </row>
    <row r="163" spans="1:14" ht="68" customHeight="1">
      <c r="A163" s="5" t="s">
        <v>4012</v>
      </c>
      <c r="B163" s="5" t="s">
        <v>3940</v>
      </c>
      <c r="C163" s="5" t="s">
        <v>3941</v>
      </c>
      <c r="D163" s="5" t="s">
        <v>4013</v>
      </c>
      <c r="E163" s="5" t="s">
        <v>4014</v>
      </c>
      <c r="F163" s="5" t="s">
        <v>4015</v>
      </c>
      <c r="G163" s="5">
        <v>90</v>
      </c>
      <c r="H163" s="5" t="s">
        <v>3265</v>
      </c>
      <c r="I163" s="5">
        <v>400</v>
      </c>
      <c r="J163" s="5" t="s">
        <v>3266</v>
      </c>
      <c r="K163" s="5">
        <v>4.79</v>
      </c>
      <c r="L163" s="5">
        <v>229</v>
      </c>
      <c r="M163" s="5" t="s">
        <v>3267</v>
      </c>
      <c r="N163" s="5" t="s">
        <v>4016</v>
      </c>
    </row>
    <row r="164" spans="1:14" ht="68" customHeight="1">
      <c r="A164" s="5" t="s">
        <v>4017</v>
      </c>
      <c r="B164" s="5" t="s">
        <v>3940</v>
      </c>
      <c r="C164" s="5" t="s">
        <v>3941</v>
      </c>
      <c r="D164" s="5" t="s">
        <v>4018</v>
      </c>
      <c r="E164" s="5" t="s">
        <v>4019</v>
      </c>
      <c r="F164" s="5" t="s">
        <v>4020</v>
      </c>
      <c r="G164" s="5">
        <v>82</v>
      </c>
      <c r="H164" s="5" t="s">
        <v>3265</v>
      </c>
      <c r="I164" s="5">
        <v>387</v>
      </c>
      <c r="J164" s="5" t="s">
        <v>3266</v>
      </c>
      <c r="K164" s="5">
        <v>4.79</v>
      </c>
      <c r="L164" s="5">
        <v>4293</v>
      </c>
      <c r="M164" s="5" t="s">
        <v>3267</v>
      </c>
      <c r="N164" s="5" t="s">
        <v>437</v>
      </c>
    </row>
    <row r="165" spans="1:14" ht="68" customHeight="1">
      <c r="A165" s="5" t="s">
        <v>4021</v>
      </c>
      <c r="B165" s="5" t="s">
        <v>4022</v>
      </c>
      <c r="C165" s="5" t="s">
        <v>4023</v>
      </c>
      <c r="D165" s="5" t="s">
        <v>4024</v>
      </c>
      <c r="E165" s="5" t="s">
        <v>3394</v>
      </c>
      <c r="F165" s="5" t="s">
        <v>4025</v>
      </c>
      <c r="G165" s="5">
        <v>96</v>
      </c>
      <c r="H165" s="5" t="s">
        <v>3265</v>
      </c>
      <c r="I165" s="5">
        <v>1670</v>
      </c>
      <c r="J165" s="5" t="s">
        <v>3266</v>
      </c>
      <c r="K165" s="5">
        <v>4.78</v>
      </c>
      <c r="L165" s="5">
        <v>5938</v>
      </c>
      <c r="M165" s="5" t="s">
        <v>3267</v>
      </c>
      <c r="N165" s="5" t="s">
        <v>4026</v>
      </c>
    </row>
    <row r="166" spans="1:14" ht="68" customHeight="1">
      <c r="A166" s="5" t="s">
        <v>4027</v>
      </c>
      <c r="B166" s="5" t="s">
        <v>4022</v>
      </c>
      <c r="C166" s="5" t="s">
        <v>4023</v>
      </c>
      <c r="D166" s="5" t="s">
        <v>4028</v>
      </c>
      <c r="E166" s="5" t="s">
        <v>4029</v>
      </c>
      <c r="F166" s="5" t="s">
        <v>4030</v>
      </c>
      <c r="G166" s="5">
        <v>195</v>
      </c>
      <c r="H166" s="5" t="s">
        <v>3265</v>
      </c>
      <c r="I166" s="5">
        <v>1513</v>
      </c>
      <c r="J166" s="5" t="s">
        <v>3266</v>
      </c>
      <c r="K166" s="5">
        <v>4.86</v>
      </c>
      <c r="L166" s="5">
        <v>9856</v>
      </c>
      <c r="M166" s="5" t="s">
        <v>3267</v>
      </c>
      <c r="N166" s="5" t="s">
        <v>4031</v>
      </c>
    </row>
    <row r="167" spans="1:14" ht="68" customHeight="1">
      <c r="A167" s="5" t="s">
        <v>4032</v>
      </c>
      <c r="B167" s="5" t="s">
        <v>4022</v>
      </c>
      <c r="C167" s="5" t="s">
        <v>4023</v>
      </c>
      <c r="D167" s="5" t="s">
        <v>4033</v>
      </c>
      <c r="E167" s="5" t="s">
        <v>4034</v>
      </c>
      <c r="F167" s="5" t="s">
        <v>4035</v>
      </c>
      <c r="G167" s="5">
        <v>39</v>
      </c>
      <c r="H167" s="5" t="s">
        <v>3265</v>
      </c>
      <c r="I167" s="5">
        <v>912</v>
      </c>
      <c r="J167" s="5" t="s">
        <v>3266</v>
      </c>
      <c r="K167" s="5">
        <v>4.82</v>
      </c>
      <c r="L167" s="5">
        <v>2974</v>
      </c>
      <c r="M167" s="5" t="s">
        <v>3267</v>
      </c>
      <c r="N167" s="5" t="s">
        <v>4036</v>
      </c>
    </row>
    <row r="168" spans="1:14" ht="68" customHeight="1">
      <c r="A168" s="5" t="s">
        <v>4037</v>
      </c>
      <c r="B168" s="5" t="s">
        <v>4022</v>
      </c>
      <c r="C168" s="5" t="s">
        <v>4023</v>
      </c>
      <c r="D168" s="5" t="s">
        <v>4038</v>
      </c>
      <c r="E168" s="5" t="s">
        <v>3717</v>
      </c>
      <c r="F168" s="5" t="s">
        <v>4039</v>
      </c>
      <c r="G168" s="5">
        <v>104</v>
      </c>
      <c r="H168" s="5" t="s">
        <v>3265</v>
      </c>
      <c r="I168" s="5">
        <v>821</v>
      </c>
      <c r="J168" s="5" t="s">
        <v>3266</v>
      </c>
      <c r="K168" s="5">
        <v>4.83</v>
      </c>
      <c r="L168" s="5">
        <v>55513</v>
      </c>
      <c r="M168" s="5" t="s">
        <v>3267</v>
      </c>
      <c r="N168" s="5" t="s">
        <v>4040</v>
      </c>
    </row>
    <row r="169" spans="1:14" ht="68" customHeight="1">
      <c r="A169" s="5" t="s">
        <v>4041</v>
      </c>
      <c r="B169" s="5" t="s">
        <v>4022</v>
      </c>
      <c r="C169" s="5" t="s">
        <v>4023</v>
      </c>
      <c r="D169" s="5" t="s">
        <v>4042</v>
      </c>
      <c r="E169" s="5" t="s">
        <v>4043</v>
      </c>
      <c r="F169" s="5" t="s">
        <v>4044</v>
      </c>
      <c r="G169" s="5">
        <v>78</v>
      </c>
      <c r="H169" s="5" t="s">
        <v>3265</v>
      </c>
      <c r="I169" s="5">
        <v>819</v>
      </c>
      <c r="J169" s="5" t="s">
        <v>3266</v>
      </c>
      <c r="K169" s="5">
        <v>4.9</v>
      </c>
      <c r="L169" s="5">
        <v>3554</v>
      </c>
      <c r="M169" s="5" t="s">
        <v>3267</v>
      </c>
      <c r="N169" s="5" t="s">
        <v>4045</v>
      </c>
    </row>
    <row r="170" spans="1:14" ht="68" customHeight="1">
      <c r="A170" s="5" t="s">
        <v>4046</v>
      </c>
      <c r="B170" s="5" t="s">
        <v>4022</v>
      </c>
      <c r="C170" s="5" t="s">
        <v>4023</v>
      </c>
      <c r="D170" s="5" t="s">
        <v>4047</v>
      </c>
      <c r="E170" s="5" t="s">
        <v>4048</v>
      </c>
      <c r="F170" s="5" t="s">
        <v>4049</v>
      </c>
      <c r="G170" s="5">
        <v>58</v>
      </c>
      <c r="H170" s="5" t="s">
        <v>3265</v>
      </c>
      <c r="I170" s="5">
        <v>739</v>
      </c>
      <c r="J170" s="5" t="s">
        <v>3266</v>
      </c>
      <c r="K170" s="5">
        <v>4.49</v>
      </c>
      <c r="L170" s="5">
        <v>8657</v>
      </c>
      <c r="M170" s="5" t="s">
        <v>3267</v>
      </c>
      <c r="N170" s="5" t="s">
        <v>4050</v>
      </c>
    </row>
    <row r="171" spans="1:14" ht="68" customHeight="1">
      <c r="A171" s="5" t="s">
        <v>4051</v>
      </c>
      <c r="B171" s="5" t="s">
        <v>4022</v>
      </c>
      <c r="C171" s="5" t="s">
        <v>4023</v>
      </c>
      <c r="D171" s="5" t="s">
        <v>3716</v>
      </c>
      <c r="E171" s="5" t="s">
        <v>3717</v>
      </c>
      <c r="F171" s="5" t="s">
        <v>3718</v>
      </c>
      <c r="G171" s="5">
        <v>90</v>
      </c>
      <c r="H171" s="5" t="s">
        <v>3265</v>
      </c>
      <c r="I171" s="5">
        <v>727</v>
      </c>
      <c r="J171" s="5" t="s">
        <v>3266</v>
      </c>
      <c r="K171" s="5">
        <v>4.82</v>
      </c>
      <c r="L171" s="5">
        <v>31363</v>
      </c>
      <c r="M171" s="5" t="s">
        <v>3267</v>
      </c>
      <c r="N171" s="5" t="s">
        <v>4052</v>
      </c>
    </row>
    <row r="172" spans="1:14" ht="68" customHeight="1">
      <c r="A172" s="5" t="s">
        <v>4053</v>
      </c>
      <c r="B172" s="5" t="s">
        <v>4022</v>
      </c>
      <c r="C172" s="5" t="s">
        <v>4023</v>
      </c>
      <c r="D172" s="5" t="s">
        <v>4054</v>
      </c>
      <c r="E172" s="5" t="s">
        <v>4055</v>
      </c>
      <c r="F172" s="5" t="s">
        <v>4056</v>
      </c>
      <c r="G172" s="5">
        <v>44</v>
      </c>
      <c r="H172" s="5" t="s">
        <v>3265</v>
      </c>
      <c r="I172" s="5">
        <v>677</v>
      </c>
      <c r="J172" s="5" t="s">
        <v>3266</v>
      </c>
      <c r="K172" s="5">
        <v>4.89</v>
      </c>
      <c r="L172" s="5">
        <v>3222</v>
      </c>
      <c r="M172" s="5" t="s">
        <v>3267</v>
      </c>
      <c r="N172" s="5" t="s">
        <v>394</v>
      </c>
    </row>
    <row r="173" spans="1:14" ht="68" customHeight="1">
      <c r="A173" s="5" t="s">
        <v>4057</v>
      </c>
      <c r="B173" s="5" t="s">
        <v>4022</v>
      </c>
      <c r="C173" s="5" t="s">
        <v>4023</v>
      </c>
      <c r="D173" s="5" t="s">
        <v>4058</v>
      </c>
      <c r="E173" s="5" t="s">
        <v>4029</v>
      </c>
      <c r="F173" s="5" t="s">
        <v>4059</v>
      </c>
      <c r="G173" s="5">
        <v>195</v>
      </c>
      <c r="H173" s="5" t="s">
        <v>3265</v>
      </c>
      <c r="I173" s="5">
        <v>561</v>
      </c>
      <c r="J173" s="5" t="s">
        <v>3266</v>
      </c>
      <c r="K173" s="5">
        <v>4.88</v>
      </c>
      <c r="L173" s="5">
        <v>1217</v>
      </c>
      <c r="M173" s="5" t="s">
        <v>3267</v>
      </c>
      <c r="N173" s="5" t="s">
        <v>4060</v>
      </c>
    </row>
    <row r="174" spans="1:14" ht="68" customHeight="1">
      <c r="A174" s="5" t="s">
        <v>4061</v>
      </c>
      <c r="B174" s="5" t="s">
        <v>4022</v>
      </c>
      <c r="C174" s="5" t="s">
        <v>4023</v>
      </c>
      <c r="D174" s="5" t="s">
        <v>4062</v>
      </c>
      <c r="E174" s="5" t="s">
        <v>4063</v>
      </c>
      <c r="F174" s="5" t="s">
        <v>4064</v>
      </c>
      <c r="G174" s="5">
        <v>27</v>
      </c>
      <c r="H174" s="5" t="s">
        <v>3265</v>
      </c>
      <c r="I174" s="5">
        <v>534</v>
      </c>
      <c r="J174" s="5" t="s">
        <v>3266</v>
      </c>
      <c r="K174" s="5">
        <v>4.74</v>
      </c>
      <c r="L174" s="5">
        <v>162</v>
      </c>
      <c r="M174" s="5" t="s">
        <v>3267</v>
      </c>
      <c r="N174" s="5" t="s">
        <v>4065</v>
      </c>
    </row>
    <row r="175" spans="1:14" ht="68" customHeight="1">
      <c r="A175" s="5" t="s">
        <v>4066</v>
      </c>
      <c r="B175" s="5" t="s">
        <v>4022</v>
      </c>
      <c r="C175" s="5" t="s">
        <v>4023</v>
      </c>
      <c r="D175" s="5" t="s">
        <v>3738</v>
      </c>
      <c r="E175" s="5" t="s">
        <v>3739</v>
      </c>
      <c r="F175" s="5" t="s">
        <v>3740</v>
      </c>
      <c r="G175" s="5">
        <v>110</v>
      </c>
      <c r="H175" s="5" t="s">
        <v>3265</v>
      </c>
      <c r="I175" s="5">
        <v>510</v>
      </c>
      <c r="J175" s="5" t="s">
        <v>3266</v>
      </c>
      <c r="K175" s="5">
        <v>4.85</v>
      </c>
      <c r="L175" s="5">
        <v>14934</v>
      </c>
      <c r="M175" s="5" t="s">
        <v>3267</v>
      </c>
      <c r="N175" s="5" t="s">
        <v>4067</v>
      </c>
    </row>
    <row r="176" spans="1:14" ht="68" customHeight="1">
      <c r="A176" s="5" t="s">
        <v>4068</v>
      </c>
      <c r="B176" s="5" t="s">
        <v>4022</v>
      </c>
      <c r="C176" s="5" t="s">
        <v>4023</v>
      </c>
      <c r="D176" s="5" t="s">
        <v>4069</v>
      </c>
      <c r="E176" s="5" t="s">
        <v>4070</v>
      </c>
      <c r="F176" s="5" t="s">
        <v>4071</v>
      </c>
      <c r="G176" s="5">
        <v>95</v>
      </c>
      <c r="H176" s="5" t="s">
        <v>3265</v>
      </c>
      <c r="I176" s="5">
        <v>417</v>
      </c>
      <c r="J176" s="5" t="s">
        <v>3266</v>
      </c>
      <c r="K176" s="5">
        <v>4.88</v>
      </c>
      <c r="L176" s="5">
        <v>398</v>
      </c>
      <c r="M176" s="5" t="s">
        <v>3267</v>
      </c>
      <c r="N176" s="5" t="s">
        <v>4072</v>
      </c>
    </row>
    <row r="177" spans="1:14" ht="68" customHeight="1">
      <c r="A177" s="5" t="s">
        <v>4073</v>
      </c>
      <c r="B177" s="5" t="s">
        <v>4022</v>
      </c>
      <c r="C177" s="5" t="s">
        <v>4023</v>
      </c>
      <c r="D177" s="5" t="s">
        <v>4074</v>
      </c>
      <c r="E177" s="5" t="s">
        <v>4075</v>
      </c>
      <c r="F177" s="5" t="s">
        <v>4076</v>
      </c>
      <c r="G177" s="5">
        <v>136</v>
      </c>
      <c r="H177" s="5" t="s">
        <v>3265</v>
      </c>
      <c r="I177" s="5">
        <v>415</v>
      </c>
      <c r="J177" s="5" t="s">
        <v>3266</v>
      </c>
      <c r="K177" s="5">
        <v>4.77</v>
      </c>
      <c r="L177" s="5">
        <v>2233</v>
      </c>
      <c r="M177" s="5" t="s">
        <v>3267</v>
      </c>
      <c r="N177" s="5" t="s">
        <v>421</v>
      </c>
    </row>
    <row r="178" spans="1:14" ht="68" customHeight="1">
      <c r="A178" s="5" t="s">
        <v>4077</v>
      </c>
      <c r="B178" s="5" t="s">
        <v>4022</v>
      </c>
      <c r="C178" s="5" t="s">
        <v>4023</v>
      </c>
      <c r="D178" s="5" t="s">
        <v>4078</v>
      </c>
      <c r="E178" s="5" t="s">
        <v>3316</v>
      </c>
      <c r="F178" s="5" t="s">
        <v>4079</v>
      </c>
      <c r="G178" s="5">
        <v>25</v>
      </c>
      <c r="H178" s="5" t="s">
        <v>3265</v>
      </c>
      <c r="I178" s="5">
        <v>392</v>
      </c>
      <c r="J178" s="5" t="s">
        <v>3266</v>
      </c>
      <c r="K178" s="5">
        <v>4.77</v>
      </c>
      <c r="L178" s="5">
        <v>212</v>
      </c>
      <c r="M178" s="5" t="s">
        <v>3267</v>
      </c>
      <c r="N178" s="5" t="s">
        <v>4080</v>
      </c>
    </row>
    <row r="179" spans="1:14" ht="68" customHeight="1">
      <c r="A179" s="5" t="s">
        <v>4081</v>
      </c>
      <c r="B179" s="5" t="s">
        <v>4022</v>
      </c>
      <c r="C179" s="5" t="s">
        <v>4023</v>
      </c>
      <c r="D179" s="5" t="s">
        <v>4082</v>
      </c>
      <c r="E179" s="5" t="s">
        <v>3717</v>
      </c>
      <c r="F179" s="5" t="s">
        <v>3718</v>
      </c>
      <c r="G179" s="5">
        <v>90</v>
      </c>
      <c r="H179" s="5" t="s">
        <v>3265</v>
      </c>
      <c r="I179" s="5">
        <v>354</v>
      </c>
      <c r="J179" s="5" t="s">
        <v>3266</v>
      </c>
      <c r="K179" s="5">
        <v>4.81</v>
      </c>
      <c r="L179" s="5">
        <v>17711</v>
      </c>
      <c r="M179" s="5" t="s">
        <v>3267</v>
      </c>
      <c r="N179" s="5" t="s">
        <v>4083</v>
      </c>
    </row>
    <row r="180" spans="1:14" ht="68" customHeight="1">
      <c r="A180" s="5" t="s">
        <v>4084</v>
      </c>
      <c r="B180" s="5" t="s">
        <v>4022</v>
      </c>
      <c r="C180" s="5" t="s">
        <v>4023</v>
      </c>
      <c r="D180" s="5" t="s">
        <v>4085</v>
      </c>
      <c r="E180" s="5" t="s">
        <v>4086</v>
      </c>
      <c r="F180" s="5" t="s">
        <v>4087</v>
      </c>
      <c r="G180" s="5">
        <v>104</v>
      </c>
      <c r="H180" s="5" t="s">
        <v>3265</v>
      </c>
      <c r="I180" s="5">
        <v>339</v>
      </c>
      <c r="J180" s="5" t="s">
        <v>3266</v>
      </c>
      <c r="K180" s="5">
        <v>4.79</v>
      </c>
      <c r="L180" s="5">
        <v>11362</v>
      </c>
      <c r="M180" s="5" t="s">
        <v>3267</v>
      </c>
      <c r="N180" s="5" t="s">
        <v>4088</v>
      </c>
    </row>
    <row r="181" spans="1:14" ht="68" customHeight="1">
      <c r="A181" s="5" t="s">
        <v>4089</v>
      </c>
      <c r="B181" s="5" t="s">
        <v>4022</v>
      </c>
      <c r="C181" s="5" t="s">
        <v>4023</v>
      </c>
      <c r="D181" s="5" t="s">
        <v>4090</v>
      </c>
      <c r="E181" s="5" t="s">
        <v>4091</v>
      </c>
      <c r="F181" s="5" t="s">
        <v>4092</v>
      </c>
      <c r="G181" s="5">
        <v>105</v>
      </c>
      <c r="H181" s="5" t="s">
        <v>3265</v>
      </c>
      <c r="I181" s="5">
        <v>327</v>
      </c>
      <c r="J181" s="5" t="s">
        <v>3266</v>
      </c>
      <c r="K181" s="5">
        <v>4.79</v>
      </c>
      <c r="L181" s="5">
        <v>2364</v>
      </c>
      <c r="M181" s="5" t="s">
        <v>3267</v>
      </c>
      <c r="N181" s="5" t="s">
        <v>414</v>
      </c>
    </row>
    <row r="182" spans="1:14" ht="68" customHeight="1">
      <c r="A182" s="5" t="s">
        <v>4093</v>
      </c>
      <c r="B182" s="5" t="s">
        <v>4022</v>
      </c>
      <c r="C182" s="5" t="s">
        <v>4023</v>
      </c>
      <c r="D182" s="5" t="s">
        <v>4094</v>
      </c>
      <c r="E182" s="5" t="s">
        <v>4095</v>
      </c>
      <c r="F182" s="5" t="s">
        <v>4096</v>
      </c>
      <c r="G182" s="5">
        <v>23</v>
      </c>
      <c r="H182" s="5" t="s">
        <v>3265</v>
      </c>
      <c r="I182" s="5">
        <v>321</v>
      </c>
      <c r="J182" s="5" t="s">
        <v>3266</v>
      </c>
      <c r="K182" s="5">
        <v>4.71</v>
      </c>
      <c r="L182" s="5">
        <v>387</v>
      </c>
      <c r="M182" s="5" t="s">
        <v>3267</v>
      </c>
      <c r="N182" s="5" t="s">
        <v>4097</v>
      </c>
    </row>
    <row r="183" spans="1:14" ht="68" customHeight="1">
      <c r="A183" s="5" t="s">
        <v>4098</v>
      </c>
      <c r="B183" s="5" t="s">
        <v>4022</v>
      </c>
      <c r="C183" s="5" t="s">
        <v>4023</v>
      </c>
      <c r="D183" s="5" t="s">
        <v>4099</v>
      </c>
      <c r="E183" s="5" t="s">
        <v>4100</v>
      </c>
      <c r="F183" s="5" t="s">
        <v>4101</v>
      </c>
      <c r="G183" s="5">
        <v>47</v>
      </c>
      <c r="H183" s="5" t="s">
        <v>3265</v>
      </c>
      <c r="I183" s="5">
        <v>259</v>
      </c>
      <c r="J183" s="5" t="s">
        <v>3266</v>
      </c>
      <c r="K183" s="5">
        <v>4.92</v>
      </c>
      <c r="L183" s="5">
        <v>65</v>
      </c>
      <c r="M183" s="5" t="s">
        <v>3267</v>
      </c>
      <c r="N183" s="5" t="s">
        <v>4102</v>
      </c>
    </row>
    <row r="184" spans="1:14" ht="68" customHeight="1">
      <c r="A184" s="5" t="s">
        <v>4103</v>
      </c>
      <c r="B184" s="5" t="s">
        <v>4022</v>
      </c>
      <c r="C184" s="5" t="s">
        <v>4023</v>
      </c>
      <c r="D184" s="5" t="s">
        <v>4104</v>
      </c>
      <c r="E184" s="5" t="s">
        <v>4105</v>
      </c>
      <c r="F184" s="5" t="s">
        <v>4106</v>
      </c>
      <c r="G184" s="5">
        <v>44</v>
      </c>
      <c r="H184" s="5" t="s">
        <v>3265</v>
      </c>
      <c r="I184" s="5">
        <v>253</v>
      </c>
      <c r="J184" s="5" t="s">
        <v>3266</v>
      </c>
      <c r="K184" s="5">
        <v>4.78</v>
      </c>
      <c r="L184" s="5">
        <v>703</v>
      </c>
      <c r="M184" s="5" t="s">
        <v>3267</v>
      </c>
      <c r="N184" s="5" t="s">
        <v>4107</v>
      </c>
    </row>
    <row r="185" spans="1:14" ht="68" customHeight="1">
      <c r="A185" s="5" t="s">
        <v>4108</v>
      </c>
      <c r="B185" s="5" t="s">
        <v>4109</v>
      </c>
      <c r="C185" s="5" t="s">
        <v>4110</v>
      </c>
      <c r="D185" s="5" t="s">
        <v>4111</v>
      </c>
      <c r="E185" s="5" t="s">
        <v>4112</v>
      </c>
      <c r="F185" s="5" t="s">
        <v>4113</v>
      </c>
      <c r="G185" s="5">
        <v>5</v>
      </c>
      <c r="H185" s="5" t="s">
        <v>3265</v>
      </c>
      <c r="I185" s="5">
        <v>4279</v>
      </c>
      <c r="J185" s="5" t="s">
        <v>3266</v>
      </c>
      <c r="K185" s="5">
        <v>4.76</v>
      </c>
      <c r="L185" s="5">
        <v>7913</v>
      </c>
      <c r="M185" s="5" t="s">
        <v>3267</v>
      </c>
      <c r="N185" s="5" t="s">
        <v>4114</v>
      </c>
    </row>
    <row r="186" spans="1:14" ht="68" customHeight="1">
      <c r="A186" s="5" t="s">
        <v>4115</v>
      </c>
      <c r="B186" s="5" t="s">
        <v>4109</v>
      </c>
      <c r="C186" s="5" t="s">
        <v>4110</v>
      </c>
      <c r="D186" s="5" t="s">
        <v>4116</v>
      </c>
      <c r="E186" s="5" t="s">
        <v>4117</v>
      </c>
      <c r="F186" s="5" t="s">
        <v>4118</v>
      </c>
      <c r="G186" s="5">
        <v>34</v>
      </c>
      <c r="H186" s="5" t="s">
        <v>3265</v>
      </c>
      <c r="I186" s="5">
        <v>2053</v>
      </c>
      <c r="J186" s="5" t="s">
        <v>3266</v>
      </c>
      <c r="K186" s="5">
        <v>4.83</v>
      </c>
      <c r="L186" s="5">
        <v>765</v>
      </c>
      <c r="M186" s="5" t="s">
        <v>3267</v>
      </c>
      <c r="N186" s="5" t="s">
        <v>4119</v>
      </c>
    </row>
    <row r="187" spans="1:14" ht="68" customHeight="1">
      <c r="A187" s="5" t="s">
        <v>4120</v>
      </c>
      <c r="B187" s="5" t="s">
        <v>4109</v>
      </c>
      <c r="C187" s="5" t="s">
        <v>4110</v>
      </c>
      <c r="D187" s="5" t="s">
        <v>4121</v>
      </c>
      <c r="E187" s="5" t="s">
        <v>4122</v>
      </c>
      <c r="F187" s="5" t="s">
        <v>4123</v>
      </c>
      <c r="G187" s="5">
        <v>34</v>
      </c>
      <c r="H187" s="5" t="s">
        <v>3265</v>
      </c>
      <c r="I187" s="5">
        <v>2038</v>
      </c>
      <c r="J187" s="5" t="s">
        <v>3266</v>
      </c>
      <c r="K187" s="5">
        <v>4.78</v>
      </c>
      <c r="L187" s="5">
        <v>16311</v>
      </c>
      <c r="M187" s="5" t="s">
        <v>3267</v>
      </c>
      <c r="N187" s="5" t="s">
        <v>4124</v>
      </c>
    </row>
    <row r="188" spans="1:14" ht="68" customHeight="1">
      <c r="A188" s="5" t="s">
        <v>4125</v>
      </c>
      <c r="B188" s="5" t="s">
        <v>4109</v>
      </c>
      <c r="C188" s="5" t="s">
        <v>4110</v>
      </c>
      <c r="D188" s="5" t="s">
        <v>3483</v>
      </c>
      <c r="E188" s="5" t="s">
        <v>3484</v>
      </c>
      <c r="F188" s="5" t="s">
        <v>3485</v>
      </c>
      <c r="G188" s="5">
        <v>78</v>
      </c>
      <c r="H188" s="5" t="s">
        <v>3265</v>
      </c>
      <c r="I188" s="5">
        <v>923</v>
      </c>
      <c r="J188" s="5" t="s">
        <v>3266</v>
      </c>
      <c r="K188" s="5">
        <v>4.76</v>
      </c>
      <c r="L188" s="5">
        <v>27073</v>
      </c>
      <c r="M188" s="5" t="s">
        <v>3267</v>
      </c>
      <c r="N188" s="5" t="s">
        <v>4126</v>
      </c>
    </row>
    <row r="189" spans="1:14" ht="68" customHeight="1">
      <c r="A189" s="5" t="s">
        <v>4127</v>
      </c>
      <c r="B189" s="5" t="s">
        <v>4109</v>
      </c>
      <c r="C189" s="5" t="s">
        <v>4110</v>
      </c>
      <c r="D189" s="5" t="s">
        <v>4128</v>
      </c>
      <c r="E189" s="5" t="s">
        <v>4129</v>
      </c>
      <c r="F189" s="5" t="s">
        <v>4130</v>
      </c>
      <c r="G189" s="5">
        <v>75</v>
      </c>
      <c r="H189" s="5" t="s">
        <v>3265</v>
      </c>
      <c r="I189" s="5">
        <v>665</v>
      </c>
      <c r="J189" s="5" t="s">
        <v>3266</v>
      </c>
      <c r="K189" s="5">
        <v>4.81</v>
      </c>
      <c r="L189" s="5">
        <v>1183</v>
      </c>
      <c r="M189" s="5" t="s">
        <v>3267</v>
      </c>
      <c r="N189" s="5" t="s">
        <v>4131</v>
      </c>
    </row>
    <row r="190" spans="1:14" ht="68" customHeight="1">
      <c r="A190" s="5" t="s">
        <v>4132</v>
      </c>
      <c r="B190" s="5" t="s">
        <v>4109</v>
      </c>
      <c r="C190" s="5" t="s">
        <v>4110</v>
      </c>
      <c r="D190" s="5" t="s">
        <v>4133</v>
      </c>
      <c r="E190" s="5" t="s">
        <v>4134</v>
      </c>
      <c r="F190" s="5" t="s">
        <v>4135</v>
      </c>
      <c r="G190" s="5">
        <v>25</v>
      </c>
      <c r="H190" s="5" t="s">
        <v>3265</v>
      </c>
      <c r="I190" s="5">
        <v>553</v>
      </c>
      <c r="J190" s="5" t="s">
        <v>3266</v>
      </c>
      <c r="K190" s="5">
        <v>4.84</v>
      </c>
      <c r="L190" s="5">
        <v>819</v>
      </c>
      <c r="M190" s="5" t="s">
        <v>3267</v>
      </c>
      <c r="N190" s="5" t="s">
        <v>4136</v>
      </c>
    </row>
    <row r="191" spans="1:14" ht="68" customHeight="1">
      <c r="A191" s="5" t="s">
        <v>4137</v>
      </c>
      <c r="B191" s="5" t="s">
        <v>4109</v>
      </c>
      <c r="C191" s="5" t="s">
        <v>4110</v>
      </c>
      <c r="D191" s="5" t="s">
        <v>3506</v>
      </c>
      <c r="E191" s="5" t="s">
        <v>3507</v>
      </c>
      <c r="F191" s="5" t="s">
        <v>3508</v>
      </c>
      <c r="G191" s="5">
        <v>105</v>
      </c>
      <c r="H191" s="5" t="s">
        <v>3265</v>
      </c>
      <c r="I191" s="5">
        <v>522</v>
      </c>
      <c r="J191" s="5" t="s">
        <v>3266</v>
      </c>
      <c r="K191" s="5">
        <v>4.9</v>
      </c>
      <c r="L191" s="5">
        <v>819</v>
      </c>
      <c r="M191" s="5" t="s">
        <v>3267</v>
      </c>
      <c r="N191" s="5" t="s">
        <v>4138</v>
      </c>
    </row>
    <row r="192" spans="1:14" ht="68" customHeight="1">
      <c r="A192" s="5" t="s">
        <v>4139</v>
      </c>
      <c r="B192" s="5" t="s">
        <v>4109</v>
      </c>
      <c r="C192" s="5" t="s">
        <v>4110</v>
      </c>
      <c r="D192" s="5" t="s">
        <v>4140</v>
      </c>
      <c r="E192" s="5" t="s">
        <v>4141</v>
      </c>
      <c r="F192" s="5" t="s">
        <v>4142</v>
      </c>
      <c r="G192" s="5">
        <v>88</v>
      </c>
      <c r="H192" s="5" t="s">
        <v>3265</v>
      </c>
      <c r="I192" s="5">
        <v>518</v>
      </c>
      <c r="J192" s="5" t="s">
        <v>3266</v>
      </c>
      <c r="K192" s="5">
        <v>4.8</v>
      </c>
      <c r="L192" s="5">
        <v>2312</v>
      </c>
      <c r="M192" s="5" t="s">
        <v>3267</v>
      </c>
      <c r="N192" s="5" t="s">
        <v>4143</v>
      </c>
    </row>
    <row r="193" spans="1:14" ht="68" customHeight="1">
      <c r="A193" s="5" t="s">
        <v>4144</v>
      </c>
      <c r="B193" s="5" t="s">
        <v>4109</v>
      </c>
      <c r="C193" s="5" t="s">
        <v>4110</v>
      </c>
      <c r="D193" s="5" t="s">
        <v>4145</v>
      </c>
      <c r="E193" s="5" t="s">
        <v>4146</v>
      </c>
      <c r="F193" s="5" t="s">
        <v>4147</v>
      </c>
      <c r="G193" s="5">
        <v>59</v>
      </c>
      <c r="H193" s="5" t="s">
        <v>3265</v>
      </c>
      <c r="I193" s="5">
        <v>476</v>
      </c>
      <c r="J193" s="5" t="s">
        <v>3266</v>
      </c>
      <c r="K193" s="5">
        <v>4.92</v>
      </c>
      <c r="L193" s="5">
        <v>748</v>
      </c>
      <c r="M193" s="5" t="s">
        <v>3267</v>
      </c>
      <c r="N193" s="5" t="s">
        <v>4148</v>
      </c>
    </row>
    <row r="194" spans="1:14" ht="68" customHeight="1">
      <c r="A194" s="5" t="s">
        <v>4149</v>
      </c>
      <c r="B194" s="5" t="s">
        <v>4109</v>
      </c>
      <c r="C194" s="5" t="s">
        <v>4110</v>
      </c>
      <c r="D194" s="5" t="s">
        <v>4150</v>
      </c>
      <c r="E194" s="5" t="s">
        <v>4151</v>
      </c>
      <c r="F194" s="5" t="s">
        <v>4152</v>
      </c>
      <c r="G194" s="5">
        <v>168</v>
      </c>
      <c r="H194" s="5" t="s">
        <v>3265</v>
      </c>
      <c r="I194" s="5">
        <v>394</v>
      </c>
      <c r="J194" s="5" t="s">
        <v>3266</v>
      </c>
      <c r="K194" s="5">
        <v>4.91</v>
      </c>
      <c r="L194" s="5">
        <v>5084</v>
      </c>
      <c r="M194" s="5" t="s">
        <v>3267</v>
      </c>
      <c r="N194" s="5" t="s">
        <v>4153</v>
      </c>
    </row>
    <row r="195" spans="1:14" ht="68" customHeight="1">
      <c r="A195" s="5" t="s">
        <v>4154</v>
      </c>
      <c r="B195" s="5" t="s">
        <v>4109</v>
      </c>
      <c r="C195" s="5" t="s">
        <v>4110</v>
      </c>
      <c r="D195" s="5" t="s">
        <v>4155</v>
      </c>
      <c r="E195" s="5" t="s">
        <v>4156</v>
      </c>
      <c r="F195" s="5" t="s">
        <v>4157</v>
      </c>
      <c r="G195" s="5">
        <v>313</v>
      </c>
      <c r="H195" s="5" t="s">
        <v>3265</v>
      </c>
      <c r="I195" s="5">
        <v>360</v>
      </c>
      <c r="J195" s="5" t="s">
        <v>3266</v>
      </c>
      <c r="K195" s="5">
        <v>4.9</v>
      </c>
      <c r="L195" s="5">
        <v>898</v>
      </c>
      <c r="M195" s="5" t="s">
        <v>3267</v>
      </c>
      <c r="N195" s="5" t="s">
        <v>461</v>
      </c>
    </row>
    <row r="196" spans="1:14" ht="68" customHeight="1">
      <c r="A196" s="5" t="s">
        <v>4158</v>
      </c>
      <c r="B196" s="5" t="s">
        <v>4109</v>
      </c>
      <c r="C196" s="5" t="s">
        <v>4110</v>
      </c>
      <c r="D196" s="5" t="s">
        <v>4159</v>
      </c>
      <c r="E196" s="5" t="s">
        <v>4160</v>
      </c>
      <c r="F196" s="5" t="s">
        <v>4161</v>
      </c>
      <c r="G196" s="5">
        <v>399</v>
      </c>
      <c r="H196" s="5" t="s">
        <v>3265</v>
      </c>
      <c r="I196" s="5">
        <v>296</v>
      </c>
      <c r="J196" s="5" t="s">
        <v>3266</v>
      </c>
      <c r="K196" s="5">
        <v>4.84</v>
      </c>
      <c r="L196" s="5">
        <v>265</v>
      </c>
      <c r="M196" s="5" t="s">
        <v>3267</v>
      </c>
      <c r="N196" s="5" t="s">
        <v>4162</v>
      </c>
    </row>
    <row r="197" spans="1:14" ht="68" customHeight="1">
      <c r="A197" s="5" t="s">
        <v>4163</v>
      </c>
      <c r="B197" s="5" t="s">
        <v>4109</v>
      </c>
      <c r="C197" s="5" t="s">
        <v>4110</v>
      </c>
      <c r="D197" s="5" t="s">
        <v>4164</v>
      </c>
      <c r="E197" s="5" t="s">
        <v>4165</v>
      </c>
      <c r="F197" s="5" t="s">
        <v>4166</v>
      </c>
      <c r="G197" s="5">
        <v>11</v>
      </c>
      <c r="H197" s="5" t="s">
        <v>3265</v>
      </c>
      <c r="I197" s="5">
        <v>283</v>
      </c>
      <c r="J197" s="5" t="s">
        <v>3266</v>
      </c>
      <c r="K197" s="5">
        <v>4.68</v>
      </c>
      <c r="L197" s="5">
        <v>271</v>
      </c>
      <c r="M197" s="5" t="s">
        <v>3267</v>
      </c>
      <c r="N197" s="5" t="s">
        <v>4167</v>
      </c>
    </row>
    <row r="198" spans="1:14" ht="68" customHeight="1">
      <c r="A198" s="5" t="s">
        <v>4168</v>
      </c>
      <c r="B198" s="5" t="s">
        <v>4109</v>
      </c>
      <c r="C198" s="5" t="s">
        <v>4110</v>
      </c>
      <c r="D198" s="5" t="s">
        <v>4169</v>
      </c>
      <c r="E198" s="5" t="s">
        <v>4170</v>
      </c>
      <c r="F198" s="5" t="s">
        <v>4171</v>
      </c>
      <c r="G198" s="5">
        <v>9</v>
      </c>
      <c r="H198" s="5" t="s">
        <v>3265</v>
      </c>
      <c r="I198" s="5">
        <v>264</v>
      </c>
      <c r="J198" s="5" t="s">
        <v>3266</v>
      </c>
      <c r="K198" s="5">
        <v>4.86</v>
      </c>
      <c r="L198" s="5">
        <v>503</v>
      </c>
      <c r="M198" s="5" t="s">
        <v>3267</v>
      </c>
      <c r="N198" s="5" t="s">
        <v>4172</v>
      </c>
    </row>
    <row r="199" spans="1:14" ht="68" customHeight="1">
      <c r="A199" s="5" t="s">
        <v>4173</v>
      </c>
      <c r="B199" s="5" t="s">
        <v>4109</v>
      </c>
      <c r="C199" s="5" t="s">
        <v>4110</v>
      </c>
      <c r="D199" s="5" t="s">
        <v>4174</v>
      </c>
      <c r="E199" s="5" t="s">
        <v>4175</v>
      </c>
      <c r="F199" s="5" t="s">
        <v>4176</v>
      </c>
      <c r="G199" s="5">
        <v>67</v>
      </c>
      <c r="H199" s="5" t="s">
        <v>3265</v>
      </c>
      <c r="I199" s="5">
        <v>252</v>
      </c>
      <c r="J199" s="5" t="s">
        <v>3266</v>
      </c>
      <c r="K199" s="5">
        <v>4.76</v>
      </c>
      <c r="L199" s="5">
        <v>87</v>
      </c>
      <c r="M199" s="5" t="s">
        <v>3267</v>
      </c>
      <c r="N199" s="5" t="s">
        <v>4177</v>
      </c>
    </row>
    <row r="200" spans="1:14" ht="68" customHeight="1">
      <c r="A200" s="5" t="s">
        <v>4178</v>
      </c>
      <c r="B200" s="5" t="s">
        <v>4109</v>
      </c>
      <c r="C200" s="5" t="s">
        <v>4110</v>
      </c>
      <c r="D200" s="5" t="s">
        <v>4179</v>
      </c>
      <c r="E200" s="5" t="s">
        <v>4180</v>
      </c>
      <c r="F200" s="5" t="s">
        <v>4181</v>
      </c>
      <c r="G200" s="5">
        <v>48</v>
      </c>
      <c r="H200" s="5" t="s">
        <v>3265</v>
      </c>
      <c r="I200" s="5">
        <v>209</v>
      </c>
      <c r="J200" s="5" t="s">
        <v>3266</v>
      </c>
      <c r="K200" s="5">
        <v>4.84</v>
      </c>
      <c r="L200" s="5">
        <v>10636</v>
      </c>
      <c r="M200" s="5" t="s">
        <v>3267</v>
      </c>
      <c r="N200" s="5" t="s">
        <v>4182</v>
      </c>
    </row>
    <row r="201" spans="1:14" ht="68" customHeight="1">
      <c r="A201" s="5" t="s">
        <v>4183</v>
      </c>
      <c r="B201" s="5" t="s">
        <v>4109</v>
      </c>
      <c r="C201" s="5" t="s">
        <v>4110</v>
      </c>
      <c r="D201" s="5" t="s">
        <v>4184</v>
      </c>
      <c r="E201" s="5" t="s">
        <v>4185</v>
      </c>
      <c r="F201" s="5" t="s">
        <v>4186</v>
      </c>
      <c r="G201" s="5">
        <v>27</v>
      </c>
      <c r="H201" s="5" t="s">
        <v>3265</v>
      </c>
      <c r="I201" s="5">
        <v>193</v>
      </c>
      <c r="J201" s="5" t="s">
        <v>3266</v>
      </c>
      <c r="K201" s="5">
        <v>4.63</v>
      </c>
      <c r="L201" s="5">
        <v>6237</v>
      </c>
      <c r="M201" s="5" t="s">
        <v>3267</v>
      </c>
      <c r="N201" s="5" t="s">
        <v>4187</v>
      </c>
    </row>
    <row r="202" spans="1:14" ht="68" customHeight="1">
      <c r="A202" s="5" t="s">
        <v>4188</v>
      </c>
      <c r="B202" s="5" t="s">
        <v>4109</v>
      </c>
      <c r="C202" s="5" t="s">
        <v>4110</v>
      </c>
      <c r="D202" s="5" t="s">
        <v>4189</v>
      </c>
      <c r="E202" s="5" t="s">
        <v>4190</v>
      </c>
      <c r="F202" s="5" t="s">
        <v>4191</v>
      </c>
      <c r="G202" s="5">
        <v>72</v>
      </c>
      <c r="H202" s="5" t="s">
        <v>3265</v>
      </c>
      <c r="I202" s="5">
        <v>166</v>
      </c>
      <c r="J202" s="5" t="s">
        <v>3266</v>
      </c>
      <c r="K202" s="5">
        <v>4.89</v>
      </c>
      <c r="L202" s="5">
        <v>98</v>
      </c>
      <c r="M202" s="5" t="s">
        <v>3267</v>
      </c>
      <c r="N202" s="5" t="s">
        <v>453</v>
      </c>
    </row>
    <row r="203" spans="1:14" ht="68" customHeight="1">
      <c r="A203" s="5" t="s">
        <v>4192</v>
      </c>
      <c r="B203" s="5" t="s">
        <v>4109</v>
      </c>
      <c r="C203" s="5" t="s">
        <v>4110</v>
      </c>
      <c r="D203" s="5" t="s">
        <v>4193</v>
      </c>
      <c r="E203" s="5" t="s">
        <v>4194</v>
      </c>
      <c r="F203" s="5" t="s">
        <v>4195</v>
      </c>
      <c r="G203" s="5">
        <v>36</v>
      </c>
      <c r="H203" s="5" t="s">
        <v>3265</v>
      </c>
      <c r="I203" s="5">
        <v>152</v>
      </c>
      <c r="J203" s="5" t="s">
        <v>3266</v>
      </c>
      <c r="K203" s="5">
        <v>4.83</v>
      </c>
      <c r="L203" s="5">
        <v>508</v>
      </c>
      <c r="M203" s="5" t="s">
        <v>3267</v>
      </c>
      <c r="N203" s="5" t="s">
        <v>4196</v>
      </c>
    </row>
    <row r="204" spans="1:14" ht="68" customHeight="1">
      <c r="A204" s="5" t="s">
        <v>4197</v>
      </c>
      <c r="B204" s="5" t="s">
        <v>4109</v>
      </c>
      <c r="C204" s="5" t="s">
        <v>4110</v>
      </c>
      <c r="D204" s="5" t="s">
        <v>4198</v>
      </c>
      <c r="E204" s="5" t="s">
        <v>4199</v>
      </c>
      <c r="F204" s="5" t="s">
        <v>4200</v>
      </c>
      <c r="G204" s="5">
        <v>100</v>
      </c>
      <c r="H204" s="5" t="s">
        <v>3265</v>
      </c>
      <c r="I204" s="5">
        <v>149</v>
      </c>
      <c r="J204" s="5" t="s">
        <v>3266</v>
      </c>
      <c r="K204" s="5">
        <v>4.9</v>
      </c>
      <c r="L204" s="5">
        <v>4629</v>
      </c>
      <c r="M204" s="5" t="s">
        <v>3267</v>
      </c>
      <c r="N204" s="5" t="s">
        <v>384</v>
      </c>
    </row>
    <row r="205" spans="1:14" ht="68" customHeight="1">
      <c r="A205" s="5" t="s">
        <v>4201</v>
      </c>
      <c r="B205" s="5" t="s">
        <v>4202</v>
      </c>
      <c r="C205" s="5" t="s">
        <v>4203</v>
      </c>
      <c r="D205" s="5" t="s">
        <v>4024</v>
      </c>
      <c r="E205" s="5" t="s">
        <v>3394</v>
      </c>
      <c r="F205" s="5" t="s">
        <v>4025</v>
      </c>
      <c r="G205" s="5">
        <v>96</v>
      </c>
      <c r="H205" s="5" t="s">
        <v>3265</v>
      </c>
      <c r="I205" s="5">
        <v>1670</v>
      </c>
      <c r="J205" s="5" t="s">
        <v>3266</v>
      </c>
      <c r="K205" s="5">
        <v>4.78</v>
      </c>
      <c r="L205" s="5">
        <v>5938</v>
      </c>
      <c r="M205" s="5" t="s">
        <v>3267</v>
      </c>
      <c r="N205" s="5" t="s">
        <v>4204</v>
      </c>
    </row>
    <row r="206" spans="1:14" ht="68" customHeight="1">
      <c r="A206" s="5" t="s">
        <v>4205</v>
      </c>
      <c r="B206" s="5" t="s">
        <v>4202</v>
      </c>
      <c r="C206" s="5" t="s">
        <v>4203</v>
      </c>
      <c r="D206" s="5" t="s">
        <v>4028</v>
      </c>
      <c r="E206" s="5" t="s">
        <v>4029</v>
      </c>
      <c r="F206" s="5" t="s">
        <v>4030</v>
      </c>
      <c r="G206" s="5">
        <v>195</v>
      </c>
      <c r="H206" s="5" t="s">
        <v>3265</v>
      </c>
      <c r="I206" s="5">
        <v>1513</v>
      </c>
      <c r="J206" s="5" t="s">
        <v>3266</v>
      </c>
      <c r="K206" s="5">
        <v>4.86</v>
      </c>
      <c r="L206" s="5">
        <v>9856</v>
      </c>
      <c r="M206" s="5" t="s">
        <v>3267</v>
      </c>
      <c r="N206" s="5" t="s">
        <v>4206</v>
      </c>
    </row>
    <row r="207" spans="1:14" ht="68" customHeight="1">
      <c r="A207" s="5" t="s">
        <v>4207</v>
      </c>
      <c r="B207" s="5" t="s">
        <v>4202</v>
      </c>
      <c r="C207" s="5" t="s">
        <v>4203</v>
      </c>
      <c r="D207" s="5" t="s">
        <v>4038</v>
      </c>
      <c r="E207" s="5" t="s">
        <v>3717</v>
      </c>
      <c r="F207" s="5" t="s">
        <v>4039</v>
      </c>
      <c r="G207" s="5">
        <v>104</v>
      </c>
      <c r="H207" s="5" t="s">
        <v>3265</v>
      </c>
      <c r="I207" s="5">
        <v>821</v>
      </c>
      <c r="J207" s="5" t="s">
        <v>3266</v>
      </c>
      <c r="K207" s="5">
        <v>4.83</v>
      </c>
      <c r="L207" s="5">
        <v>55513</v>
      </c>
      <c r="M207" s="5" t="s">
        <v>3267</v>
      </c>
      <c r="N207" s="5" t="s">
        <v>4208</v>
      </c>
    </row>
    <row r="208" spans="1:14" ht="68" customHeight="1">
      <c r="A208" s="5" t="s">
        <v>4209</v>
      </c>
      <c r="B208" s="5" t="s">
        <v>4202</v>
      </c>
      <c r="C208" s="5" t="s">
        <v>4203</v>
      </c>
      <c r="D208" s="5" t="s">
        <v>4042</v>
      </c>
      <c r="E208" s="5" t="s">
        <v>4043</v>
      </c>
      <c r="F208" s="5" t="s">
        <v>4044</v>
      </c>
      <c r="G208" s="5">
        <v>78</v>
      </c>
      <c r="H208" s="5" t="s">
        <v>3265</v>
      </c>
      <c r="I208" s="5">
        <v>819</v>
      </c>
      <c r="J208" s="5" t="s">
        <v>3266</v>
      </c>
      <c r="K208" s="5">
        <v>4.9</v>
      </c>
      <c r="L208" s="5">
        <v>3554</v>
      </c>
      <c r="M208" s="5" t="s">
        <v>3267</v>
      </c>
      <c r="N208" s="5" t="s">
        <v>4210</v>
      </c>
    </row>
    <row r="209" spans="1:14" ht="68" customHeight="1">
      <c r="A209" s="5" t="s">
        <v>4211</v>
      </c>
      <c r="B209" s="5" t="s">
        <v>4202</v>
      </c>
      <c r="C209" s="5" t="s">
        <v>4203</v>
      </c>
      <c r="D209" s="5" t="s">
        <v>4047</v>
      </c>
      <c r="E209" s="5" t="s">
        <v>4048</v>
      </c>
      <c r="F209" s="5" t="s">
        <v>4049</v>
      </c>
      <c r="G209" s="5">
        <v>58</v>
      </c>
      <c r="H209" s="5" t="s">
        <v>3265</v>
      </c>
      <c r="I209" s="5">
        <v>739</v>
      </c>
      <c r="J209" s="5" t="s">
        <v>3266</v>
      </c>
      <c r="K209" s="5">
        <v>4.49</v>
      </c>
      <c r="L209" s="5">
        <v>8657</v>
      </c>
      <c r="M209" s="5" t="s">
        <v>3267</v>
      </c>
      <c r="N209" s="5" t="s">
        <v>4212</v>
      </c>
    </row>
    <row r="210" spans="1:14" ht="68" customHeight="1">
      <c r="A210" s="5" t="s">
        <v>4213</v>
      </c>
      <c r="B210" s="5" t="s">
        <v>4202</v>
      </c>
      <c r="C210" s="5" t="s">
        <v>4203</v>
      </c>
      <c r="D210" s="5" t="s">
        <v>4214</v>
      </c>
      <c r="E210" s="5" t="s">
        <v>3389</v>
      </c>
      <c r="F210" s="5" t="s">
        <v>4215</v>
      </c>
      <c r="G210" s="5">
        <v>45</v>
      </c>
      <c r="H210" s="5" t="s">
        <v>3265</v>
      </c>
      <c r="I210" s="5">
        <v>726</v>
      </c>
      <c r="J210" s="5" t="s">
        <v>3266</v>
      </c>
      <c r="K210" s="5">
        <v>4.58</v>
      </c>
      <c r="L210" s="5">
        <v>13462</v>
      </c>
      <c r="M210" s="5" t="s">
        <v>3267</v>
      </c>
      <c r="N210" s="5" t="s">
        <v>4216</v>
      </c>
    </row>
    <row r="211" spans="1:14" ht="68" customHeight="1">
      <c r="A211" s="5" t="s">
        <v>4217</v>
      </c>
      <c r="B211" s="5" t="s">
        <v>4202</v>
      </c>
      <c r="C211" s="5" t="s">
        <v>4203</v>
      </c>
      <c r="D211" s="5" t="s">
        <v>4054</v>
      </c>
      <c r="E211" s="5" t="s">
        <v>4055</v>
      </c>
      <c r="F211" s="5" t="s">
        <v>4056</v>
      </c>
      <c r="G211" s="5">
        <v>44</v>
      </c>
      <c r="H211" s="5" t="s">
        <v>3265</v>
      </c>
      <c r="I211" s="5">
        <v>677</v>
      </c>
      <c r="J211" s="5" t="s">
        <v>3266</v>
      </c>
      <c r="K211" s="5">
        <v>4.89</v>
      </c>
      <c r="L211" s="5">
        <v>3222</v>
      </c>
      <c r="M211" s="5" t="s">
        <v>3267</v>
      </c>
      <c r="N211" s="5" t="s">
        <v>4218</v>
      </c>
    </row>
    <row r="212" spans="1:14" ht="68" customHeight="1">
      <c r="A212" s="5" t="s">
        <v>4219</v>
      </c>
      <c r="B212" s="5" t="s">
        <v>4202</v>
      </c>
      <c r="C212" s="5" t="s">
        <v>4203</v>
      </c>
      <c r="D212" s="5" t="s">
        <v>4220</v>
      </c>
      <c r="E212" s="5" t="s">
        <v>3394</v>
      </c>
      <c r="F212" s="5" t="s">
        <v>4221</v>
      </c>
      <c r="G212" s="5">
        <v>79</v>
      </c>
      <c r="H212" s="5" t="s">
        <v>3265</v>
      </c>
      <c r="I212" s="5">
        <v>626</v>
      </c>
      <c r="J212" s="5" t="s">
        <v>3266</v>
      </c>
      <c r="K212" s="5">
        <v>4.73</v>
      </c>
      <c r="L212" s="5">
        <v>3641</v>
      </c>
      <c r="M212" s="5" t="s">
        <v>3267</v>
      </c>
      <c r="N212" s="5" t="s">
        <v>4222</v>
      </c>
    </row>
    <row r="213" spans="1:14" ht="68" customHeight="1">
      <c r="A213" s="5" t="s">
        <v>4223</v>
      </c>
      <c r="B213" s="5" t="s">
        <v>4202</v>
      </c>
      <c r="C213" s="5" t="s">
        <v>4203</v>
      </c>
      <c r="D213" s="5" t="s">
        <v>4058</v>
      </c>
      <c r="E213" s="5" t="s">
        <v>4029</v>
      </c>
      <c r="F213" s="5" t="s">
        <v>4059</v>
      </c>
      <c r="G213" s="5">
        <v>195</v>
      </c>
      <c r="H213" s="5" t="s">
        <v>3265</v>
      </c>
      <c r="I213" s="5">
        <v>561</v>
      </c>
      <c r="J213" s="5" t="s">
        <v>3266</v>
      </c>
      <c r="K213" s="5">
        <v>4.88</v>
      </c>
      <c r="L213" s="5">
        <v>1217</v>
      </c>
      <c r="M213" s="5" t="s">
        <v>3267</v>
      </c>
      <c r="N213" s="5" t="s">
        <v>4224</v>
      </c>
    </row>
    <row r="214" spans="1:14" ht="68" customHeight="1">
      <c r="A214" s="5" t="s">
        <v>4225</v>
      </c>
      <c r="B214" s="5" t="s">
        <v>4202</v>
      </c>
      <c r="C214" s="5" t="s">
        <v>4203</v>
      </c>
      <c r="D214" s="5" t="s">
        <v>3738</v>
      </c>
      <c r="E214" s="5" t="s">
        <v>3739</v>
      </c>
      <c r="F214" s="5" t="s">
        <v>3740</v>
      </c>
      <c r="G214" s="5">
        <v>110</v>
      </c>
      <c r="H214" s="5" t="s">
        <v>3265</v>
      </c>
      <c r="I214" s="5">
        <v>510</v>
      </c>
      <c r="J214" s="5" t="s">
        <v>3266</v>
      </c>
      <c r="K214" s="5">
        <v>4.85</v>
      </c>
      <c r="L214" s="5">
        <v>14934</v>
      </c>
      <c r="M214" s="5" t="s">
        <v>3267</v>
      </c>
      <c r="N214" s="5" t="s">
        <v>4226</v>
      </c>
    </row>
    <row r="215" spans="1:14" ht="68" customHeight="1">
      <c r="A215" s="5" t="s">
        <v>4227</v>
      </c>
      <c r="B215" s="5" t="s">
        <v>4202</v>
      </c>
      <c r="C215" s="5" t="s">
        <v>4203</v>
      </c>
      <c r="D215" s="5" t="s">
        <v>4069</v>
      </c>
      <c r="E215" s="5" t="s">
        <v>4070</v>
      </c>
      <c r="F215" s="5" t="s">
        <v>4071</v>
      </c>
      <c r="G215" s="5">
        <v>95</v>
      </c>
      <c r="H215" s="5" t="s">
        <v>3265</v>
      </c>
      <c r="I215" s="5">
        <v>417</v>
      </c>
      <c r="J215" s="5" t="s">
        <v>3266</v>
      </c>
      <c r="K215" s="5">
        <v>4.88</v>
      </c>
      <c r="L215" s="5">
        <v>398</v>
      </c>
      <c r="M215" s="5" t="s">
        <v>3267</v>
      </c>
      <c r="N215" s="5" t="s">
        <v>4228</v>
      </c>
    </row>
    <row r="216" spans="1:14" ht="68" customHeight="1">
      <c r="A216" s="5" t="s">
        <v>4229</v>
      </c>
      <c r="B216" s="5" t="s">
        <v>4202</v>
      </c>
      <c r="C216" s="5" t="s">
        <v>4203</v>
      </c>
      <c r="D216" s="5" t="s">
        <v>4074</v>
      </c>
      <c r="E216" s="5" t="s">
        <v>4075</v>
      </c>
      <c r="F216" s="5" t="s">
        <v>4076</v>
      </c>
      <c r="G216" s="5">
        <v>136</v>
      </c>
      <c r="H216" s="5" t="s">
        <v>3265</v>
      </c>
      <c r="I216" s="5">
        <v>415</v>
      </c>
      <c r="J216" s="5" t="s">
        <v>3266</v>
      </c>
      <c r="K216" s="5">
        <v>4.77</v>
      </c>
      <c r="L216" s="5">
        <v>2233</v>
      </c>
      <c r="M216" s="5" t="s">
        <v>3267</v>
      </c>
      <c r="N216" s="5" t="s">
        <v>4230</v>
      </c>
    </row>
    <row r="217" spans="1:14" ht="68" customHeight="1">
      <c r="A217" s="5" t="s">
        <v>4231</v>
      </c>
      <c r="B217" s="5" t="s">
        <v>4202</v>
      </c>
      <c r="C217" s="5" t="s">
        <v>4203</v>
      </c>
      <c r="D217" s="5" t="s">
        <v>4078</v>
      </c>
      <c r="E217" s="5" t="s">
        <v>3316</v>
      </c>
      <c r="F217" s="5" t="s">
        <v>4079</v>
      </c>
      <c r="G217" s="5">
        <v>25</v>
      </c>
      <c r="H217" s="5" t="s">
        <v>3265</v>
      </c>
      <c r="I217" s="5">
        <v>392</v>
      </c>
      <c r="J217" s="5" t="s">
        <v>3266</v>
      </c>
      <c r="K217" s="5">
        <v>4.77</v>
      </c>
      <c r="L217" s="5">
        <v>212</v>
      </c>
      <c r="M217" s="5" t="s">
        <v>3267</v>
      </c>
      <c r="N217" s="5" t="s">
        <v>4232</v>
      </c>
    </row>
    <row r="218" spans="1:14" ht="68" customHeight="1">
      <c r="A218" s="5" t="s">
        <v>4233</v>
      </c>
      <c r="B218" s="5" t="s">
        <v>4202</v>
      </c>
      <c r="C218" s="5" t="s">
        <v>4203</v>
      </c>
      <c r="D218" s="5" t="s">
        <v>4082</v>
      </c>
      <c r="E218" s="5" t="s">
        <v>3717</v>
      </c>
      <c r="F218" s="5" t="s">
        <v>3718</v>
      </c>
      <c r="G218" s="5">
        <v>90</v>
      </c>
      <c r="H218" s="5" t="s">
        <v>3265</v>
      </c>
      <c r="I218" s="5">
        <v>354</v>
      </c>
      <c r="J218" s="5" t="s">
        <v>3266</v>
      </c>
      <c r="K218" s="5">
        <v>4.81</v>
      </c>
      <c r="L218" s="5">
        <v>17711</v>
      </c>
      <c r="M218" s="5" t="s">
        <v>3267</v>
      </c>
      <c r="N218" s="5" t="s">
        <v>4234</v>
      </c>
    </row>
    <row r="219" spans="1:14" ht="68" customHeight="1">
      <c r="A219" s="5" t="s">
        <v>4235</v>
      </c>
      <c r="B219" s="5" t="s">
        <v>4202</v>
      </c>
      <c r="C219" s="5" t="s">
        <v>4203</v>
      </c>
      <c r="D219" s="5" t="s">
        <v>4085</v>
      </c>
      <c r="E219" s="5" t="s">
        <v>4086</v>
      </c>
      <c r="F219" s="5" t="s">
        <v>4087</v>
      </c>
      <c r="G219" s="5">
        <v>104</v>
      </c>
      <c r="H219" s="5" t="s">
        <v>3265</v>
      </c>
      <c r="I219" s="5">
        <v>339</v>
      </c>
      <c r="J219" s="5" t="s">
        <v>3266</v>
      </c>
      <c r="K219" s="5">
        <v>4.79</v>
      </c>
      <c r="L219" s="5">
        <v>11362</v>
      </c>
      <c r="M219" s="5" t="s">
        <v>3267</v>
      </c>
      <c r="N219" s="5" t="s">
        <v>4236</v>
      </c>
    </row>
    <row r="220" spans="1:14" ht="68" customHeight="1">
      <c r="A220" s="5" t="s">
        <v>4237</v>
      </c>
      <c r="B220" s="5" t="s">
        <v>4202</v>
      </c>
      <c r="C220" s="5" t="s">
        <v>4203</v>
      </c>
      <c r="D220" s="5" t="s">
        <v>4238</v>
      </c>
      <c r="E220" s="5" t="s">
        <v>4239</v>
      </c>
      <c r="F220" s="5" t="s">
        <v>4240</v>
      </c>
      <c r="G220" s="5">
        <v>17</v>
      </c>
      <c r="H220" s="5" t="s">
        <v>3265</v>
      </c>
      <c r="I220" s="5">
        <v>328</v>
      </c>
      <c r="J220" s="5" t="s">
        <v>3266</v>
      </c>
      <c r="K220" s="5">
        <v>4.78</v>
      </c>
      <c r="L220" s="5">
        <v>2988</v>
      </c>
      <c r="M220" s="5" t="s">
        <v>3267</v>
      </c>
      <c r="N220" s="5" t="s">
        <v>4241</v>
      </c>
    </row>
    <row r="221" spans="1:14" ht="68" customHeight="1">
      <c r="A221" s="5" t="s">
        <v>4242</v>
      </c>
      <c r="B221" s="5" t="s">
        <v>4202</v>
      </c>
      <c r="C221" s="5" t="s">
        <v>4203</v>
      </c>
      <c r="D221" s="5" t="s">
        <v>4090</v>
      </c>
      <c r="E221" s="5" t="s">
        <v>4091</v>
      </c>
      <c r="F221" s="5" t="s">
        <v>4092</v>
      </c>
      <c r="G221" s="5">
        <v>105</v>
      </c>
      <c r="H221" s="5" t="s">
        <v>3265</v>
      </c>
      <c r="I221" s="5">
        <v>327</v>
      </c>
      <c r="J221" s="5" t="s">
        <v>3266</v>
      </c>
      <c r="K221" s="5">
        <v>4.79</v>
      </c>
      <c r="L221" s="5">
        <v>2364</v>
      </c>
      <c r="M221" s="5" t="s">
        <v>3267</v>
      </c>
      <c r="N221" s="5" t="s">
        <v>4243</v>
      </c>
    </row>
    <row r="222" spans="1:14" ht="68" customHeight="1">
      <c r="A222" s="5" t="s">
        <v>4244</v>
      </c>
      <c r="B222" s="5" t="s">
        <v>4202</v>
      </c>
      <c r="C222" s="5" t="s">
        <v>4203</v>
      </c>
      <c r="D222" s="5" t="s">
        <v>4245</v>
      </c>
      <c r="E222" s="5" t="s">
        <v>4246</v>
      </c>
      <c r="F222" s="5" t="s">
        <v>4247</v>
      </c>
      <c r="G222" s="5">
        <v>619</v>
      </c>
      <c r="H222" s="5" t="s">
        <v>3265</v>
      </c>
      <c r="I222" s="5">
        <v>323</v>
      </c>
      <c r="J222" s="5" t="s">
        <v>3266</v>
      </c>
      <c r="K222" s="5">
        <v>4.9</v>
      </c>
      <c r="L222" s="5">
        <v>1661</v>
      </c>
      <c r="M222" s="5" t="s">
        <v>3267</v>
      </c>
      <c r="N222" s="5" t="s">
        <v>4248</v>
      </c>
    </row>
    <row r="223" spans="1:14" ht="68" customHeight="1">
      <c r="A223" s="5" t="s">
        <v>4249</v>
      </c>
      <c r="B223" s="5" t="s">
        <v>4202</v>
      </c>
      <c r="C223" s="5" t="s">
        <v>4203</v>
      </c>
      <c r="D223" s="5" t="s">
        <v>4094</v>
      </c>
      <c r="E223" s="5" t="s">
        <v>4095</v>
      </c>
      <c r="F223" s="5" t="s">
        <v>4096</v>
      </c>
      <c r="G223" s="5">
        <v>23</v>
      </c>
      <c r="H223" s="5" t="s">
        <v>3265</v>
      </c>
      <c r="I223" s="5">
        <v>321</v>
      </c>
      <c r="J223" s="5" t="s">
        <v>3266</v>
      </c>
      <c r="K223" s="5">
        <v>4.71</v>
      </c>
      <c r="L223" s="5">
        <v>387</v>
      </c>
      <c r="M223" s="5" t="s">
        <v>3267</v>
      </c>
      <c r="N223" s="5" t="s">
        <v>4250</v>
      </c>
    </row>
    <row r="224" spans="1:14" ht="68" customHeight="1">
      <c r="A224" s="5" t="s">
        <v>4251</v>
      </c>
      <c r="B224" s="5" t="s">
        <v>4202</v>
      </c>
      <c r="C224" s="5" t="s">
        <v>4203</v>
      </c>
      <c r="D224" s="5" t="s">
        <v>4252</v>
      </c>
      <c r="E224" s="5" t="s">
        <v>4253</v>
      </c>
      <c r="F224" s="5" t="s">
        <v>4254</v>
      </c>
      <c r="G224" s="5">
        <v>32</v>
      </c>
      <c r="H224" s="5" t="s">
        <v>3265</v>
      </c>
      <c r="I224" s="5">
        <v>313</v>
      </c>
      <c r="J224" s="5" t="s">
        <v>3266</v>
      </c>
      <c r="K224" s="5">
        <v>4.75</v>
      </c>
      <c r="L224" s="5">
        <v>1476</v>
      </c>
      <c r="M224" s="5" t="s">
        <v>3267</v>
      </c>
      <c r="N224" s="5" t="s">
        <v>4255</v>
      </c>
    </row>
  </sheetData>
  <autoFilter ref="A4:N224"/>
  <mergeCells count="2">
    <mergeCell ref="A1:N1"/>
    <mergeCell ref="A2:N3"/>
  </mergeCells>
  <pageMargins left="0.7" right="0.7" top="0.75" bottom="0.75" header="0.3" footer="0.3"/>
  <pageSetup paperSize="9" fitToHeight="0" orientation="landscape"/>
  <headerFooter>
    <oddFooter>&amp;L菲律宾选品 · 证据审核&amp;R&amp;P / &amp;N</oddFooter>
  </headerFooter>
</worksheet>
</file>

<file path=xl/worksheets/sheet9.xml><?xml version="1.0" encoding="utf-8"?>
<worksheet xmlns="http://schemas.openxmlformats.org/spreadsheetml/2006/main" xmlns:r="http://schemas.openxmlformats.org/officeDocument/2006/relationships">
  <sheetPr>
    <pageSetUpPr fitToPage="1"/>
  </sheetPr>
  <dimension ref="A1:H287"/>
  <sheetViews>
    <sheetView showGridLines="0" zoomScale="85" zoomScaleNormal="85" workbookViewId="0">
      <pane xSplit="2" ySplit="4" topLeftCell="C5" activePane="bottomRight" state="frozen"/>
      <selection pane="topRight" activeCell="C1" sqref="C1"/>
      <selection pane="bottomLeft" activeCell="A5" sqref="A5"/>
      <selection pane="bottomRight"/>
    </sheetView>
  </sheetViews>
  <sheetFormatPr defaultRowHeight="15"/>
  <cols>
    <col min="1" max="3" width="22.7109375" customWidth="1"/>
    <col min="4" max="4" width="45.7109375" customWidth="1"/>
    <col min="5" max="5" width="62.7109375" customWidth="1"/>
    <col min="6" max="7" width="65.7109375" customWidth="1"/>
    <col min="8" max="8" width="22.7109375" customWidth="1"/>
  </cols>
  <sheetData>
    <row r="1" spans="1:8" ht="38" customHeight="1">
      <c r="A1" s="1" t="s">
        <v>4256</v>
      </c>
      <c r="B1" s="1"/>
      <c r="C1" s="1"/>
      <c r="D1" s="1"/>
      <c r="E1" s="1"/>
      <c r="F1" s="1"/>
      <c r="G1" s="1"/>
      <c r="H1" s="1"/>
    </row>
    <row r="2" spans="1:8" ht="26" customHeight="1">
      <c r="A2" s="2" t="s">
        <v>4257</v>
      </c>
      <c r="B2" s="2"/>
      <c r="C2" s="2"/>
      <c r="D2" s="2"/>
      <c r="E2" s="2"/>
      <c r="F2" s="2"/>
      <c r="G2" s="2"/>
      <c r="H2" s="2"/>
    </row>
    <row r="3" spans="1:8" ht="22" customHeight="1">
      <c r="A3" s="2"/>
      <c r="B3" s="2"/>
      <c r="C3" s="2"/>
      <c r="D3" s="2"/>
      <c r="E3" s="2"/>
      <c r="F3" s="2"/>
      <c r="G3" s="2"/>
      <c r="H3" s="2"/>
    </row>
    <row r="4" spans="1:8" ht="34" customHeight="1">
      <c r="A4" s="4" t="s">
        <v>4258</v>
      </c>
      <c r="B4" s="4" t="s">
        <v>4259</v>
      </c>
      <c r="C4" s="4" t="s">
        <v>4260</v>
      </c>
      <c r="D4" s="4" t="s">
        <v>4261</v>
      </c>
      <c r="E4" s="4" t="s">
        <v>4262</v>
      </c>
      <c r="F4" s="4" t="s">
        <v>4263</v>
      </c>
      <c r="G4" s="4" t="s">
        <v>4264</v>
      </c>
      <c r="H4" s="4" t="s">
        <v>499</v>
      </c>
    </row>
    <row r="5" spans="1:8" ht="85" customHeight="1">
      <c r="A5" s="5" t="s">
        <v>4265</v>
      </c>
      <c r="B5" s="5" t="s">
        <v>4266</v>
      </c>
      <c r="C5" s="5" t="s">
        <v>4267</v>
      </c>
      <c r="D5" s="5" t="s">
        <v>3266</v>
      </c>
      <c r="E5" s="5" t="s">
        <v>4268</v>
      </c>
      <c r="F5" s="5" t="s">
        <v>4269</v>
      </c>
      <c r="G5" s="5" t="s">
        <v>4270</v>
      </c>
      <c r="H5" s="5" t="s">
        <v>4271</v>
      </c>
    </row>
    <row r="6" spans="1:8" ht="85" customHeight="1">
      <c r="A6" s="5" t="s">
        <v>4272</v>
      </c>
      <c r="B6" s="5" t="s">
        <v>4266</v>
      </c>
      <c r="C6" s="5" t="s">
        <v>4267</v>
      </c>
      <c r="D6" s="5" t="s">
        <v>3266</v>
      </c>
      <c r="E6" s="5" t="s">
        <v>4268</v>
      </c>
      <c r="F6" s="5" t="s">
        <v>4273</v>
      </c>
      <c r="G6" s="5" t="s">
        <v>4270</v>
      </c>
      <c r="H6" s="5" t="s">
        <v>4271</v>
      </c>
    </row>
    <row r="7" spans="1:8" ht="85" customHeight="1">
      <c r="A7" s="5" t="s">
        <v>4274</v>
      </c>
      <c r="B7" s="5" t="s">
        <v>4266</v>
      </c>
      <c r="C7" s="5" t="s">
        <v>4267</v>
      </c>
      <c r="D7" s="5" t="s">
        <v>3266</v>
      </c>
      <c r="E7" s="5" t="s">
        <v>4268</v>
      </c>
      <c r="F7" s="5" t="s">
        <v>4275</v>
      </c>
      <c r="G7" s="5" t="s">
        <v>4270</v>
      </c>
      <c r="H7" s="5" t="s">
        <v>4271</v>
      </c>
    </row>
    <row r="8" spans="1:8" ht="85" customHeight="1">
      <c r="A8" s="5" t="s">
        <v>4276</v>
      </c>
      <c r="B8" s="5" t="s">
        <v>4266</v>
      </c>
      <c r="C8" s="5" t="s">
        <v>4267</v>
      </c>
      <c r="D8" s="5" t="s">
        <v>3266</v>
      </c>
      <c r="E8" s="5" t="s">
        <v>4268</v>
      </c>
      <c r="F8" s="5" t="s">
        <v>4277</v>
      </c>
      <c r="G8" s="5" t="s">
        <v>4270</v>
      </c>
      <c r="H8" s="5" t="s">
        <v>4271</v>
      </c>
    </row>
    <row r="9" spans="1:8" ht="85" customHeight="1">
      <c r="A9" s="5" t="s">
        <v>4278</v>
      </c>
      <c r="B9" s="5" t="s">
        <v>4266</v>
      </c>
      <c r="C9" s="5" t="s">
        <v>4267</v>
      </c>
      <c r="D9" s="5" t="s">
        <v>3266</v>
      </c>
      <c r="E9" s="5" t="s">
        <v>4268</v>
      </c>
      <c r="F9" s="5" t="s">
        <v>4279</v>
      </c>
      <c r="G9" s="5" t="s">
        <v>4270</v>
      </c>
      <c r="H9" s="5" t="s">
        <v>4271</v>
      </c>
    </row>
    <row r="10" spans="1:8" ht="85" customHeight="1">
      <c r="A10" s="5" t="s">
        <v>4280</v>
      </c>
      <c r="B10" s="5" t="s">
        <v>4266</v>
      </c>
      <c r="C10" s="5" t="s">
        <v>4267</v>
      </c>
      <c r="D10" s="5" t="s">
        <v>3266</v>
      </c>
      <c r="E10" s="5" t="s">
        <v>4268</v>
      </c>
      <c r="F10" s="5" t="s">
        <v>4281</v>
      </c>
      <c r="G10" s="5" t="s">
        <v>4270</v>
      </c>
      <c r="H10" s="5" t="s">
        <v>4271</v>
      </c>
    </row>
    <row r="11" spans="1:8" ht="85" customHeight="1">
      <c r="A11" s="5" t="s">
        <v>4282</v>
      </c>
      <c r="B11" s="5" t="s">
        <v>4266</v>
      </c>
      <c r="C11" s="5" t="s">
        <v>4267</v>
      </c>
      <c r="D11" s="5" t="s">
        <v>3266</v>
      </c>
      <c r="E11" s="5" t="s">
        <v>4268</v>
      </c>
      <c r="F11" s="5" t="s">
        <v>4283</v>
      </c>
      <c r="G11" s="5" t="s">
        <v>4270</v>
      </c>
      <c r="H11" s="5" t="s">
        <v>4271</v>
      </c>
    </row>
    <row r="12" spans="1:8" ht="85" customHeight="1">
      <c r="A12" s="5" t="s">
        <v>4284</v>
      </c>
      <c r="B12" s="5" t="s">
        <v>4266</v>
      </c>
      <c r="C12" s="5" t="s">
        <v>4267</v>
      </c>
      <c r="D12" s="5" t="s">
        <v>3266</v>
      </c>
      <c r="E12" s="5" t="s">
        <v>4268</v>
      </c>
      <c r="F12" s="5" t="s">
        <v>4285</v>
      </c>
      <c r="G12" s="5" t="s">
        <v>4270</v>
      </c>
      <c r="H12" s="5" t="s">
        <v>4271</v>
      </c>
    </row>
    <row r="13" spans="1:8" ht="85" customHeight="1">
      <c r="A13" s="5" t="s">
        <v>4286</v>
      </c>
      <c r="B13" s="5" t="s">
        <v>4266</v>
      </c>
      <c r="C13" s="5" t="s">
        <v>4267</v>
      </c>
      <c r="D13" s="5" t="s">
        <v>3266</v>
      </c>
      <c r="E13" s="5" t="s">
        <v>4268</v>
      </c>
      <c r="F13" s="5" t="s">
        <v>4287</v>
      </c>
      <c r="G13" s="5" t="s">
        <v>4270</v>
      </c>
      <c r="H13" s="5" t="s">
        <v>4271</v>
      </c>
    </row>
    <row r="14" spans="1:8" ht="85" customHeight="1">
      <c r="A14" s="5" t="s">
        <v>4288</v>
      </c>
      <c r="B14" s="5" t="s">
        <v>4266</v>
      </c>
      <c r="C14" s="5" t="s">
        <v>4267</v>
      </c>
      <c r="D14" s="5" t="s">
        <v>3266</v>
      </c>
      <c r="E14" s="5" t="s">
        <v>4268</v>
      </c>
      <c r="F14" s="5" t="s">
        <v>4289</v>
      </c>
      <c r="G14" s="5" t="s">
        <v>4270</v>
      </c>
      <c r="H14" s="5" t="s">
        <v>4271</v>
      </c>
    </row>
    <row r="15" spans="1:8" ht="85" customHeight="1">
      <c r="A15" s="5" t="s">
        <v>4290</v>
      </c>
      <c r="B15" s="5" t="s">
        <v>4266</v>
      </c>
      <c r="C15" s="5" t="s">
        <v>4267</v>
      </c>
      <c r="D15" s="5" t="s">
        <v>3266</v>
      </c>
      <c r="E15" s="5" t="s">
        <v>4268</v>
      </c>
      <c r="F15" s="5" t="s">
        <v>4291</v>
      </c>
      <c r="G15" s="5" t="s">
        <v>4270</v>
      </c>
      <c r="H15" s="5" t="s">
        <v>4271</v>
      </c>
    </row>
    <row r="16" spans="1:8" ht="85" customHeight="1">
      <c r="A16" s="5" t="s">
        <v>4292</v>
      </c>
      <c r="B16" s="5" t="s">
        <v>4266</v>
      </c>
      <c r="C16" s="5" t="s">
        <v>4267</v>
      </c>
      <c r="D16" s="5" t="s">
        <v>3266</v>
      </c>
      <c r="E16" s="5" t="s">
        <v>4268</v>
      </c>
      <c r="F16" s="5" t="s">
        <v>4293</v>
      </c>
      <c r="G16" s="5" t="s">
        <v>4270</v>
      </c>
      <c r="H16" s="5" t="s">
        <v>4271</v>
      </c>
    </row>
    <row r="17" spans="1:8" ht="85" customHeight="1">
      <c r="A17" s="5" t="s">
        <v>4294</v>
      </c>
      <c r="B17" s="5" t="s">
        <v>4266</v>
      </c>
      <c r="C17" s="5" t="s">
        <v>4267</v>
      </c>
      <c r="D17" s="5" t="s">
        <v>3266</v>
      </c>
      <c r="E17" s="5" t="s">
        <v>4268</v>
      </c>
      <c r="F17" s="5" t="s">
        <v>4295</v>
      </c>
      <c r="G17" s="5" t="s">
        <v>4270</v>
      </c>
      <c r="H17" s="5" t="s">
        <v>4271</v>
      </c>
    </row>
    <row r="18" spans="1:8" ht="85" customHeight="1">
      <c r="A18" s="5" t="s">
        <v>4296</v>
      </c>
      <c r="B18" s="5" t="s">
        <v>4266</v>
      </c>
      <c r="C18" s="5" t="s">
        <v>4267</v>
      </c>
      <c r="D18" s="5" t="s">
        <v>3266</v>
      </c>
      <c r="E18" s="5" t="s">
        <v>4268</v>
      </c>
      <c r="F18" s="5" t="s">
        <v>4297</v>
      </c>
      <c r="G18" s="5" t="s">
        <v>4270</v>
      </c>
      <c r="H18" s="5" t="s">
        <v>4271</v>
      </c>
    </row>
    <row r="19" spans="1:8" ht="85" customHeight="1">
      <c r="A19" s="5" t="s">
        <v>4298</v>
      </c>
      <c r="B19" s="5" t="s">
        <v>4266</v>
      </c>
      <c r="C19" s="5" t="s">
        <v>4267</v>
      </c>
      <c r="D19" s="5" t="s">
        <v>3266</v>
      </c>
      <c r="E19" s="5" t="s">
        <v>4268</v>
      </c>
      <c r="F19" s="5" t="s">
        <v>4299</v>
      </c>
      <c r="G19" s="5" t="s">
        <v>4270</v>
      </c>
      <c r="H19" s="5" t="s">
        <v>4271</v>
      </c>
    </row>
    <row r="20" spans="1:8" ht="85" customHeight="1">
      <c r="A20" s="5" t="s">
        <v>4300</v>
      </c>
      <c r="B20" s="5" t="s">
        <v>4266</v>
      </c>
      <c r="C20" s="5" t="s">
        <v>4267</v>
      </c>
      <c r="D20" s="5" t="s">
        <v>3266</v>
      </c>
      <c r="E20" s="5" t="s">
        <v>4268</v>
      </c>
      <c r="F20" s="5" t="s">
        <v>4301</v>
      </c>
      <c r="G20" s="5" t="s">
        <v>4270</v>
      </c>
      <c r="H20" s="5" t="s">
        <v>4271</v>
      </c>
    </row>
    <row r="21" spans="1:8" ht="85" customHeight="1">
      <c r="A21" s="5" t="s">
        <v>4302</v>
      </c>
      <c r="B21" s="5" t="s">
        <v>4266</v>
      </c>
      <c r="C21" s="5" t="s">
        <v>4267</v>
      </c>
      <c r="D21" s="5" t="s">
        <v>3266</v>
      </c>
      <c r="E21" s="5" t="s">
        <v>4268</v>
      </c>
      <c r="F21" s="5" t="s">
        <v>4303</v>
      </c>
      <c r="G21" s="5" t="s">
        <v>4270</v>
      </c>
      <c r="H21" s="5" t="s">
        <v>4271</v>
      </c>
    </row>
    <row r="22" spans="1:8" ht="85" customHeight="1">
      <c r="A22" s="5" t="s">
        <v>4304</v>
      </c>
      <c r="B22" s="5" t="s">
        <v>4266</v>
      </c>
      <c r="C22" s="5" t="s">
        <v>4267</v>
      </c>
      <c r="D22" s="5" t="s">
        <v>3266</v>
      </c>
      <c r="E22" s="5" t="s">
        <v>4268</v>
      </c>
      <c r="F22" s="5" t="s">
        <v>4305</v>
      </c>
      <c r="G22" s="5" t="s">
        <v>4270</v>
      </c>
      <c r="H22" s="5" t="s">
        <v>4271</v>
      </c>
    </row>
    <row r="23" spans="1:8" ht="85" customHeight="1">
      <c r="A23" s="5" t="s">
        <v>4306</v>
      </c>
      <c r="B23" s="5" t="s">
        <v>4266</v>
      </c>
      <c r="C23" s="5" t="s">
        <v>4267</v>
      </c>
      <c r="D23" s="5" t="s">
        <v>3266</v>
      </c>
      <c r="E23" s="5" t="s">
        <v>4268</v>
      </c>
      <c r="F23" s="5" t="s">
        <v>4307</v>
      </c>
      <c r="G23" s="5" t="s">
        <v>4270</v>
      </c>
      <c r="H23" s="5" t="s">
        <v>4271</v>
      </c>
    </row>
    <row r="24" spans="1:8" ht="85" customHeight="1">
      <c r="A24" s="5" t="s">
        <v>4308</v>
      </c>
      <c r="B24" s="5" t="s">
        <v>4266</v>
      </c>
      <c r="C24" s="5" t="s">
        <v>4267</v>
      </c>
      <c r="D24" s="5" t="s">
        <v>3266</v>
      </c>
      <c r="E24" s="5" t="s">
        <v>4268</v>
      </c>
      <c r="F24" s="5" t="s">
        <v>4309</v>
      </c>
      <c r="G24" s="5" t="s">
        <v>4270</v>
      </c>
      <c r="H24" s="5" t="s">
        <v>4271</v>
      </c>
    </row>
    <row r="25" spans="1:8" ht="85" customHeight="1">
      <c r="A25" s="5" t="s">
        <v>4310</v>
      </c>
      <c r="B25" s="5" t="s">
        <v>4266</v>
      </c>
      <c r="C25" s="5" t="s">
        <v>4311</v>
      </c>
      <c r="D25" s="5" t="s">
        <v>4312</v>
      </c>
      <c r="E25" s="5" t="s">
        <v>4313</v>
      </c>
      <c r="F25" s="5" t="s">
        <v>4314</v>
      </c>
      <c r="G25" s="5" t="s">
        <v>4315</v>
      </c>
      <c r="H25" s="5" t="s">
        <v>4271</v>
      </c>
    </row>
    <row r="26" spans="1:8" ht="85" customHeight="1">
      <c r="A26" s="5" t="s">
        <v>4316</v>
      </c>
      <c r="B26" s="5" t="s">
        <v>4266</v>
      </c>
      <c r="C26" s="5" t="s">
        <v>4267</v>
      </c>
      <c r="D26" s="5" t="s">
        <v>3266</v>
      </c>
      <c r="E26" s="5" t="s">
        <v>4268</v>
      </c>
      <c r="F26" s="5" t="s">
        <v>4317</v>
      </c>
      <c r="G26" s="5" t="s">
        <v>4270</v>
      </c>
      <c r="H26" s="5" t="s">
        <v>4271</v>
      </c>
    </row>
    <row r="27" spans="1:8" ht="85" customHeight="1">
      <c r="A27" s="5" t="s">
        <v>4318</v>
      </c>
      <c r="B27" s="5" t="s">
        <v>4266</v>
      </c>
      <c r="C27" s="5" t="s">
        <v>4267</v>
      </c>
      <c r="D27" s="5" t="s">
        <v>3266</v>
      </c>
      <c r="E27" s="5" t="s">
        <v>4268</v>
      </c>
      <c r="F27" s="5" t="s">
        <v>4319</v>
      </c>
      <c r="G27" s="5" t="s">
        <v>4270</v>
      </c>
      <c r="H27" s="5" t="s">
        <v>4271</v>
      </c>
    </row>
    <row r="28" spans="1:8" ht="85" customHeight="1">
      <c r="A28" s="5" t="s">
        <v>4320</v>
      </c>
      <c r="B28" s="5" t="s">
        <v>4266</v>
      </c>
      <c r="C28" s="5" t="s">
        <v>4267</v>
      </c>
      <c r="D28" s="5" t="s">
        <v>3266</v>
      </c>
      <c r="E28" s="5" t="s">
        <v>4268</v>
      </c>
      <c r="F28" s="5" t="s">
        <v>4321</v>
      </c>
      <c r="G28" s="5" t="s">
        <v>4270</v>
      </c>
      <c r="H28" s="5" t="s">
        <v>4271</v>
      </c>
    </row>
    <row r="29" spans="1:8" ht="85" customHeight="1">
      <c r="A29" s="5" t="s">
        <v>4322</v>
      </c>
      <c r="B29" s="5" t="s">
        <v>4266</v>
      </c>
      <c r="C29" s="5" t="s">
        <v>4267</v>
      </c>
      <c r="D29" s="5" t="s">
        <v>3266</v>
      </c>
      <c r="E29" s="5" t="s">
        <v>4268</v>
      </c>
      <c r="F29" s="5" t="s">
        <v>4323</v>
      </c>
      <c r="G29" s="5" t="s">
        <v>4270</v>
      </c>
      <c r="H29" s="5" t="s">
        <v>4271</v>
      </c>
    </row>
    <row r="30" spans="1:8" ht="85" customHeight="1">
      <c r="A30" s="5" t="s">
        <v>4324</v>
      </c>
      <c r="B30" s="5" t="s">
        <v>4266</v>
      </c>
      <c r="C30" s="5" t="s">
        <v>4267</v>
      </c>
      <c r="D30" s="5" t="s">
        <v>3266</v>
      </c>
      <c r="E30" s="5" t="s">
        <v>4268</v>
      </c>
      <c r="F30" s="5" t="s">
        <v>4325</v>
      </c>
      <c r="G30" s="5" t="s">
        <v>4270</v>
      </c>
      <c r="H30" s="5" t="s">
        <v>4271</v>
      </c>
    </row>
    <row r="31" spans="1:8" ht="85" customHeight="1">
      <c r="A31" s="5" t="s">
        <v>4326</v>
      </c>
      <c r="B31" s="5" t="s">
        <v>4266</v>
      </c>
      <c r="C31" s="5" t="s">
        <v>4267</v>
      </c>
      <c r="D31" s="5" t="s">
        <v>3266</v>
      </c>
      <c r="E31" s="5" t="s">
        <v>4268</v>
      </c>
      <c r="F31" s="5" t="s">
        <v>4327</v>
      </c>
      <c r="G31" s="5" t="s">
        <v>4270</v>
      </c>
      <c r="H31" s="5" t="s">
        <v>4271</v>
      </c>
    </row>
    <row r="32" spans="1:8" ht="85" customHeight="1">
      <c r="A32" s="5" t="s">
        <v>4328</v>
      </c>
      <c r="B32" s="5" t="s">
        <v>4266</v>
      </c>
      <c r="C32" s="5" t="s">
        <v>4267</v>
      </c>
      <c r="D32" s="5" t="s">
        <v>3266</v>
      </c>
      <c r="E32" s="5" t="s">
        <v>4268</v>
      </c>
      <c r="F32" s="5" t="s">
        <v>4329</v>
      </c>
      <c r="G32" s="5" t="s">
        <v>4270</v>
      </c>
      <c r="H32" s="5" t="s">
        <v>4271</v>
      </c>
    </row>
    <row r="33" spans="1:8" ht="85" customHeight="1">
      <c r="A33" s="5" t="s">
        <v>4330</v>
      </c>
      <c r="B33" s="5" t="s">
        <v>4266</v>
      </c>
      <c r="C33" s="5" t="s">
        <v>4267</v>
      </c>
      <c r="D33" s="5" t="s">
        <v>3266</v>
      </c>
      <c r="E33" s="5" t="s">
        <v>4268</v>
      </c>
      <c r="F33" s="5" t="s">
        <v>4331</v>
      </c>
      <c r="G33" s="5" t="s">
        <v>4270</v>
      </c>
      <c r="H33" s="5" t="s">
        <v>4271</v>
      </c>
    </row>
    <row r="34" spans="1:8" ht="85" customHeight="1">
      <c r="A34" s="5" t="s">
        <v>4332</v>
      </c>
      <c r="B34" s="5" t="s">
        <v>4266</v>
      </c>
      <c r="C34" s="5" t="s">
        <v>4267</v>
      </c>
      <c r="D34" s="5" t="s">
        <v>3266</v>
      </c>
      <c r="E34" s="5" t="s">
        <v>4268</v>
      </c>
      <c r="F34" s="5" t="s">
        <v>4333</v>
      </c>
      <c r="G34" s="5" t="s">
        <v>4270</v>
      </c>
      <c r="H34" s="5" t="s">
        <v>4271</v>
      </c>
    </row>
    <row r="35" spans="1:8" ht="85" customHeight="1">
      <c r="A35" s="5" t="s">
        <v>4334</v>
      </c>
      <c r="B35" s="5" t="s">
        <v>4266</v>
      </c>
      <c r="C35" s="5" t="s">
        <v>4267</v>
      </c>
      <c r="D35" s="5" t="s">
        <v>3266</v>
      </c>
      <c r="E35" s="5" t="s">
        <v>4268</v>
      </c>
      <c r="F35" s="5" t="s">
        <v>4335</v>
      </c>
      <c r="G35" s="5" t="s">
        <v>4270</v>
      </c>
      <c r="H35" s="5" t="s">
        <v>4271</v>
      </c>
    </row>
    <row r="36" spans="1:8" ht="85" customHeight="1">
      <c r="A36" s="5" t="s">
        <v>4336</v>
      </c>
      <c r="B36" s="5" t="s">
        <v>4266</v>
      </c>
      <c r="C36" s="5" t="s">
        <v>4267</v>
      </c>
      <c r="D36" s="5" t="s">
        <v>3266</v>
      </c>
      <c r="E36" s="5" t="s">
        <v>4268</v>
      </c>
      <c r="F36" s="5" t="s">
        <v>4337</v>
      </c>
      <c r="G36" s="5" t="s">
        <v>4270</v>
      </c>
      <c r="H36" s="5" t="s">
        <v>4271</v>
      </c>
    </row>
    <row r="37" spans="1:8" ht="85" customHeight="1">
      <c r="A37" s="5" t="s">
        <v>4338</v>
      </c>
      <c r="B37" s="5" t="s">
        <v>4266</v>
      </c>
      <c r="C37" s="5" t="s">
        <v>4267</v>
      </c>
      <c r="D37" s="5" t="s">
        <v>3266</v>
      </c>
      <c r="E37" s="5" t="s">
        <v>4268</v>
      </c>
      <c r="F37" s="5" t="s">
        <v>4339</v>
      </c>
      <c r="G37" s="5" t="s">
        <v>4270</v>
      </c>
      <c r="H37" s="5" t="s">
        <v>4271</v>
      </c>
    </row>
    <row r="38" spans="1:8" ht="85" customHeight="1">
      <c r="A38" s="5" t="s">
        <v>4340</v>
      </c>
      <c r="B38" s="5" t="s">
        <v>4266</v>
      </c>
      <c r="C38" s="5" t="s">
        <v>4267</v>
      </c>
      <c r="D38" s="5" t="s">
        <v>3266</v>
      </c>
      <c r="E38" s="5" t="s">
        <v>4268</v>
      </c>
      <c r="F38" s="5" t="s">
        <v>4341</v>
      </c>
      <c r="G38" s="5" t="s">
        <v>4270</v>
      </c>
      <c r="H38" s="5" t="s">
        <v>4271</v>
      </c>
    </row>
    <row r="39" spans="1:8" ht="85" customHeight="1">
      <c r="A39" s="5" t="s">
        <v>4342</v>
      </c>
      <c r="B39" s="5" t="s">
        <v>4266</v>
      </c>
      <c r="C39" s="5" t="s">
        <v>4267</v>
      </c>
      <c r="D39" s="5" t="s">
        <v>3266</v>
      </c>
      <c r="E39" s="5" t="s">
        <v>4268</v>
      </c>
      <c r="F39" s="5" t="s">
        <v>4343</v>
      </c>
      <c r="G39" s="5" t="s">
        <v>4270</v>
      </c>
      <c r="H39" s="5" t="s">
        <v>4271</v>
      </c>
    </row>
    <row r="40" spans="1:8" ht="85" customHeight="1">
      <c r="A40" s="5" t="s">
        <v>4344</v>
      </c>
      <c r="B40" s="5" t="s">
        <v>4266</v>
      </c>
      <c r="C40" s="5" t="s">
        <v>4267</v>
      </c>
      <c r="D40" s="5" t="s">
        <v>3266</v>
      </c>
      <c r="E40" s="5" t="s">
        <v>4268</v>
      </c>
      <c r="F40" s="5" t="s">
        <v>4345</v>
      </c>
      <c r="G40" s="5" t="s">
        <v>4270</v>
      </c>
      <c r="H40" s="5" t="s">
        <v>4271</v>
      </c>
    </row>
    <row r="41" spans="1:8" ht="85" customHeight="1">
      <c r="A41" s="5" t="s">
        <v>4346</v>
      </c>
      <c r="B41" s="5" t="s">
        <v>4266</v>
      </c>
      <c r="C41" s="5" t="s">
        <v>4267</v>
      </c>
      <c r="D41" s="5" t="s">
        <v>3266</v>
      </c>
      <c r="E41" s="5" t="s">
        <v>4268</v>
      </c>
      <c r="F41" s="5" t="s">
        <v>4347</v>
      </c>
      <c r="G41" s="5" t="s">
        <v>4270</v>
      </c>
      <c r="H41" s="5" t="s">
        <v>4271</v>
      </c>
    </row>
    <row r="42" spans="1:8" ht="85" customHeight="1">
      <c r="A42" s="5" t="s">
        <v>4348</v>
      </c>
      <c r="B42" s="5" t="s">
        <v>4266</v>
      </c>
      <c r="C42" s="5" t="s">
        <v>4267</v>
      </c>
      <c r="D42" s="5" t="s">
        <v>3266</v>
      </c>
      <c r="E42" s="5" t="s">
        <v>4268</v>
      </c>
      <c r="F42" s="5" t="s">
        <v>4349</v>
      </c>
      <c r="G42" s="5" t="s">
        <v>4270</v>
      </c>
      <c r="H42" s="5" t="s">
        <v>4271</v>
      </c>
    </row>
    <row r="43" spans="1:8" ht="85" customHeight="1">
      <c r="A43" s="5" t="s">
        <v>4350</v>
      </c>
      <c r="B43" s="5" t="s">
        <v>4266</v>
      </c>
      <c r="C43" s="5" t="s">
        <v>4267</v>
      </c>
      <c r="D43" s="5" t="s">
        <v>3266</v>
      </c>
      <c r="E43" s="5" t="s">
        <v>4268</v>
      </c>
      <c r="F43" s="5" t="s">
        <v>4351</v>
      </c>
      <c r="G43" s="5" t="s">
        <v>4270</v>
      </c>
      <c r="H43" s="5" t="s">
        <v>4271</v>
      </c>
    </row>
    <row r="44" spans="1:8" ht="85" customHeight="1">
      <c r="A44" s="5" t="s">
        <v>4352</v>
      </c>
      <c r="B44" s="5" t="s">
        <v>4266</v>
      </c>
      <c r="C44" s="5" t="s">
        <v>4267</v>
      </c>
      <c r="D44" s="5" t="s">
        <v>3266</v>
      </c>
      <c r="E44" s="5" t="s">
        <v>4268</v>
      </c>
      <c r="F44" s="5" t="s">
        <v>4353</v>
      </c>
      <c r="G44" s="5" t="s">
        <v>4270</v>
      </c>
      <c r="H44" s="5" t="s">
        <v>4271</v>
      </c>
    </row>
    <row r="45" spans="1:8" ht="85" customHeight="1">
      <c r="A45" s="5" t="s">
        <v>4354</v>
      </c>
      <c r="B45" s="5" t="s">
        <v>4266</v>
      </c>
      <c r="C45" s="5" t="s">
        <v>4267</v>
      </c>
      <c r="D45" s="5" t="s">
        <v>3266</v>
      </c>
      <c r="E45" s="5" t="s">
        <v>4268</v>
      </c>
      <c r="F45" s="5" t="s">
        <v>4355</v>
      </c>
      <c r="G45" s="5" t="s">
        <v>4270</v>
      </c>
      <c r="H45" s="5" t="s">
        <v>4271</v>
      </c>
    </row>
    <row r="46" spans="1:8" ht="85" customHeight="1">
      <c r="A46" s="5" t="s">
        <v>4356</v>
      </c>
      <c r="B46" s="5" t="s">
        <v>4266</v>
      </c>
      <c r="C46" s="5" t="s">
        <v>4311</v>
      </c>
      <c r="D46" s="5" t="s">
        <v>4312</v>
      </c>
      <c r="E46" s="5" t="s">
        <v>4313</v>
      </c>
      <c r="F46" s="5" t="s">
        <v>4357</v>
      </c>
      <c r="G46" s="5" t="s">
        <v>4315</v>
      </c>
      <c r="H46" s="5" t="s">
        <v>4271</v>
      </c>
    </row>
    <row r="47" spans="1:8" ht="85" customHeight="1">
      <c r="A47" s="5" t="s">
        <v>4358</v>
      </c>
      <c r="B47" s="5" t="s">
        <v>4266</v>
      </c>
      <c r="C47" s="5" t="s">
        <v>4267</v>
      </c>
      <c r="D47" s="5" t="s">
        <v>3266</v>
      </c>
      <c r="E47" s="5" t="s">
        <v>4268</v>
      </c>
      <c r="F47" s="5" t="s">
        <v>4359</v>
      </c>
      <c r="G47" s="5" t="s">
        <v>4270</v>
      </c>
      <c r="H47" s="5" t="s">
        <v>4271</v>
      </c>
    </row>
    <row r="48" spans="1:8" ht="85" customHeight="1">
      <c r="A48" s="5" t="s">
        <v>4360</v>
      </c>
      <c r="B48" s="5" t="s">
        <v>4266</v>
      </c>
      <c r="C48" s="5" t="s">
        <v>4267</v>
      </c>
      <c r="D48" s="5" t="s">
        <v>3266</v>
      </c>
      <c r="E48" s="5" t="s">
        <v>4268</v>
      </c>
      <c r="F48" s="5" t="s">
        <v>4361</v>
      </c>
      <c r="G48" s="5" t="s">
        <v>4270</v>
      </c>
      <c r="H48" s="5" t="s">
        <v>4271</v>
      </c>
    </row>
    <row r="49" spans="1:8" ht="85" customHeight="1">
      <c r="A49" s="5" t="s">
        <v>4362</v>
      </c>
      <c r="B49" s="5" t="s">
        <v>4266</v>
      </c>
      <c r="C49" s="5" t="s">
        <v>4267</v>
      </c>
      <c r="D49" s="5" t="s">
        <v>3266</v>
      </c>
      <c r="E49" s="5" t="s">
        <v>4268</v>
      </c>
      <c r="F49" s="5" t="s">
        <v>4363</v>
      </c>
      <c r="G49" s="5" t="s">
        <v>4270</v>
      </c>
      <c r="H49" s="5" t="s">
        <v>4271</v>
      </c>
    </row>
    <row r="50" spans="1:8" ht="85" customHeight="1">
      <c r="A50" s="5" t="s">
        <v>4364</v>
      </c>
      <c r="B50" s="5" t="s">
        <v>4266</v>
      </c>
      <c r="C50" s="5" t="s">
        <v>4267</v>
      </c>
      <c r="D50" s="5" t="s">
        <v>3266</v>
      </c>
      <c r="E50" s="5" t="s">
        <v>4268</v>
      </c>
      <c r="F50" s="5" t="s">
        <v>4365</v>
      </c>
      <c r="G50" s="5" t="s">
        <v>4270</v>
      </c>
      <c r="H50" s="5" t="s">
        <v>4271</v>
      </c>
    </row>
    <row r="51" spans="1:8" ht="85" customHeight="1">
      <c r="A51" s="5" t="s">
        <v>4366</v>
      </c>
      <c r="B51" s="5" t="s">
        <v>4266</v>
      </c>
      <c r="C51" s="5" t="s">
        <v>4267</v>
      </c>
      <c r="D51" s="5" t="s">
        <v>3266</v>
      </c>
      <c r="E51" s="5" t="s">
        <v>4268</v>
      </c>
      <c r="F51" s="5" t="s">
        <v>4367</v>
      </c>
      <c r="G51" s="5" t="s">
        <v>4270</v>
      </c>
      <c r="H51" s="5" t="s">
        <v>4271</v>
      </c>
    </row>
    <row r="52" spans="1:8" ht="85" customHeight="1">
      <c r="A52" s="5" t="s">
        <v>4368</v>
      </c>
      <c r="B52" s="5" t="s">
        <v>4266</v>
      </c>
      <c r="C52" s="5" t="s">
        <v>4267</v>
      </c>
      <c r="D52" s="5" t="s">
        <v>3266</v>
      </c>
      <c r="E52" s="5" t="s">
        <v>4268</v>
      </c>
      <c r="F52" s="5" t="s">
        <v>4369</v>
      </c>
      <c r="G52" s="5" t="s">
        <v>4270</v>
      </c>
      <c r="H52" s="5" t="s">
        <v>4271</v>
      </c>
    </row>
    <row r="53" spans="1:8" ht="85" customHeight="1">
      <c r="A53" s="5" t="s">
        <v>4370</v>
      </c>
      <c r="B53" s="5" t="s">
        <v>4266</v>
      </c>
      <c r="C53" s="5" t="s">
        <v>4267</v>
      </c>
      <c r="D53" s="5" t="s">
        <v>3266</v>
      </c>
      <c r="E53" s="5" t="s">
        <v>4268</v>
      </c>
      <c r="F53" s="5" t="s">
        <v>4371</v>
      </c>
      <c r="G53" s="5" t="s">
        <v>4270</v>
      </c>
      <c r="H53" s="5" t="s">
        <v>4271</v>
      </c>
    </row>
    <row r="54" spans="1:8" ht="85" customHeight="1">
      <c r="A54" s="5" t="s">
        <v>4372</v>
      </c>
      <c r="B54" s="5" t="s">
        <v>4266</v>
      </c>
      <c r="C54" s="5" t="s">
        <v>4267</v>
      </c>
      <c r="D54" s="5" t="s">
        <v>3266</v>
      </c>
      <c r="E54" s="5" t="s">
        <v>4268</v>
      </c>
      <c r="F54" s="5" t="s">
        <v>4373</v>
      </c>
      <c r="G54" s="5" t="s">
        <v>4270</v>
      </c>
      <c r="H54" s="5" t="s">
        <v>4271</v>
      </c>
    </row>
    <row r="55" spans="1:8" ht="85" customHeight="1">
      <c r="A55" s="5" t="s">
        <v>4374</v>
      </c>
      <c r="B55" s="5" t="s">
        <v>4266</v>
      </c>
      <c r="C55" s="5" t="s">
        <v>4267</v>
      </c>
      <c r="D55" s="5" t="s">
        <v>3266</v>
      </c>
      <c r="E55" s="5" t="s">
        <v>4268</v>
      </c>
      <c r="F55" s="5" t="s">
        <v>4375</v>
      </c>
      <c r="G55" s="5" t="s">
        <v>4270</v>
      </c>
      <c r="H55" s="5" t="s">
        <v>4271</v>
      </c>
    </row>
    <row r="56" spans="1:8" ht="85" customHeight="1">
      <c r="A56" s="5" t="s">
        <v>4376</v>
      </c>
      <c r="B56" s="5" t="s">
        <v>4266</v>
      </c>
      <c r="C56" s="5" t="s">
        <v>4267</v>
      </c>
      <c r="D56" s="5" t="s">
        <v>3266</v>
      </c>
      <c r="E56" s="5" t="s">
        <v>4268</v>
      </c>
      <c r="F56" s="5" t="s">
        <v>4377</v>
      </c>
      <c r="G56" s="5" t="s">
        <v>4270</v>
      </c>
      <c r="H56" s="5" t="s">
        <v>4271</v>
      </c>
    </row>
    <row r="57" spans="1:8" ht="85" customHeight="1">
      <c r="A57" s="5" t="s">
        <v>4378</v>
      </c>
      <c r="B57" s="5" t="s">
        <v>4266</v>
      </c>
      <c r="C57" s="5" t="s">
        <v>4267</v>
      </c>
      <c r="D57" s="5" t="s">
        <v>3266</v>
      </c>
      <c r="E57" s="5" t="s">
        <v>4268</v>
      </c>
      <c r="F57" s="5" t="s">
        <v>4379</v>
      </c>
      <c r="G57" s="5" t="s">
        <v>4270</v>
      </c>
      <c r="H57" s="5" t="s">
        <v>4271</v>
      </c>
    </row>
    <row r="58" spans="1:8" ht="85" customHeight="1">
      <c r="A58" s="5" t="s">
        <v>4380</v>
      </c>
      <c r="B58" s="5" t="s">
        <v>4266</v>
      </c>
      <c r="C58" s="5" t="s">
        <v>4267</v>
      </c>
      <c r="D58" s="5" t="s">
        <v>3266</v>
      </c>
      <c r="E58" s="5" t="s">
        <v>4268</v>
      </c>
      <c r="F58" s="5" t="s">
        <v>4381</v>
      </c>
      <c r="G58" s="5" t="s">
        <v>4270</v>
      </c>
      <c r="H58" s="5" t="s">
        <v>4271</v>
      </c>
    </row>
    <row r="59" spans="1:8" ht="85" customHeight="1">
      <c r="A59" s="5" t="s">
        <v>4382</v>
      </c>
      <c r="B59" s="5" t="s">
        <v>4266</v>
      </c>
      <c r="C59" s="5" t="s">
        <v>4267</v>
      </c>
      <c r="D59" s="5" t="s">
        <v>3266</v>
      </c>
      <c r="E59" s="5" t="s">
        <v>4268</v>
      </c>
      <c r="F59" s="5" t="s">
        <v>4383</v>
      </c>
      <c r="G59" s="5" t="s">
        <v>4270</v>
      </c>
      <c r="H59" s="5" t="s">
        <v>4271</v>
      </c>
    </row>
    <row r="60" spans="1:8" ht="85" customHeight="1">
      <c r="A60" s="5" t="s">
        <v>4384</v>
      </c>
      <c r="B60" s="5" t="s">
        <v>4266</v>
      </c>
      <c r="C60" s="5" t="s">
        <v>4267</v>
      </c>
      <c r="D60" s="5" t="s">
        <v>3266</v>
      </c>
      <c r="E60" s="5" t="s">
        <v>4268</v>
      </c>
      <c r="F60" s="5" t="s">
        <v>4385</v>
      </c>
      <c r="G60" s="5" t="s">
        <v>4270</v>
      </c>
      <c r="H60" s="5" t="s">
        <v>4271</v>
      </c>
    </row>
    <row r="61" spans="1:8" ht="85" customHeight="1">
      <c r="A61" s="5" t="s">
        <v>4386</v>
      </c>
      <c r="B61" s="5" t="s">
        <v>4266</v>
      </c>
      <c r="C61" s="5" t="s">
        <v>4267</v>
      </c>
      <c r="D61" s="5" t="s">
        <v>3266</v>
      </c>
      <c r="E61" s="5" t="s">
        <v>4268</v>
      </c>
      <c r="F61" s="5" t="s">
        <v>4387</v>
      </c>
      <c r="G61" s="5" t="s">
        <v>4270</v>
      </c>
      <c r="H61" s="5" t="s">
        <v>4271</v>
      </c>
    </row>
    <row r="62" spans="1:8" ht="85" customHeight="1">
      <c r="A62" s="5" t="s">
        <v>4388</v>
      </c>
      <c r="B62" s="5" t="s">
        <v>4266</v>
      </c>
      <c r="C62" s="5" t="s">
        <v>4267</v>
      </c>
      <c r="D62" s="5" t="s">
        <v>3266</v>
      </c>
      <c r="E62" s="5" t="s">
        <v>4268</v>
      </c>
      <c r="F62" s="5" t="s">
        <v>4389</v>
      </c>
      <c r="G62" s="5" t="s">
        <v>4270</v>
      </c>
      <c r="H62" s="5" t="s">
        <v>4271</v>
      </c>
    </row>
    <row r="63" spans="1:8" ht="85" customHeight="1">
      <c r="A63" s="5" t="s">
        <v>4390</v>
      </c>
      <c r="B63" s="5" t="s">
        <v>4266</v>
      </c>
      <c r="C63" s="5" t="s">
        <v>4267</v>
      </c>
      <c r="D63" s="5" t="s">
        <v>3266</v>
      </c>
      <c r="E63" s="5" t="s">
        <v>4268</v>
      </c>
      <c r="F63" s="5" t="s">
        <v>4391</v>
      </c>
      <c r="G63" s="5" t="s">
        <v>4270</v>
      </c>
      <c r="H63" s="5" t="s">
        <v>4271</v>
      </c>
    </row>
    <row r="64" spans="1:8" ht="85" customHeight="1">
      <c r="A64" s="5" t="s">
        <v>4392</v>
      </c>
      <c r="B64" s="5" t="s">
        <v>4266</v>
      </c>
      <c r="C64" s="5" t="s">
        <v>4267</v>
      </c>
      <c r="D64" s="5" t="s">
        <v>3266</v>
      </c>
      <c r="E64" s="5" t="s">
        <v>4268</v>
      </c>
      <c r="F64" s="5" t="s">
        <v>4393</v>
      </c>
      <c r="G64" s="5" t="s">
        <v>4270</v>
      </c>
      <c r="H64" s="5" t="s">
        <v>4271</v>
      </c>
    </row>
    <row r="65" spans="1:8" ht="85" customHeight="1">
      <c r="A65" s="5" t="s">
        <v>4394</v>
      </c>
      <c r="B65" s="5" t="s">
        <v>4266</v>
      </c>
      <c r="C65" s="5" t="s">
        <v>4267</v>
      </c>
      <c r="D65" s="5" t="s">
        <v>3266</v>
      </c>
      <c r="E65" s="5" t="s">
        <v>4268</v>
      </c>
      <c r="F65" s="5" t="s">
        <v>4395</v>
      </c>
      <c r="G65" s="5" t="s">
        <v>4270</v>
      </c>
      <c r="H65" s="5" t="s">
        <v>4271</v>
      </c>
    </row>
    <row r="66" spans="1:8" ht="85" customHeight="1">
      <c r="A66" s="5" t="s">
        <v>4396</v>
      </c>
      <c r="B66" s="5" t="s">
        <v>4266</v>
      </c>
      <c r="C66" s="5" t="s">
        <v>4267</v>
      </c>
      <c r="D66" s="5" t="s">
        <v>3266</v>
      </c>
      <c r="E66" s="5" t="s">
        <v>4268</v>
      </c>
      <c r="F66" s="5" t="s">
        <v>4397</v>
      </c>
      <c r="G66" s="5" t="s">
        <v>4270</v>
      </c>
      <c r="H66" s="5" t="s">
        <v>4271</v>
      </c>
    </row>
    <row r="67" spans="1:8" ht="85" customHeight="1">
      <c r="A67" s="5" t="s">
        <v>4398</v>
      </c>
      <c r="B67" s="5" t="s">
        <v>4266</v>
      </c>
      <c r="C67" s="5" t="s">
        <v>4311</v>
      </c>
      <c r="D67" s="5" t="s">
        <v>4312</v>
      </c>
      <c r="E67" s="5" t="s">
        <v>4313</v>
      </c>
      <c r="F67" s="5" t="s">
        <v>4399</v>
      </c>
      <c r="G67" s="5" t="s">
        <v>4315</v>
      </c>
      <c r="H67" s="5" t="s">
        <v>4271</v>
      </c>
    </row>
    <row r="68" spans="1:8" ht="85" customHeight="1">
      <c r="A68" s="5" t="s">
        <v>4400</v>
      </c>
      <c r="B68" s="5" t="s">
        <v>4266</v>
      </c>
      <c r="C68" s="5" t="s">
        <v>4267</v>
      </c>
      <c r="D68" s="5" t="s">
        <v>3266</v>
      </c>
      <c r="E68" s="5" t="s">
        <v>4268</v>
      </c>
      <c r="F68" s="5" t="s">
        <v>4401</v>
      </c>
      <c r="G68" s="5" t="s">
        <v>4270</v>
      </c>
      <c r="H68" s="5" t="s">
        <v>4271</v>
      </c>
    </row>
    <row r="69" spans="1:8" ht="85" customHeight="1">
      <c r="A69" s="5" t="s">
        <v>4402</v>
      </c>
      <c r="B69" s="5" t="s">
        <v>4266</v>
      </c>
      <c r="C69" s="5" t="s">
        <v>4267</v>
      </c>
      <c r="D69" s="5" t="s">
        <v>3266</v>
      </c>
      <c r="E69" s="5" t="s">
        <v>4268</v>
      </c>
      <c r="F69" s="5" t="s">
        <v>4403</v>
      </c>
      <c r="G69" s="5" t="s">
        <v>4270</v>
      </c>
      <c r="H69" s="5" t="s">
        <v>4271</v>
      </c>
    </row>
    <row r="70" spans="1:8" ht="85" customHeight="1">
      <c r="A70" s="5" t="s">
        <v>4404</v>
      </c>
      <c r="B70" s="5" t="s">
        <v>4266</v>
      </c>
      <c r="C70" s="5" t="s">
        <v>4267</v>
      </c>
      <c r="D70" s="5" t="s">
        <v>3266</v>
      </c>
      <c r="E70" s="5" t="s">
        <v>4268</v>
      </c>
      <c r="F70" s="5" t="s">
        <v>4405</v>
      </c>
      <c r="G70" s="5" t="s">
        <v>4270</v>
      </c>
      <c r="H70" s="5" t="s">
        <v>4271</v>
      </c>
    </row>
    <row r="71" spans="1:8" ht="85" customHeight="1">
      <c r="A71" s="5" t="s">
        <v>4406</v>
      </c>
      <c r="B71" s="5" t="s">
        <v>4266</v>
      </c>
      <c r="C71" s="5" t="s">
        <v>4267</v>
      </c>
      <c r="D71" s="5" t="s">
        <v>3266</v>
      </c>
      <c r="E71" s="5" t="s">
        <v>4268</v>
      </c>
      <c r="F71" s="5" t="s">
        <v>4407</v>
      </c>
      <c r="G71" s="5" t="s">
        <v>4270</v>
      </c>
      <c r="H71" s="5" t="s">
        <v>4271</v>
      </c>
    </row>
    <row r="72" spans="1:8" ht="85" customHeight="1">
      <c r="A72" s="5" t="s">
        <v>4408</v>
      </c>
      <c r="B72" s="5" t="s">
        <v>4266</v>
      </c>
      <c r="C72" s="5" t="s">
        <v>4267</v>
      </c>
      <c r="D72" s="5" t="s">
        <v>3266</v>
      </c>
      <c r="E72" s="5" t="s">
        <v>4268</v>
      </c>
      <c r="F72" s="5" t="s">
        <v>4409</v>
      </c>
      <c r="G72" s="5" t="s">
        <v>4270</v>
      </c>
      <c r="H72" s="5" t="s">
        <v>4271</v>
      </c>
    </row>
    <row r="73" spans="1:8" ht="85" customHeight="1">
      <c r="A73" s="5" t="s">
        <v>4410</v>
      </c>
      <c r="B73" s="5" t="s">
        <v>4266</v>
      </c>
      <c r="C73" s="5" t="s">
        <v>4267</v>
      </c>
      <c r="D73" s="5" t="s">
        <v>3266</v>
      </c>
      <c r="E73" s="5" t="s">
        <v>4268</v>
      </c>
      <c r="F73" s="5" t="s">
        <v>4411</v>
      </c>
      <c r="G73" s="5" t="s">
        <v>4270</v>
      </c>
      <c r="H73" s="5" t="s">
        <v>4271</v>
      </c>
    </row>
    <row r="74" spans="1:8" ht="85" customHeight="1">
      <c r="A74" s="5" t="s">
        <v>4412</v>
      </c>
      <c r="B74" s="5" t="s">
        <v>4266</v>
      </c>
      <c r="C74" s="5" t="s">
        <v>4267</v>
      </c>
      <c r="D74" s="5" t="s">
        <v>3266</v>
      </c>
      <c r="E74" s="5" t="s">
        <v>4268</v>
      </c>
      <c r="F74" s="5" t="s">
        <v>4413</v>
      </c>
      <c r="G74" s="5" t="s">
        <v>4270</v>
      </c>
      <c r="H74" s="5" t="s">
        <v>4271</v>
      </c>
    </row>
    <row r="75" spans="1:8" ht="85" customHeight="1">
      <c r="A75" s="5" t="s">
        <v>4414</v>
      </c>
      <c r="B75" s="5" t="s">
        <v>4266</v>
      </c>
      <c r="C75" s="5" t="s">
        <v>4267</v>
      </c>
      <c r="D75" s="5" t="s">
        <v>3266</v>
      </c>
      <c r="E75" s="5" t="s">
        <v>4268</v>
      </c>
      <c r="F75" s="5" t="s">
        <v>4415</v>
      </c>
      <c r="G75" s="5" t="s">
        <v>4270</v>
      </c>
      <c r="H75" s="5" t="s">
        <v>4271</v>
      </c>
    </row>
    <row r="76" spans="1:8" ht="85" customHeight="1">
      <c r="A76" s="5" t="s">
        <v>4416</v>
      </c>
      <c r="B76" s="5" t="s">
        <v>4266</v>
      </c>
      <c r="C76" s="5" t="s">
        <v>4267</v>
      </c>
      <c r="D76" s="5" t="s">
        <v>3266</v>
      </c>
      <c r="E76" s="5" t="s">
        <v>4268</v>
      </c>
      <c r="F76" s="5" t="s">
        <v>4417</v>
      </c>
      <c r="G76" s="5" t="s">
        <v>4270</v>
      </c>
      <c r="H76" s="5" t="s">
        <v>4271</v>
      </c>
    </row>
    <row r="77" spans="1:8" ht="85" customHeight="1">
      <c r="A77" s="5" t="s">
        <v>4418</v>
      </c>
      <c r="B77" s="5" t="s">
        <v>4266</v>
      </c>
      <c r="C77" s="5" t="s">
        <v>4267</v>
      </c>
      <c r="D77" s="5" t="s">
        <v>3266</v>
      </c>
      <c r="E77" s="5" t="s">
        <v>4268</v>
      </c>
      <c r="F77" s="5" t="s">
        <v>4419</v>
      </c>
      <c r="G77" s="5" t="s">
        <v>4270</v>
      </c>
      <c r="H77" s="5" t="s">
        <v>4271</v>
      </c>
    </row>
    <row r="78" spans="1:8" ht="85" customHeight="1">
      <c r="A78" s="5" t="s">
        <v>4420</v>
      </c>
      <c r="B78" s="5" t="s">
        <v>4266</v>
      </c>
      <c r="C78" s="5" t="s">
        <v>4267</v>
      </c>
      <c r="D78" s="5" t="s">
        <v>3266</v>
      </c>
      <c r="E78" s="5" t="s">
        <v>4268</v>
      </c>
      <c r="F78" s="5" t="s">
        <v>4421</v>
      </c>
      <c r="G78" s="5" t="s">
        <v>4270</v>
      </c>
      <c r="H78" s="5" t="s">
        <v>4271</v>
      </c>
    </row>
    <row r="79" spans="1:8" ht="85" customHeight="1">
      <c r="A79" s="5" t="s">
        <v>4422</v>
      </c>
      <c r="B79" s="5" t="s">
        <v>4266</v>
      </c>
      <c r="C79" s="5" t="s">
        <v>4267</v>
      </c>
      <c r="D79" s="5" t="s">
        <v>3266</v>
      </c>
      <c r="E79" s="5" t="s">
        <v>4268</v>
      </c>
      <c r="F79" s="5" t="s">
        <v>4423</v>
      </c>
      <c r="G79" s="5" t="s">
        <v>4270</v>
      </c>
      <c r="H79" s="5" t="s">
        <v>4271</v>
      </c>
    </row>
    <row r="80" spans="1:8" ht="85" customHeight="1">
      <c r="A80" s="5" t="s">
        <v>4424</v>
      </c>
      <c r="B80" s="5" t="s">
        <v>4266</v>
      </c>
      <c r="C80" s="5" t="s">
        <v>4267</v>
      </c>
      <c r="D80" s="5" t="s">
        <v>3266</v>
      </c>
      <c r="E80" s="5" t="s">
        <v>4268</v>
      </c>
      <c r="F80" s="5" t="s">
        <v>4425</v>
      </c>
      <c r="G80" s="5" t="s">
        <v>4270</v>
      </c>
      <c r="H80" s="5" t="s">
        <v>4271</v>
      </c>
    </row>
    <row r="81" spans="1:8" ht="85" customHeight="1">
      <c r="A81" s="5" t="s">
        <v>4426</v>
      </c>
      <c r="B81" s="5" t="s">
        <v>4266</v>
      </c>
      <c r="C81" s="5" t="s">
        <v>4267</v>
      </c>
      <c r="D81" s="5" t="s">
        <v>3266</v>
      </c>
      <c r="E81" s="5" t="s">
        <v>4268</v>
      </c>
      <c r="F81" s="5" t="s">
        <v>4427</v>
      </c>
      <c r="G81" s="5" t="s">
        <v>4270</v>
      </c>
      <c r="H81" s="5" t="s">
        <v>4271</v>
      </c>
    </row>
    <row r="82" spans="1:8" ht="85" customHeight="1">
      <c r="A82" s="5" t="s">
        <v>4428</v>
      </c>
      <c r="B82" s="5" t="s">
        <v>4266</v>
      </c>
      <c r="C82" s="5" t="s">
        <v>4267</v>
      </c>
      <c r="D82" s="5" t="s">
        <v>3266</v>
      </c>
      <c r="E82" s="5" t="s">
        <v>4268</v>
      </c>
      <c r="F82" s="5" t="s">
        <v>4429</v>
      </c>
      <c r="G82" s="5" t="s">
        <v>4270</v>
      </c>
      <c r="H82" s="5" t="s">
        <v>4271</v>
      </c>
    </row>
    <row r="83" spans="1:8" ht="85" customHeight="1">
      <c r="A83" s="5" t="s">
        <v>4430</v>
      </c>
      <c r="B83" s="5" t="s">
        <v>4266</v>
      </c>
      <c r="C83" s="5" t="s">
        <v>4267</v>
      </c>
      <c r="D83" s="5" t="s">
        <v>3266</v>
      </c>
      <c r="E83" s="5" t="s">
        <v>4268</v>
      </c>
      <c r="F83" s="5" t="s">
        <v>4431</v>
      </c>
      <c r="G83" s="5" t="s">
        <v>4270</v>
      </c>
      <c r="H83" s="5" t="s">
        <v>4271</v>
      </c>
    </row>
    <row r="84" spans="1:8" ht="85" customHeight="1">
      <c r="A84" s="5" t="s">
        <v>4432</v>
      </c>
      <c r="B84" s="5" t="s">
        <v>4266</v>
      </c>
      <c r="C84" s="5" t="s">
        <v>4267</v>
      </c>
      <c r="D84" s="5" t="s">
        <v>3266</v>
      </c>
      <c r="E84" s="5" t="s">
        <v>4268</v>
      </c>
      <c r="F84" s="5" t="s">
        <v>4433</v>
      </c>
      <c r="G84" s="5" t="s">
        <v>4270</v>
      </c>
      <c r="H84" s="5" t="s">
        <v>4271</v>
      </c>
    </row>
    <row r="85" spans="1:8" ht="85" customHeight="1">
      <c r="A85" s="5" t="s">
        <v>4434</v>
      </c>
      <c r="B85" s="5" t="s">
        <v>4266</v>
      </c>
      <c r="C85" s="5" t="s">
        <v>4267</v>
      </c>
      <c r="D85" s="5" t="s">
        <v>3266</v>
      </c>
      <c r="E85" s="5" t="s">
        <v>4268</v>
      </c>
      <c r="F85" s="5" t="s">
        <v>4435</v>
      </c>
      <c r="G85" s="5" t="s">
        <v>4270</v>
      </c>
      <c r="H85" s="5" t="s">
        <v>4271</v>
      </c>
    </row>
    <row r="86" spans="1:8" ht="85" customHeight="1">
      <c r="A86" s="5" t="s">
        <v>4436</v>
      </c>
      <c r="B86" s="5" t="s">
        <v>4266</v>
      </c>
      <c r="C86" s="5" t="s">
        <v>4267</v>
      </c>
      <c r="D86" s="5" t="s">
        <v>3266</v>
      </c>
      <c r="E86" s="5" t="s">
        <v>4268</v>
      </c>
      <c r="F86" s="5" t="s">
        <v>4437</v>
      </c>
      <c r="G86" s="5" t="s">
        <v>4270</v>
      </c>
      <c r="H86" s="5" t="s">
        <v>4271</v>
      </c>
    </row>
    <row r="87" spans="1:8" ht="85" customHeight="1">
      <c r="A87" s="5" t="s">
        <v>4438</v>
      </c>
      <c r="B87" s="5" t="s">
        <v>4266</v>
      </c>
      <c r="C87" s="5" t="s">
        <v>4267</v>
      </c>
      <c r="D87" s="5" t="s">
        <v>3266</v>
      </c>
      <c r="E87" s="5" t="s">
        <v>4268</v>
      </c>
      <c r="F87" s="5" t="s">
        <v>4439</v>
      </c>
      <c r="G87" s="5" t="s">
        <v>4270</v>
      </c>
      <c r="H87" s="5" t="s">
        <v>4271</v>
      </c>
    </row>
    <row r="88" spans="1:8" ht="85" customHeight="1">
      <c r="A88" s="5" t="s">
        <v>4440</v>
      </c>
      <c r="B88" s="5" t="s">
        <v>4266</v>
      </c>
      <c r="C88" s="5" t="s">
        <v>4311</v>
      </c>
      <c r="D88" s="5" t="s">
        <v>4312</v>
      </c>
      <c r="E88" s="5" t="s">
        <v>4313</v>
      </c>
      <c r="F88" s="5" t="s">
        <v>4441</v>
      </c>
      <c r="G88" s="5" t="s">
        <v>4315</v>
      </c>
      <c r="H88" s="5" t="s">
        <v>4271</v>
      </c>
    </row>
    <row r="89" spans="1:8" ht="85" customHeight="1">
      <c r="A89" s="5" t="s">
        <v>4442</v>
      </c>
      <c r="B89" s="5" t="s">
        <v>4266</v>
      </c>
      <c r="C89" s="5" t="s">
        <v>4267</v>
      </c>
      <c r="D89" s="5" t="s">
        <v>3266</v>
      </c>
      <c r="E89" s="5" t="s">
        <v>4268</v>
      </c>
      <c r="F89" s="5" t="s">
        <v>4443</v>
      </c>
      <c r="G89" s="5" t="s">
        <v>4270</v>
      </c>
      <c r="H89" s="5" t="s">
        <v>4271</v>
      </c>
    </row>
    <row r="90" spans="1:8" ht="85" customHeight="1">
      <c r="A90" s="5" t="s">
        <v>4444</v>
      </c>
      <c r="B90" s="5" t="s">
        <v>4266</v>
      </c>
      <c r="C90" s="5" t="s">
        <v>4267</v>
      </c>
      <c r="D90" s="5" t="s">
        <v>3266</v>
      </c>
      <c r="E90" s="5" t="s">
        <v>4268</v>
      </c>
      <c r="F90" s="5" t="s">
        <v>4445</v>
      </c>
      <c r="G90" s="5" t="s">
        <v>4270</v>
      </c>
      <c r="H90" s="5" t="s">
        <v>4271</v>
      </c>
    </row>
    <row r="91" spans="1:8" ht="85" customHeight="1">
      <c r="A91" s="5" t="s">
        <v>4446</v>
      </c>
      <c r="B91" s="5" t="s">
        <v>4266</v>
      </c>
      <c r="C91" s="5" t="s">
        <v>4267</v>
      </c>
      <c r="D91" s="5" t="s">
        <v>3266</v>
      </c>
      <c r="E91" s="5" t="s">
        <v>4268</v>
      </c>
      <c r="F91" s="5" t="s">
        <v>4447</v>
      </c>
      <c r="G91" s="5" t="s">
        <v>4270</v>
      </c>
      <c r="H91" s="5" t="s">
        <v>4271</v>
      </c>
    </row>
    <row r="92" spans="1:8" ht="85" customHeight="1">
      <c r="A92" s="5" t="s">
        <v>4448</v>
      </c>
      <c r="B92" s="5" t="s">
        <v>4266</v>
      </c>
      <c r="C92" s="5" t="s">
        <v>4267</v>
      </c>
      <c r="D92" s="5" t="s">
        <v>3266</v>
      </c>
      <c r="E92" s="5" t="s">
        <v>4268</v>
      </c>
      <c r="F92" s="5" t="s">
        <v>4449</v>
      </c>
      <c r="G92" s="5" t="s">
        <v>4270</v>
      </c>
      <c r="H92" s="5" t="s">
        <v>4271</v>
      </c>
    </row>
    <row r="93" spans="1:8" ht="85" customHeight="1">
      <c r="A93" s="5" t="s">
        <v>4450</v>
      </c>
      <c r="B93" s="5" t="s">
        <v>4266</v>
      </c>
      <c r="C93" s="5" t="s">
        <v>4267</v>
      </c>
      <c r="D93" s="5" t="s">
        <v>3266</v>
      </c>
      <c r="E93" s="5" t="s">
        <v>4268</v>
      </c>
      <c r="F93" s="5" t="s">
        <v>4451</v>
      </c>
      <c r="G93" s="5" t="s">
        <v>4270</v>
      </c>
      <c r="H93" s="5" t="s">
        <v>4271</v>
      </c>
    </row>
    <row r="94" spans="1:8" ht="85" customHeight="1">
      <c r="A94" s="5" t="s">
        <v>4452</v>
      </c>
      <c r="B94" s="5" t="s">
        <v>4266</v>
      </c>
      <c r="C94" s="5" t="s">
        <v>4267</v>
      </c>
      <c r="D94" s="5" t="s">
        <v>3266</v>
      </c>
      <c r="E94" s="5" t="s">
        <v>4268</v>
      </c>
      <c r="F94" s="5" t="s">
        <v>4453</v>
      </c>
      <c r="G94" s="5" t="s">
        <v>4270</v>
      </c>
      <c r="H94" s="5" t="s">
        <v>4271</v>
      </c>
    </row>
    <row r="95" spans="1:8" ht="85" customHeight="1">
      <c r="A95" s="5" t="s">
        <v>4454</v>
      </c>
      <c r="B95" s="5" t="s">
        <v>4266</v>
      </c>
      <c r="C95" s="5" t="s">
        <v>4267</v>
      </c>
      <c r="D95" s="5" t="s">
        <v>3266</v>
      </c>
      <c r="E95" s="5" t="s">
        <v>4268</v>
      </c>
      <c r="F95" s="5" t="s">
        <v>4455</v>
      </c>
      <c r="G95" s="5" t="s">
        <v>4270</v>
      </c>
      <c r="H95" s="5" t="s">
        <v>4271</v>
      </c>
    </row>
    <row r="96" spans="1:8" ht="85" customHeight="1">
      <c r="A96" s="5" t="s">
        <v>4456</v>
      </c>
      <c r="B96" s="5" t="s">
        <v>4266</v>
      </c>
      <c r="C96" s="5" t="s">
        <v>4267</v>
      </c>
      <c r="D96" s="5" t="s">
        <v>3266</v>
      </c>
      <c r="E96" s="5" t="s">
        <v>4268</v>
      </c>
      <c r="F96" s="5" t="s">
        <v>4457</v>
      </c>
      <c r="G96" s="5" t="s">
        <v>4270</v>
      </c>
      <c r="H96" s="5" t="s">
        <v>4271</v>
      </c>
    </row>
    <row r="97" spans="1:8" ht="85" customHeight="1">
      <c r="A97" s="5" t="s">
        <v>4458</v>
      </c>
      <c r="B97" s="5" t="s">
        <v>4266</v>
      </c>
      <c r="C97" s="5" t="s">
        <v>4267</v>
      </c>
      <c r="D97" s="5" t="s">
        <v>3266</v>
      </c>
      <c r="E97" s="5" t="s">
        <v>4268</v>
      </c>
      <c r="F97" s="5" t="s">
        <v>4459</v>
      </c>
      <c r="G97" s="5" t="s">
        <v>4270</v>
      </c>
      <c r="H97" s="5" t="s">
        <v>4271</v>
      </c>
    </row>
    <row r="98" spans="1:8" ht="85" customHeight="1">
      <c r="A98" s="5" t="s">
        <v>4460</v>
      </c>
      <c r="B98" s="5" t="s">
        <v>4266</v>
      </c>
      <c r="C98" s="5" t="s">
        <v>4267</v>
      </c>
      <c r="D98" s="5" t="s">
        <v>3266</v>
      </c>
      <c r="E98" s="5" t="s">
        <v>4268</v>
      </c>
      <c r="F98" s="5" t="s">
        <v>4461</v>
      </c>
      <c r="G98" s="5" t="s">
        <v>4270</v>
      </c>
      <c r="H98" s="5" t="s">
        <v>4271</v>
      </c>
    </row>
    <row r="99" spans="1:8" ht="85" customHeight="1">
      <c r="A99" s="5" t="s">
        <v>4462</v>
      </c>
      <c r="B99" s="5" t="s">
        <v>4266</v>
      </c>
      <c r="C99" s="5" t="s">
        <v>4267</v>
      </c>
      <c r="D99" s="5" t="s">
        <v>3266</v>
      </c>
      <c r="E99" s="5" t="s">
        <v>4268</v>
      </c>
      <c r="F99" s="5" t="s">
        <v>4463</v>
      </c>
      <c r="G99" s="5" t="s">
        <v>4270</v>
      </c>
      <c r="H99" s="5" t="s">
        <v>4271</v>
      </c>
    </row>
    <row r="100" spans="1:8" ht="85" customHeight="1">
      <c r="A100" s="5" t="s">
        <v>4464</v>
      </c>
      <c r="B100" s="5" t="s">
        <v>4266</v>
      </c>
      <c r="C100" s="5" t="s">
        <v>4267</v>
      </c>
      <c r="D100" s="5" t="s">
        <v>3266</v>
      </c>
      <c r="E100" s="5" t="s">
        <v>4268</v>
      </c>
      <c r="F100" s="5" t="s">
        <v>4465</v>
      </c>
      <c r="G100" s="5" t="s">
        <v>4270</v>
      </c>
      <c r="H100" s="5" t="s">
        <v>4271</v>
      </c>
    </row>
    <row r="101" spans="1:8" ht="85" customHeight="1">
      <c r="A101" s="5" t="s">
        <v>4466</v>
      </c>
      <c r="B101" s="5" t="s">
        <v>4266</v>
      </c>
      <c r="C101" s="5" t="s">
        <v>4267</v>
      </c>
      <c r="D101" s="5" t="s">
        <v>3266</v>
      </c>
      <c r="E101" s="5" t="s">
        <v>4268</v>
      </c>
      <c r="F101" s="5" t="s">
        <v>4467</v>
      </c>
      <c r="G101" s="5" t="s">
        <v>4270</v>
      </c>
      <c r="H101" s="5" t="s">
        <v>4271</v>
      </c>
    </row>
    <row r="102" spans="1:8" ht="85" customHeight="1">
      <c r="A102" s="5" t="s">
        <v>4468</v>
      </c>
      <c r="B102" s="5" t="s">
        <v>4266</v>
      </c>
      <c r="C102" s="5" t="s">
        <v>4267</v>
      </c>
      <c r="D102" s="5" t="s">
        <v>3266</v>
      </c>
      <c r="E102" s="5" t="s">
        <v>4268</v>
      </c>
      <c r="F102" s="5" t="s">
        <v>4469</v>
      </c>
      <c r="G102" s="5" t="s">
        <v>4270</v>
      </c>
      <c r="H102" s="5" t="s">
        <v>4271</v>
      </c>
    </row>
    <row r="103" spans="1:8" ht="85" customHeight="1">
      <c r="A103" s="5" t="s">
        <v>4470</v>
      </c>
      <c r="B103" s="5" t="s">
        <v>4266</v>
      </c>
      <c r="C103" s="5" t="s">
        <v>4267</v>
      </c>
      <c r="D103" s="5" t="s">
        <v>3266</v>
      </c>
      <c r="E103" s="5" t="s">
        <v>4268</v>
      </c>
      <c r="F103" s="5" t="s">
        <v>4471</v>
      </c>
      <c r="G103" s="5" t="s">
        <v>4270</v>
      </c>
      <c r="H103" s="5" t="s">
        <v>4271</v>
      </c>
    </row>
    <row r="104" spans="1:8" ht="85" customHeight="1">
      <c r="A104" s="5" t="s">
        <v>4472</v>
      </c>
      <c r="B104" s="5" t="s">
        <v>4266</v>
      </c>
      <c r="C104" s="5" t="s">
        <v>4267</v>
      </c>
      <c r="D104" s="5" t="s">
        <v>3266</v>
      </c>
      <c r="E104" s="5" t="s">
        <v>4268</v>
      </c>
      <c r="F104" s="5" t="s">
        <v>4473</v>
      </c>
      <c r="G104" s="5" t="s">
        <v>4270</v>
      </c>
      <c r="H104" s="5" t="s">
        <v>4271</v>
      </c>
    </row>
    <row r="105" spans="1:8" ht="85" customHeight="1">
      <c r="A105" s="5" t="s">
        <v>4474</v>
      </c>
      <c r="B105" s="5" t="s">
        <v>4266</v>
      </c>
      <c r="C105" s="5" t="s">
        <v>4267</v>
      </c>
      <c r="D105" s="5" t="s">
        <v>3266</v>
      </c>
      <c r="E105" s="5" t="s">
        <v>4268</v>
      </c>
      <c r="F105" s="5" t="s">
        <v>4475</v>
      </c>
      <c r="G105" s="5" t="s">
        <v>4270</v>
      </c>
      <c r="H105" s="5" t="s">
        <v>4271</v>
      </c>
    </row>
    <row r="106" spans="1:8" ht="85" customHeight="1">
      <c r="A106" s="5" t="s">
        <v>4476</v>
      </c>
      <c r="B106" s="5" t="s">
        <v>4266</v>
      </c>
      <c r="C106" s="5" t="s">
        <v>4267</v>
      </c>
      <c r="D106" s="5" t="s">
        <v>3266</v>
      </c>
      <c r="E106" s="5" t="s">
        <v>4268</v>
      </c>
      <c r="F106" s="5" t="s">
        <v>4477</v>
      </c>
      <c r="G106" s="5" t="s">
        <v>4270</v>
      </c>
      <c r="H106" s="5" t="s">
        <v>4271</v>
      </c>
    </row>
    <row r="107" spans="1:8" ht="85" customHeight="1">
      <c r="A107" s="5" t="s">
        <v>4478</v>
      </c>
      <c r="B107" s="5" t="s">
        <v>4266</v>
      </c>
      <c r="C107" s="5" t="s">
        <v>4267</v>
      </c>
      <c r="D107" s="5" t="s">
        <v>3266</v>
      </c>
      <c r="E107" s="5" t="s">
        <v>4268</v>
      </c>
      <c r="F107" s="5" t="s">
        <v>4479</v>
      </c>
      <c r="G107" s="5" t="s">
        <v>4270</v>
      </c>
      <c r="H107" s="5" t="s">
        <v>4271</v>
      </c>
    </row>
    <row r="108" spans="1:8" ht="85" customHeight="1">
      <c r="A108" s="5" t="s">
        <v>4480</v>
      </c>
      <c r="B108" s="5" t="s">
        <v>4266</v>
      </c>
      <c r="C108" s="5" t="s">
        <v>4267</v>
      </c>
      <c r="D108" s="5" t="s">
        <v>3266</v>
      </c>
      <c r="E108" s="5" t="s">
        <v>4268</v>
      </c>
      <c r="F108" s="5" t="s">
        <v>4481</v>
      </c>
      <c r="G108" s="5" t="s">
        <v>4270</v>
      </c>
      <c r="H108" s="5" t="s">
        <v>4271</v>
      </c>
    </row>
    <row r="109" spans="1:8" ht="85" customHeight="1">
      <c r="A109" s="5" t="s">
        <v>4482</v>
      </c>
      <c r="B109" s="5" t="s">
        <v>4266</v>
      </c>
      <c r="C109" s="5" t="s">
        <v>4311</v>
      </c>
      <c r="D109" s="5" t="s">
        <v>4312</v>
      </c>
      <c r="E109" s="5" t="s">
        <v>4313</v>
      </c>
      <c r="F109" s="5" t="s">
        <v>4483</v>
      </c>
      <c r="G109" s="5" t="s">
        <v>4315</v>
      </c>
      <c r="H109" s="5" t="s">
        <v>4271</v>
      </c>
    </row>
    <row r="110" spans="1:8" ht="85" customHeight="1">
      <c r="A110" s="5" t="s">
        <v>4484</v>
      </c>
      <c r="B110" s="5" t="s">
        <v>4266</v>
      </c>
      <c r="C110" s="5" t="s">
        <v>4267</v>
      </c>
      <c r="D110" s="5" t="s">
        <v>3266</v>
      </c>
      <c r="E110" s="5" t="s">
        <v>4268</v>
      </c>
      <c r="F110" s="5" t="s">
        <v>4485</v>
      </c>
      <c r="G110" s="5" t="s">
        <v>4270</v>
      </c>
      <c r="H110" s="5" t="s">
        <v>4271</v>
      </c>
    </row>
    <row r="111" spans="1:8" ht="85" customHeight="1">
      <c r="A111" s="5" t="s">
        <v>4486</v>
      </c>
      <c r="B111" s="5" t="s">
        <v>4266</v>
      </c>
      <c r="C111" s="5" t="s">
        <v>4267</v>
      </c>
      <c r="D111" s="5" t="s">
        <v>3266</v>
      </c>
      <c r="E111" s="5" t="s">
        <v>4268</v>
      </c>
      <c r="F111" s="5" t="s">
        <v>4487</v>
      </c>
      <c r="G111" s="5" t="s">
        <v>4270</v>
      </c>
      <c r="H111" s="5" t="s">
        <v>4271</v>
      </c>
    </row>
    <row r="112" spans="1:8" ht="85" customHeight="1">
      <c r="A112" s="5" t="s">
        <v>4488</v>
      </c>
      <c r="B112" s="5" t="s">
        <v>4266</v>
      </c>
      <c r="C112" s="5" t="s">
        <v>4267</v>
      </c>
      <c r="D112" s="5" t="s">
        <v>3266</v>
      </c>
      <c r="E112" s="5" t="s">
        <v>4268</v>
      </c>
      <c r="F112" s="5" t="s">
        <v>4489</v>
      </c>
      <c r="G112" s="5" t="s">
        <v>4270</v>
      </c>
      <c r="H112" s="5" t="s">
        <v>4271</v>
      </c>
    </row>
    <row r="113" spans="1:8" ht="85" customHeight="1">
      <c r="A113" s="5" t="s">
        <v>4490</v>
      </c>
      <c r="B113" s="5" t="s">
        <v>4266</v>
      </c>
      <c r="C113" s="5" t="s">
        <v>4267</v>
      </c>
      <c r="D113" s="5" t="s">
        <v>3266</v>
      </c>
      <c r="E113" s="5" t="s">
        <v>4268</v>
      </c>
      <c r="F113" s="5" t="s">
        <v>4491</v>
      </c>
      <c r="G113" s="5" t="s">
        <v>4270</v>
      </c>
      <c r="H113" s="5" t="s">
        <v>4271</v>
      </c>
    </row>
    <row r="114" spans="1:8" ht="85" customHeight="1">
      <c r="A114" s="5" t="s">
        <v>4492</v>
      </c>
      <c r="B114" s="5" t="s">
        <v>4266</v>
      </c>
      <c r="C114" s="5" t="s">
        <v>4267</v>
      </c>
      <c r="D114" s="5" t="s">
        <v>3266</v>
      </c>
      <c r="E114" s="5" t="s">
        <v>4268</v>
      </c>
      <c r="F114" s="5" t="s">
        <v>4493</v>
      </c>
      <c r="G114" s="5" t="s">
        <v>4270</v>
      </c>
      <c r="H114" s="5" t="s">
        <v>4271</v>
      </c>
    </row>
    <row r="115" spans="1:8" ht="85" customHeight="1">
      <c r="A115" s="5" t="s">
        <v>4494</v>
      </c>
      <c r="B115" s="5" t="s">
        <v>4266</v>
      </c>
      <c r="C115" s="5" t="s">
        <v>4267</v>
      </c>
      <c r="D115" s="5" t="s">
        <v>3266</v>
      </c>
      <c r="E115" s="5" t="s">
        <v>4268</v>
      </c>
      <c r="F115" s="5" t="s">
        <v>4495</v>
      </c>
      <c r="G115" s="5" t="s">
        <v>4270</v>
      </c>
      <c r="H115" s="5" t="s">
        <v>4271</v>
      </c>
    </row>
    <row r="116" spans="1:8" ht="85" customHeight="1">
      <c r="A116" s="5" t="s">
        <v>4496</v>
      </c>
      <c r="B116" s="5" t="s">
        <v>4266</v>
      </c>
      <c r="C116" s="5" t="s">
        <v>4267</v>
      </c>
      <c r="D116" s="5" t="s">
        <v>3266</v>
      </c>
      <c r="E116" s="5" t="s">
        <v>4268</v>
      </c>
      <c r="F116" s="5" t="s">
        <v>4497</v>
      </c>
      <c r="G116" s="5" t="s">
        <v>4270</v>
      </c>
      <c r="H116" s="5" t="s">
        <v>4271</v>
      </c>
    </row>
    <row r="117" spans="1:8" ht="85" customHeight="1">
      <c r="A117" s="5" t="s">
        <v>4498</v>
      </c>
      <c r="B117" s="5" t="s">
        <v>4266</v>
      </c>
      <c r="C117" s="5" t="s">
        <v>4267</v>
      </c>
      <c r="D117" s="5" t="s">
        <v>3266</v>
      </c>
      <c r="E117" s="5" t="s">
        <v>4268</v>
      </c>
      <c r="F117" s="5" t="s">
        <v>4499</v>
      </c>
      <c r="G117" s="5" t="s">
        <v>4270</v>
      </c>
      <c r="H117" s="5" t="s">
        <v>4271</v>
      </c>
    </row>
    <row r="118" spans="1:8" ht="85" customHeight="1">
      <c r="A118" s="5" t="s">
        <v>4500</v>
      </c>
      <c r="B118" s="5" t="s">
        <v>4266</v>
      </c>
      <c r="C118" s="5" t="s">
        <v>4267</v>
      </c>
      <c r="D118" s="5" t="s">
        <v>3266</v>
      </c>
      <c r="E118" s="5" t="s">
        <v>4268</v>
      </c>
      <c r="F118" s="5" t="s">
        <v>4501</v>
      </c>
      <c r="G118" s="5" t="s">
        <v>4270</v>
      </c>
      <c r="H118" s="5" t="s">
        <v>4271</v>
      </c>
    </row>
    <row r="119" spans="1:8" ht="85" customHeight="1">
      <c r="A119" s="5" t="s">
        <v>4502</v>
      </c>
      <c r="B119" s="5" t="s">
        <v>4266</v>
      </c>
      <c r="C119" s="5" t="s">
        <v>4267</v>
      </c>
      <c r="D119" s="5" t="s">
        <v>3266</v>
      </c>
      <c r="E119" s="5" t="s">
        <v>4268</v>
      </c>
      <c r="F119" s="5" t="s">
        <v>4503</v>
      </c>
      <c r="G119" s="5" t="s">
        <v>4270</v>
      </c>
      <c r="H119" s="5" t="s">
        <v>4271</v>
      </c>
    </row>
    <row r="120" spans="1:8" ht="85" customHeight="1">
      <c r="A120" s="5" t="s">
        <v>4504</v>
      </c>
      <c r="B120" s="5" t="s">
        <v>4266</v>
      </c>
      <c r="C120" s="5" t="s">
        <v>4267</v>
      </c>
      <c r="D120" s="5" t="s">
        <v>3266</v>
      </c>
      <c r="E120" s="5" t="s">
        <v>4268</v>
      </c>
      <c r="F120" s="5" t="s">
        <v>4505</v>
      </c>
      <c r="G120" s="5" t="s">
        <v>4270</v>
      </c>
      <c r="H120" s="5" t="s">
        <v>4271</v>
      </c>
    </row>
    <row r="121" spans="1:8" ht="85" customHeight="1">
      <c r="A121" s="5" t="s">
        <v>4506</v>
      </c>
      <c r="B121" s="5" t="s">
        <v>4266</v>
      </c>
      <c r="C121" s="5" t="s">
        <v>4267</v>
      </c>
      <c r="D121" s="5" t="s">
        <v>3266</v>
      </c>
      <c r="E121" s="5" t="s">
        <v>4268</v>
      </c>
      <c r="F121" s="5" t="s">
        <v>4507</v>
      </c>
      <c r="G121" s="5" t="s">
        <v>4270</v>
      </c>
      <c r="H121" s="5" t="s">
        <v>4271</v>
      </c>
    </row>
    <row r="122" spans="1:8" ht="85" customHeight="1">
      <c r="A122" s="5" t="s">
        <v>4508</v>
      </c>
      <c r="B122" s="5" t="s">
        <v>4266</v>
      </c>
      <c r="C122" s="5" t="s">
        <v>4267</v>
      </c>
      <c r="D122" s="5" t="s">
        <v>3266</v>
      </c>
      <c r="E122" s="5" t="s">
        <v>4268</v>
      </c>
      <c r="F122" s="5" t="s">
        <v>4509</v>
      </c>
      <c r="G122" s="5" t="s">
        <v>4270</v>
      </c>
      <c r="H122" s="5" t="s">
        <v>4271</v>
      </c>
    </row>
    <row r="123" spans="1:8" ht="85" customHeight="1">
      <c r="A123" s="5" t="s">
        <v>4510</v>
      </c>
      <c r="B123" s="5" t="s">
        <v>4266</v>
      </c>
      <c r="C123" s="5" t="s">
        <v>4267</v>
      </c>
      <c r="D123" s="5" t="s">
        <v>3266</v>
      </c>
      <c r="E123" s="5" t="s">
        <v>4268</v>
      </c>
      <c r="F123" s="5" t="s">
        <v>4511</v>
      </c>
      <c r="G123" s="5" t="s">
        <v>4270</v>
      </c>
      <c r="H123" s="5" t="s">
        <v>4271</v>
      </c>
    </row>
    <row r="124" spans="1:8" ht="85" customHeight="1">
      <c r="A124" s="5" t="s">
        <v>4512</v>
      </c>
      <c r="B124" s="5" t="s">
        <v>4266</v>
      </c>
      <c r="C124" s="5" t="s">
        <v>4267</v>
      </c>
      <c r="D124" s="5" t="s">
        <v>3266</v>
      </c>
      <c r="E124" s="5" t="s">
        <v>4268</v>
      </c>
      <c r="F124" s="5" t="s">
        <v>4513</v>
      </c>
      <c r="G124" s="5" t="s">
        <v>4270</v>
      </c>
      <c r="H124" s="5" t="s">
        <v>4271</v>
      </c>
    </row>
    <row r="125" spans="1:8" ht="85" customHeight="1">
      <c r="A125" s="5" t="s">
        <v>4514</v>
      </c>
      <c r="B125" s="5" t="s">
        <v>4266</v>
      </c>
      <c r="C125" s="5" t="s">
        <v>4267</v>
      </c>
      <c r="D125" s="5" t="s">
        <v>3266</v>
      </c>
      <c r="E125" s="5" t="s">
        <v>4268</v>
      </c>
      <c r="F125" s="5" t="s">
        <v>4515</v>
      </c>
      <c r="G125" s="5" t="s">
        <v>4270</v>
      </c>
      <c r="H125" s="5" t="s">
        <v>4271</v>
      </c>
    </row>
    <row r="126" spans="1:8" ht="85" customHeight="1">
      <c r="A126" s="5" t="s">
        <v>4516</v>
      </c>
      <c r="B126" s="5" t="s">
        <v>4266</v>
      </c>
      <c r="C126" s="5" t="s">
        <v>4267</v>
      </c>
      <c r="D126" s="5" t="s">
        <v>3266</v>
      </c>
      <c r="E126" s="5" t="s">
        <v>4268</v>
      </c>
      <c r="F126" s="5" t="s">
        <v>4517</v>
      </c>
      <c r="G126" s="5" t="s">
        <v>4270</v>
      </c>
      <c r="H126" s="5" t="s">
        <v>4271</v>
      </c>
    </row>
    <row r="127" spans="1:8" ht="85" customHeight="1">
      <c r="A127" s="5" t="s">
        <v>4518</v>
      </c>
      <c r="B127" s="5" t="s">
        <v>4266</v>
      </c>
      <c r="C127" s="5" t="s">
        <v>4267</v>
      </c>
      <c r="D127" s="5" t="s">
        <v>3266</v>
      </c>
      <c r="E127" s="5" t="s">
        <v>4268</v>
      </c>
      <c r="F127" s="5" t="s">
        <v>4519</v>
      </c>
      <c r="G127" s="5" t="s">
        <v>4270</v>
      </c>
      <c r="H127" s="5" t="s">
        <v>4271</v>
      </c>
    </row>
    <row r="128" spans="1:8" ht="85" customHeight="1">
      <c r="A128" s="5" t="s">
        <v>4520</v>
      </c>
      <c r="B128" s="5" t="s">
        <v>4266</v>
      </c>
      <c r="C128" s="5" t="s">
        <v>4267</v>
      </c>
      <c r="D128" s="5" t="s">
        <v>3266</v>
      </c>
      <c r="E128" s="5" t="s">
        <v>4268</v>
      </c>
      <c r="F128" s="5" t="s">
        <v>4521</v>
      </c>
      <c r="G128" s="5" t="s">
        <v>4270</v>
      </c>
      <c r="H128" s="5" t="s">
        <v>4271</v>
      </c>
    </row>
    <row r="129" spans="1:8" ht="85" customHeight="1">
      <c r="A129" s="5" t="s">
        <v>4522</v>
      </c>
      <c r="B129" s="5" t="s">
        <v>4266</v>
      </c>
      <c r="C129" s="5" t="s">
        <v>4267</v>
      </c>
      <c r="D129" s="5" t="s">
        <v>3266</v>
      </c>
      <c r="E129" s="5" t="s">
        <v>4268</v>
      </c>
      <c r="F129" s="5" t="s">
        <v>4523</v>
      </c>
      <c r="G129" s="5" t="s">
        <v>4270</v>
      </c>
      <c r="H129" s="5" t="s">
        <v>4271</v>
      </c>
    </row>
    <row r="130" spans="1:8" ht="85" customHeight="1">
      <c r="A130" s="5" t="s">
        <v>4524</v>
      </c>
      <c r="B130" s="5" t="s">
        <v>4266</v>
      </c>
      <c r="C130" s="5" t="s">
        <v>4311</v>
      </c>
      <c r="D130" s="5" t="s">
        <v>4312</v>
      </c>
      <c r="E130" s="5" t="s">
        <v>4313</v>
      </c>
      <c r="F130" s="5" t="s">
        <v>4525</v>
      </c>
      <c r="G130" s="5" t="s">
        <v>4315</v>
      </c>
      <c r="H130" s="5" t="s">
        <v>4271</v>
      </c>
    </row>
    <row r="131" spans="1:8" ht="85" customHeight="1">
      <c r="A131" s="5" t="s">
        <v>4526</v>
      </c>
      <c r="B131" s="5" t="s">
        <v>4266</v>
      </c>
      <c r="C131" s="5" t="s">
        <v>4267</v>
      </c>
      <c r="D131" s="5" t="s">
        <v>3266</v>
      </c>
      <c r="E131" s="5" t="s">
        <v>4268</v>
      </c>
      <c r="F131" s="5" t="s">
        <v>4527</v>
      </c>
      <c r="G131" s="5" t="s">
        <v>4270</v>
      </c>
      <c r="H131" s="5" t="s">
        <v>4271</v>
      </c>
    </row>
    <row r="132" spans="1:8" ht="85" customHeight="1">
      <c r="A132" s="5" t="s">
        <v>4528</v>
      </c>
      <c r="B132" s="5" t="s">
        <v>4266</v>
      </c>
      <c r="C132" s="5" t="s">
        <v>4267</v>
      </c>
      <c r="D132" s="5" t="s">
        <v>3266</v>
      </c>
      <c r="E132" s="5" t="s">
        <v>4268</v>
      </c>
      <c r="F132" s="5" t="s">
        <v>4529</v>
      </c>
      <c r="G132" s="5" t="s">
        <v>4270</v>
      </c>
      <c r="H132" s="5" t="s">
        <v>4271</v>
      </c>
    </row>
    <row r="133" spans="1:8" ht="85" customHeight="1">
      <c r="A133" s="5" t="s">
        <v>4530</v>
      </c>
      <c r="B133" s="5" t="s">
        <v>4266</v>
      </c>
      <c r="C133" s="5" t="s">
        <v>4267</v>
      </c>
      <c r="D133" s="5" t="s">
        <v>3266</v>
      </c>
      <c r="E133" s="5" t="s">
        <v>4268</v>
      </c>
      <c r="F133" s="5" t="s">
        <v>4531</v>
      </c>
      <c r="G133" s="5" t="s">
        <v>4270</v>
      </c>
      <c r="H133" s="5" t="s">
        <v>4271</v>
      </c>
    </row>
    <row r="134" spans="1:8" ht="85" customHeight="1">
      <c r="A134" s="5" t="s">
        <v>4532</v>
      </c>
      <c r="B134" s="5" t="s">
        <v>4266</v>
      </c>
      <c r="C134" s="5" t="s">
        <v>4267</v>
      </c>
      <c r="D134" s="5" t="s">
        <v>3266</v>
      </c>
      <c r="E134" s="5" t="s">
        <v>4268</v>
      </c>
      <c r="F134" s="5" t="s">
        <v>4533</v>
      </c>
      <c r="G134" s="5" t="s">
        <v>4270</v>
      </c>
      <c r="H134" s="5" t="s">
        <v>4271</v>
      </c>
    </row>
    <row r="135" spans="1:8" ht="85" customHeight="1">
      <c r="A135" s="5" t="s">
        <v>4534</v>
      </c>
      <c r="B135" s="5" t="s">
        <v>4266</v>
      </c>
      <c r="C135" s="5" t="s">
        <v>4267</v>
      </c>
      <c r="D135" s="5" t="s">
        <v>3266</v>
      </c>
      <c r="E135" s="5" t="s">
        <v>4268</v>
      </c>
      <c r="F135" s="5" t="s">
        <v>4535</v>
      </c>
      <c r="G135" s="5" t="s">
        <v>4270</v>
      </c>
      <c r="H135" s="5" t="s">
        <v>4271</v>
      </c>
    </row>
    <row r="136" spans="1:8" ht="85" customHeight="1">
      <c r="A136" s="5" t="s">
        <v>4536</v>
      </c>
      <c r="B136" s="5" t="s">
        <v>4266</v>
      </c>
      <c r="C136" s="5" t="s">
        <v>4267</v>
      </c>
      <c r="D136" s="5" t="s">
        <v>3266</v>
      </c>
      <c r="E136" s="5" t="s">
        <v>4268</v>
      </c>
      <c r="F136" s="5" t="s">
        <v>4537</v>
      </c>
      <c r="G136" s="5" t="s">
        <v>4270</v>
      </c>
      <c r="H136" s="5" t="s">
        <v>4271</v>
      </c>
    </row>
    <row r="137" spans="1:8" ht="85" customHeight="1">
      <c r="A137" s="5" t="s">
        <v>4538</v>
      </c>
      <c r="B137" s="5" t="s">
        <v>4266</v>
      </c>
      <c r="C137" s="5" t="s">
        <v>4267</v>
      </c>
      <c r="D137" s="5" t="s">
        <v>3266</v>
      </c>
      <c r="E137" s="5" t="s">
        <v>4268</v>
      </c>
      <c r="F137" s="5" t="s">
        <v>4539</v>
      </c>
      <c r="G137" s="5" t="s">
        <v>4270</v>
      </c>
      <c r="H137" s="5" t="s">
        <v>4271</v>
      </c>
    </row>
    <row r="138" spans="1:8" ht="85" customHeight="1">
      <c r="A138" s="5" t="s">
        <v>4540</v>
      </c>
      <c r="B138" s="5" t="s">
        <v>4266</v>
      </c>
      <c r="C138" s="5" t="s">
        <v>4267</v>
      </c>
      <c r="D138" s="5" t="s">
        <v>3266</v>
      </c>
      <c r="E138" s="5" t="s">
        <v>4268</v>
      </c>
      <c r="F138" s="5" t="s">
        <v>4541</v>
      </c>
      <c r="G138" s="5" t="s">
        <v>4270</v>
      </c>
      <c r="H138" s="5" t="s">
        <v>4271</v>
      </c>
    </row>
    <row r="139" spans="1:8" ht="85" customHeight="1">
      <c r="A139" s="5" t="s">
        <v>4542</v>
      </c>
      <c r="B139" s="5" t="s">
        <v>4266</v>
      </c>
      <c r="C139" s="5" t="s">
        <v>4267</v>
      </c>
      <c r="D139" s="5" t="s">
        <v>3266</v>
      </c>
      <c r="E139" s="5" t="s">
        <v>4268</v>
      </c>
      <c r="F139" s="5" t="s">
        <v>4543</v>
      </c>
      <c r="G139" s="5" t="s">
        <v>4270</v>
      </c>
      <c r="H139" s="5" t="s">
        <v>4271</v>
      </c>
    </row>
    <row r="140" spans="1:8" ht="85" customHeight="1">
      <c r="A140" s="5" t="s">
        <v>4544</v>
      </c>
      <c r="B140" s="5" t="s">
        <v>4266</v>
      </c>
      <c r="C140" s="5" t="s">
        <v>4267</v>
      </c>
      <c r="D140" s="5" t="s">
        <v>3266</v>
      </c>
      <c r="E140" s="5" t="s">
        <v>4268</v>
      </c>
      <c r="F140" s="5" t="s">
        <v>4545</v>
      </c>
      <c r="G140" s="5" t="s">
        <v>4270</v>
      </c>
      <c r="H140" s="5" t="s">
        <v>4271</v>
      </c>
    </row>
    <row r="141" spans="1:8" ht="85" customHeight="1">
      <c r="A141" s="5" t="s">
        <v>4546</v>
      </c>
      <c r="B141" s="5" t="s">
        <v>4266</v>
      </c>
      <c r="C141" s="5" t="s">
        <v>4267</v>
      </c>
      <c r="D141" s="5" t="s">
        <v>3266</v>
      </c>
      <c r="E141" s="5" t="s">
        <v>4268</v>
      </c>
      <c r="F141" s="5" t="s">
        <v>4547</v>
      </c>
      <c r="G141" s="5" t="s">
        <v>4270</v>
      </c>
      <c r="H141" s="5" t="s">
        <v>4271</v>
      </c>
    </row>
    <row r="142" spans="1:8" ht="85" customHeight="1">
      <c r="A142" s="5" t="s">
        <v>4548</v>
      </c>
      <c r="B142" s="5" t="s">
        <v>4266</v>
      </c>
      <c r="C142" s="5" t="s">
        <v>4267</v>
      </c>
      <c r="D142" s="5" t="s">
        <v>3266</v>
      </c>
      <c r="E142" s="5" t="s">
        <v>4268</v>
      </c>
      <c r="F142" s="5" t="s">
        <v>4549</v>
      </c>
      <c r="G142" s="5" t="s">
        <v>4270</v>
      </c>
      <c r="H142" s="5" t="s">
        <v>4271</v>
      </c>
    </row>
    <row r="143" spans="1:8" ht="85" customHeight="1">
      <c r="A143" s="5" t="s">
        <v>4550</v>
      </c>
      <c r="B143" s="5" t="s">
        <v>4266</v>
      </c>
      <c r="C143" s="5" t="s">
        <v>4267</v>
      </c>
      <c r="D143" s="5" t="s">
        <v>3266</v>
      </c>
      <c r="E143" s="5" t="s">
        <v>4268</v>
      </c>
      <c r="F143" s="5" t="s">
        <v>4551</v>
      </c>
      <c r="G143" s="5" t="s">
        <v>4270</v>
      </c>
      <c r="H143" s="5" t="s">
        <v>4271</v>
      </c>
    </row>
    <row r="144" spans="1:8" ht="85" customHeight="1">
      <c r="A144" s="5" t="s">
        <v>4552</v>
      </c>
      <c r="B144" s="5" t="s">
        <v>4266</v>
      </c>
      <c r="C144" s="5" t="s">
        <v>4267</v>
      </c>
      <c r="D144" s="5" t="s">
        <v>3266</v>
      </c>
      <c r="E144" s="5" t="s">
        <v>4268</v>
      </c>
      <c r="F144" s="5" t="s">
        <v>4553</v>
      </c>
      <c r="G144" s="5" t="s">
        <v>4270</v>
      </c>
      <c r="H144" s="5" t="s">
        <v>4271</v>
      </c>
    </row>
    <row r="145" spans="1:8" ht="85" customHeight="1">
      <c r="A145" s="5" t="s">
        <v>4554</v>
      </c>
      <c r="B145" s="5" t="s">
        <v>4266</v>
      </c>
      <c r="C145" s="5" t="s">
        <v>4267</v>
      </c>
      <c r="D145" s="5" t="s">
        <v>3266</v>
      </c>
      <c r="E145" s="5" t="s">
        <v>4268</v>
      </c>
      <c r="F145" s="5" t="s">
        <v>4555</v>
      </c>
      <c r="G145" s="5" t="s">
        <v>4270</v>
      </c>
      <c r="H145" s="5" t="s">
        <v>4271</v>
      </c>
    </row>
    <row r="146" spans="1:8" ht="85" customHeight="1">
      <c r="A146" s="5" t="s">
        <v>4556</v>
      </c>
      <c r="B146" s="5" t="s">
        <v>4266</v>
      </c>
      <c r="C146" s="5" t="s">
        <v>4267</v>
      </c>
      <c r="D146" s="5" t="s">
        <v>3266</v>
      </c>
      <c r="E146" s="5" t="s">
        <v>4268</v>
      </c>
      <c r="F146" s="5" t="s">
        <v>4557</v>
      </c>
      <c r="G146" s="5" t="s">
        <v>4270</v>
      </c>
      <c r="H146" s="5" t="s">
        <v>4271</v>
      </c>
    </row>
    <row r="147" spans="1:8" ht="85" customHeight="1">
      <c r="A147" s="5" t="s">
        <v>4558</v>
      </c>
      <c r="B147" s="5" t="s">
        <v>4266</v>
      </c>
      <c r="C147" s="5" t="s">
        <v>4267</v>
      </c>
      <c r="D147" s="5" t="s">
        <v>3266</v>
      </c>
      <c r="E147" s="5" t="s">
        <v>4268</v>
      </c>
      <c r="F147" s="5" t="s">
        <v>4559</v>
      </c>
      <c r="G147" s="5" t="s">
        <v>4270</v>
      </c>
      <c r="H147" s="5" t="s">
        <v>4271</v>
      </c>
    </row>
    <row r="148" spans="1:8" ht="85" customHeight="1">
      <c r="A148" s="5" t="s">
        <v>4560</v>
      </c>
      <c r="B148" s="5" t="s">
        <v>4266</v>
      </c>
      <c r="C148" s="5" t="s">
        <v>4267</v>
      </c>
      <c r="D148" s="5" t="s">
        <v>3266</v>
      </c>
      <c r="E148" s="5" t="s">
        <v>4268</v>
      </c>
      <c r="F148" s="5" t="s">
        <v>4561</v>
      </c>
      <c r="G148" s="5" t="s">
        <v>4270</v>
      </c>
      <c r="H148" s="5" t="s">
        <v>4271</v>
      </c>
    </row>
    <row r="149" spans="1:8" ht="85" customHeight="1">
      <c r="A149" s="5" t="s">
        <v>4562</v>
      </c>
      <c r="B149" s="5" t="s">
        <v>4266</v>
      </c>
      <c r="C149" s="5" t="s">
        <v>4267</v>
      </c>
      <c r="D149" s="5" t="s">
        <v>3266</v>
      </c>
      <c r="E149" s="5" t="s">
        <v>4268</v>
      </c>
      <c r="F149" s="5" t="s">
        <v>4563</v>
      </c>
      <c r="G149" s="5" t="s">
        <v>4270</v>
      </c>
      <c r="H149" s="5" t="s">
        <v>4271</v>
      </c>
    </row>
    <row r="150" spans="1:8" ht="85" customHeight="1">
      <c r="A150" s="5" t="s">
        <v>4564</v>
      </c>
      <c r="B150" s="5" t="s">
        <v>4266</v>
      </c>
      <c r="C150" s="5" t="s">
        <v>4267</v>
      </c>
      <c r="D150" s="5" t="s">
        <v>3266</v>
      </c>
      <c r="E150" s="5" t="s">
        <v>4268</v>
      </c>
      <c r="F150" s="5" t="s">
        <v>4565</v>
      </c>
      <c r="G150" s="5" t="s">
        <v>4270</v>
      </c>
      <c r="H150" s="5" t="s">
        <v>4271</v>
      </c>
    </row>
    <row r="151" spans="1:8" ht="85" customHeight="1">
      <c r="A151" s="5" t="s">
        <v>4566</v>
      </c>
      <c r="B151" s="5" t="s">
        <v>4266</v>
      </c>
      <c r="C151" s="5" t="s">
        <v>4311</v>
      </c>
      <c r="D151" s="5" t="s">
        <v>4312</v>
      </c>
      <c r="E151" s="5" t="s">
        <v>4313</v>
      </c>
      <c r="F151" s="5" t="s">
        <v>4567</v>
      </c>
      <c r="G151" s="5" t="s">
        <v>4315</v>
      </c>
      <c r="H151" s="5" t="s">
        <v>4271</v>
      </c>
    </row>
    <row r="152" spans="1:8" ht="85" customHeight="1">
      <c r="A152" s="5" t="s">
        <v>4568</v>
      </c>
      <c r="B152" s="5" t="s">
        <v>4266</v>
      </c>
      <c r="C152" s="5" t="s">
        <v>4267</v>
      </c>
      <c r="D152" s="5" t="s">
        <v>3266</v>
      </c>
      <c r="E152" s="5" t="s">
        <v>4268</v>
      </c>
      <c r="F152" s="5" t="s">
        <v>4569</v>
      </c>
      <c r="G152" s="5" t="s">
        <v>4270</v>
      </c>
      <c r="H152" s="5" t="s">
        <v>4271</v>
      </c>
    </row>
    <row r="153" spans="1:8" ht="85" customHeight="1">
      <c r="A153" s="5" t="s">
        <v>4570</v>
      </c>
      <c r="B153" s="5" t="s">
        <v>4266</v>
      </c>
      <c r="C153" s="5" t="s">
        <v>4267</v>
      </c>
      <c r="D153" s="5" t="s">
        <v>3266</v>
      </c>
      <c r="E153" s="5" t="s">
        <v>4268</v>
      </c>
      <c r="F153" s="5" t="s">
        <v>4571</v>
      </c>
      <c r="G153" s="5" t="s">
        <v>4270</v>
      </c>
      <c r="H153" s="5" t="s">
        <v>4271</v>
      </c>
    </row>
    <row r="154" spans="1:8" ht="85" customHeight="1">
      <c r="A154" s="5" t="s">
        <v>4572</v>
      </c>
      <c r="B154" s="5" t="s">
        <v>4266</v>
      </c>
      <c r="C154" s="5" t="s">
        <v>4267</v>
      </c>
      <c r="D154" s="5" t="s">
        <v>3266</v>
      </c>
      <c r="E154" s="5" t="s">
        <v>4268</v>
      </c>
      <c r="F154" s="5" t="s">
        <v>4573</v>
      </c>
      <c r="G154" s="5" t="s">
        <v>4270</v>
      </c>
      <c r="H154" s="5" t="s">
        <v>4271</v>
      </c>
    </row>
    <row r="155" spans="1:8" ht="85" customHeight="1">
      <c r="A155" s="5" t="s">
        <v>4574</v>
      </c>
      <c r="B155" s="5" t="s">
        <v>4266</v>
      </c>
      <c r="C155" s="5" t="s">
        <v>4267</v>
      </c>
      <c r="D155" s="5" t="s">
        <v>3266</v>
      </c>
      <c r="E155" s="5" t="s">
        <v>4268</v>
      </c>
      <c r="F155" s="5" t="s">
        <v>4575</v>
      </c>
      <c r="G155" s="5" t="s">
        <v>4270</v>
      </c>
      <c r="H155" s="5" t="s">
        <v>4271</v>
      </c>
    </row>
    <row r="156" spans="1:8" ht="85" customHeight="1">
      <c r="A156" s="5" t="s">
        <v>4576</v>
      </c>
      <c r="B156" s="5" t="s">
        <v>4266</v>
      </c>
      <c r="C156" s="5" t="s">
        <v>4267</v>
      </c>
      <c r="D156" s="5" t="s">
        <v>3266</v>
      </c>
      <c r="E156" s="5" t="s">
        <v>4268</v>
      </c>
      <c r="F156" s="5" t="s">
        <v>4577</v>
      </c>
      <c r="G156" s="5" t="s">
        <v>4270</v>
      </c>
      <c r="H156" s="5" t="s">
        <v>4271</v>
      </c>
    </row>
    <row r="157" spans="1:8" ht="85" customHeight="1">
      <c r="A157" s="5" t="s">
        <v>4578</v>
      </c>
      <c r="B157" s="5" t="s">
        <v>4266</v>
      </c>
      <c r="C157" s="5" t="s">
        <v>4267</v>
      </c>
      <c r="D157" s="5" t="s">
        <v>3266</v>
      </c>
      <c r="E157" s="5" t="s">
        <v>4268</v>
      </c>
      <c r="F157" s="5" t="s">
        <v>4579</v>
      </c>
      <c r="G157" s="5" t="s">
        <v>4270</v>
      </c>
      <c r="H157" s="5" t="s">
        <v>4271</v>
      </c>
    </row>
    <row r="158" spans="1:8" ht="85" customHeight="1">
      <c r="A158" s="5" t="s">
        <v>4580</v>
      </c>
      <c r="B158" s="5" t="s">
        <v>4266</v>
      </c>
      <c r="C158" s="5" t="s">
        <v>4267</v>
      </c>
      <c r="D158" s="5" t="s">
        <v>3266</v>
      </c>
      <c r="E158" s="5" t="s">
        <v>4268</v>
      </c>
      <c r="F158" s="5" t="s">
        <v>4581</v>
      </c>
      <c r="G158" s="5" t="s">
        <v>4270</v>
      </c>
      <c r="H158" s="5" t="s">
        <v>4271</v>
      </c>
    </row>
    <row r="159" spans="1:8" ht="85" customHeight="1">
      <c r="A159" s="5" t="s">
        <v>4582</v>
      </c>
      <c r="B159" s="5" t="s">
        <v>4266</v>
      </c>
      <c r="C159" s="5" t="s">
        <v>4267</v>
      </c>
      <c r="D159" s="5" t="s">
        <v>3266</v>
      </c>
      <c r="E159" s="5" t="s">
        <v>4268</v>
      </c>
      <c r="F159" s="5" t="s">
        <v>4583</v>
      </c>
      <c r="G159" s="5" t="s">
        <v>4270</v>
      </c>
      <c r="H159" s="5" t="s">
        <v>4271</v>
      </c>
    </row>
    <row r="160" spans="1:8" ht="85" customHeight="1">
      <c r="A160" s="5" t="s">
        <v>4584</v>
      </c>
      <c r="B160" s="5" t="s">
        <v>4266</v>
      </c>
      <c r="C160" s="5" t="s">
        <v>4267</v>
      </c>
      <c r="D160" s="5" t="s">
        <v>3266</v>
      </c>
      <c r="E160" s="5" t="s">
        <v>4268</v>
      </c>
      <c r="F160" s="5" t="s">
        <v>4585</v>
      </c>
      <c r="G160" s="5" t="s">
        <v>4270</v>
      </c>
      <c r="H160" s="5" t="s">
        <v>4271</v>
      </c>
    </row>
    <row r="161" spans="1:8" ht="85" customHeight="1">
      <c r="A161" s="5" t="s">
        <v>4586</v>
      </c>
      <c r="B161" s="5" t="s">
        <v>4266</v>
      </c>
      <c r="C161" s="5" t="s">
        <v>4267</v>
      </c>
      <c r="D161" s="5" t="s">
        <v>3266</v>
      </c>
      <c r="E161" s="5" t="s">
        <v>4268</v>
      </c>
      <c r="F161" s="5" t="s">
        <v>4587</v>
      </c>
      <c r="G161" s="5" t="s">
        <v>4270</v>
      </c>
      <c r="H161" s="5" t="s">
        <v>4271</v>
      </c>
    </row>
    <row r="162" spans="1:8" ht="85" customHeight="1">
      <c r="A162" s="5" t="s">
        <v>4588</v>
      </c>
      <c r="B162" s="5" t="s">
        <v>4266</v>
      </c>
      <c r="C162" s="5" t="s">
        <v>4267</v>
      </c>
      <c r="D162" s="5" t="s">
        <v>3266</v>
      </c>
      <c r="E162" s="5" t="s">
        <v>4268</v>
      </c>
      <c r="F162" s="5" t="s">
        <v>4589</v>
      </c>
      <c r="G162" s="5" t="s">
        <v>4270</v>
      </c>
      <c r="H162" s="5" t="s">
        <v>4271</v>
      </c>
    </row>
    <row r="163" spans="1:8" ht="85" customHeight="1">
      <c r="A163" s="5" t="s">
        <v>4590</v>
      </c>
      <c r="B163" s="5" t="s">
        <v>4266</v>
      </c>
      <c r="C163" s="5" t="s">
        <v>4267</v>
      </c>
      <c r="D163" s="5" t="s">
        <v>3266</v>
      </c>
      <c r="E163" s="5" t="s">
        <v>4268</v>
      </c>
      <c r="F163" s="5" t="s">
        <v>4591</v>
      </c>
      <c r="G163" s="5" t="s">
        <v>4270</v>
      </c>
      <c r="H163" s="5" t="s">
        <v>4271</v>
      </c>
    </row>
    <row r="164" spans="1:8" ht="85" customHeight="1">
      <c r="A164" s="5" t="s">
        <v>4592</v>
      </c>
      <c r="B164" s="5" t="s">
        <v>4266</v>
      </c>
      <c r="C164" s="5" t="s">
        <v>4267</v>
      </c>
      <c r="D164" s="5" t="s">
        <v>3266</v>
      </c>
      <c r="E164" s="5" t="s">
        <v>4268</v>
      </c>
      <c r="F164" s="5" t="s">
        <v>4593</v>
      </c>
      <c r="G164" s="5" t="s">
        <v>4270</v>
      </c>
      <c r="H164" s="5" t="s">
        <v>4271</v>
      </c>
    </row>
    <row r="165" spans="1:8" ht="85" customHeight="1">
      <c r="A165" s="5" t="s">
        <v>4594</v>
      </c>
      <c r="B165" s="5" t="s">
        <v>4266</v>
      </c>
      <c r="C165" s="5" t="s">
        <v>4267</v>
      </c>
      <c r="D165" s="5" t="s">
        <v>3266</v>
      </c>
      <c r="E165" s="5" t="s">
        <v>4268</v>
      </c>
      <c r="F165" s="5" t="s">
        <v>4595</v>
      </c>
      <c r="G165" s="5" t="s">
        <v>4270</v>
      </c>
      <c r="H165" s="5" t="s">
        <v>4271</v>
      </c>
    </row>
    <row r="166" spans="1:8" ht="85" customHeight="1">
      <c r="A166" s="5" t="s">
        <v>4596</v>
      </c>
      <c r="B166" s="5" t="s">
        <v>4266</v>
      </c>
      <c r="C166" s="5" t="s">
        <v>4267</v>
      </c>
      <c r="D166" s="5" t="s">
        <v>3266</v>
      </c>
      <c r="E166" s="5" t="s">
        <v>4268</v>
      </c>
      <c r="F166" s="5" t="s">
        <v>4597</v>
      </c>
      <c r="G166" s="5" t="s">
        <v>4270</v>
      </c>
      <c r="H166" s="5" t="s">
        <v>4271</v>
      </c>
    </row>
    <row r="167" spans="1:8" ht="85" customHeight="1">
      <c r="A167" s="5" t="s">
        <v>4598</v>
      </c>
      <c r="B167" s="5" t="s">
        <v>4266</v>
      </c>
      <c r="C167" s="5" t="s">
        <v>4267</v>
      </c>
      <c r="D167" s="5" t="s">
        <v>3266</v>
      </c>
      <c r="E167" s="5" t="s">
        <v>4268</v>
      </c>
      <c r="F167" s="5" t="s">
        <v>4599</v>
      </c>
      <c r="G167" s="5" t="s">
        <v>4270</v>
      </c>
      <c r="H167" s="5" t="s">
        <v>4271</v>
      </c>
    </row>
    <row r="168" spans="1:8" ht="85" customHeight="1">
      <c r="A168" s="5" t="s">
        <v>4600</v>
      </c>
      <c r="B168" s="5" t="s">
        <v>4266</v>
      </c>
      <c r="C168" s="5" t="s">
        <v>4267</v>
      </c>
      <c r="D168" s="5" t="s">
        <v>3266</v>
      </c>
      <c r="E168" s="5" t="s">
        <v>4268</v>
      </c>
      <c r="F168" s="5" t="s">
        <v>4601</v>
      </c>
      <c r="G168" s="5" t="s">
        <v>4270</v>
      </c>
      <c r="H168" s="5" t="s">
        <v>4271</v>
      </c>
    </row>
    <row r="169" spans="1:8" ht="85" customHeight="1">
      <c r="A169" s="5" t="s">
        <v>4602</v>
      </c>
      <c r="B169" s="5" t="s">
        <v>4266</v>
      </c>
      <c r="C169" s="5" t="s">
        <v>4267</v>
      </c>
      <c r="D169" s="5" t="s">
        <v>3266</v>
      </c>
      <c r="E169" s="5" t="s">
        <v>4268</v>
      </c>
      <c r="F169" s="5" t="s">
        <v>4603</v>
      </c>
      <c r="G169" s="5" t="s">
        <v>4270</v>
      </c>
      <c r="H169" s="5" t="s">
        <v>4271</v>
      </c>
    </row>
    <row r="170" spans="1:8" ht="85" customHeight="1">
      <c r="A170" s="5" t="s">
        <v>4604</v>
      </c>
      <c r="B170" s="5" t="s">
        <v>4266</v>
      </c>
      <c r="C170" s="5" t="s">
        <v>4267</v>
      </c>
      <c r="D170" s="5" t="s">
        <v>3266</v>
      </c>
      <c r="E170" s="5" t="s">
        <v>4268</v>
      </c>
      <c r="F170" s="5" t="s">
        <v>4605</v>
      </c>
      <c r="G170" s="5" t="s">
        <v>4270</v>
      </c>
      <c r="H170" s="5" t="s">
        <v>4271</v>
      </c>
    </row>
    <row r="171" spans="1:8" ht="85" customHeight="1">
      <c r="A171" s="5" t="s">
        <v>4606</v>
      </c>
      <c r="B171" s="5" t="s">
        <v>4266</v>
      </c>
      <c r="C171" s="5" t="s">
        <v>4267</v>
      </c>
      <c r="D171" s="5" t="s">
        <v>3266</v>
      </c>
      <c r="E171" s="5" t="s">
        <v>4268</v>
      </c>
      <c r="F171" s="5" t="s">
        <v>4607</v>
      </c>
      <c r="G171" s="5" t="s">
        <v>4270</v>
      </c>
      <c r="H171" s="5" t="s">
        <v>4271</v>
      </c>
    </row>
    <row r="172" spans="1:8" ht="85" customHeight="1">
      <c r="A172" s="5" t="s">
        <v>4608</v>
      </c>
      <c r="B172" s="5" t="s">
        <v>4266</v>
      </c>
      <c r="C172" s="5" t="s">
        <v>4311</v>
      </c>
      <c r="D172" s="5" t="s">
        <v>4312</v>
      </c>
      <c r="E172" s="5" t="s">
        <v>4313</v>
      </c>
      <c r="F172" s="5" t="s">
        <v>4609</v>
      </c>
      <c r="G172" s="5" t="s">
        <v>4315</v>
      </c>
      <c r="H172" s="5" t="s">
        <v>4271</v>
      </c>
    </row>
    <row r="173" spans="1:8" ht="85" customHeight="1">
      <c r="A173" s="5" t="s">
        <v>4610</v>
      </c>
      <c r="B173" s="5" t="s">
        <v>4266</v>
      </c>
      <c r="C173" s="5" t="s">
        <v>4267</v>
      </c>
      <c r="D173" s="5" t="s">
        <v>3266</v>
      </c>
      <c r="E173" s="5" t="s">
        <v>4268</v>
      </c>
      <c r="F173" s="5" t="s">
        <v>4611</v>
      </c>
      <c r="G173" s="5" t="s">
        <v>4270</v>
      </c>
      <c r="H173" s="5" t="s">
        <v>4271</v>
      </c>
    </row>
    <row r="174" spans="1:8" ht="85" customHeight="1">
      <c r="A174" s="5" t="s">
        <v>4612</v>
      </c>
      <c r="B174" s="5" t="s">
        <v>4266</v>
      </c>
      <c r="C174" s="5" t="s">
        <v>4267</v>
      </c>
      <c r="D174" s="5" t="s">
        <v>3266</v>
      </c>
      <c r="E174" s="5" t="s">
        <v>4268</v>
      </c>
      <c r="F174" s="5" t="s">
        <v>4613</v>
      </c>
      <c r="G174" s="5" t="s">
        <v>4270</v>
      </c>
      <c r="H174" s="5" t="s">
        <v>4271</v>
      </c>
    </row>
    <row r="175" spans="1:8" ht="85" customHeight="1">
      <c r="A175" s="5" t="s">
        <v>4614</v>
      </c>
      <c r="B175" s="5" t="s">
        <v>4266</v>
      </c>
      <c r="C175" s="5" t="s">
        <v>4267</v>
      </c>
      <c r="D175" s="5" t="s">
        <v>3266</v>
      </c>
      <c r="E175" s="5" t="s">
        <v>4268</v>
      </c>
      <c r="F175" s="5" t="s">
        <v>4615</v>
      </c>
      <c r="G175" s="5" t="s">
        <v>4270</v>
      </c>
      <c r="H175" s="5" t="s">
        <v>4271</v>
      </c>
    </row>
    <row r="176" spans="1:8" ht="85" customHeight="1">
      <c r="A176" s="5" t="s">
        <v>4616</v>
      </c>
      <c r="B176" s="5" t="s">
        <v>4266</v>
      </c>
      <c r="C176" s="5" t="s">
        <v>4267</v>
      </c>
      <c r="D176" s="5" t="s">
        <v>3266</v>
      </c>
      <c r="E176" s="5" t="s">
        <v>4268</v>
      </c>
      <c r="F176" s="5" t="s">
        <v>4617</v>
      </c>
      <c r="G176" s="5" t="s">
        <v>4270</v>
      </c>
      <c r="H176" s="5" t="s">
        <v>4271</v>
      </c>
    </row>
    <row r="177" spans="1:8" ht="85" customHeight="1">
      <c r="A177" s="5" t="s">
        <v>4618</v>
      </c>
      <c r="B177" s="5" t="s">
        <v>4266</v>
      </c>
      <c r="C177" s="5" t="s">
        <v>4267</v>
      </c>
      <c r="D177" s="5" t="s">
        <v>3266</v>
      </c>
      <c r="E177" s="5" t="s">
        <v>4268</v>
      </c>
      <c r="F177" s="5" t="s">
        <v>4619</v>
      </c>
      <c r="G177" s="5" t="s">
        <v>4270</v>
      </c>
      <c r="H177" s="5" t="s">
        <v>4271</v>
      </c>
    </row>
    <row r="178" spans="1:8" ht="85" customHeight="1">
      <c r="A178" s="5" t="s">
        <v>4620</v>
      </c>
      <c r="B178" s="5" t="s">
        <v>4266</v>
      </c>
      <c r="C178" s="5" t="s">
        <v>4267</v>
      </c>
      <c r="D178" s="5" t="s">
        <v>3266</v>
      </c>
      <c r="E178" s="5" t="s">
        <v>4268</v>
      </c>
      <c r="F178" s="5" t="s">
        <v>4621</v>
      </c>
      <c r="G178" s="5" t="s">
        <v>4270</v>
      </c>
      <c r="H178" s="5" t="s">
        <v>4271</v>
      </c>
    </row>
    <row r="179" spans="1:8" ht="85" customHeight="1">
      <c r="A179" s="5" t="s">
        <v>4622</v>
      </c>
      <c r="B179" s="5" t="s">
        <v>4266</v>
      </c>
      <c r="C179" s="5" t="s">
        <v>4267</v>
      </c>
      <c r="D179" s="5" t="s">
        <v>3266</v>
      </c>
      <c r="E179" s="5" t="s">
        <v>4268</v>
      </c>
      <c r="F179" s="5" t="s">
        <v>4623</v>
      </c>
      <c r="G179" s="5" t="s">
        <v>4270</v>
      </c>
      <c r="H179" s="5" t="s">
        <v>4271</v>
      </c>
    </row>
    <row r="180" spans="1:8" ht="85" customHeight="1">
      <c r="A180" s="5" t="s">
        <v>4624</v>
      </c>
      <c r="B180" s="5" t="s">
        <v>4266</v>
      </c>
      <c r="C180" s="5" t="s">
        <v>4267</v>
      </c>
      <c r="D180" s="5" t="s">
        <v>3266</v>
      </c>
      <c r="E180" s="5" t="s">
        <v>4268</v>
      </c>
      <c r="F180" s="5" t="s">
        <v>4625</v>
      </c>
      <c r="G180" s="5" t="s">
        <v>4270</v>
      </c>
      <c r="H180" s="5" t="s">
        <v>4271</v>
      </c>
    </row>
    <row r="181" spans="1:8" ht="85" customHeight="1">
      <c r="A181" s="5" t="s">
        <v>4626</v>
      </c>
      <c r="B181" s="5" t="s">
        <v>4266</v>
      </c>
      <c r="C181" s="5" t="s">
        <v>4267</v>
      </c>
      <c r="D181" s="5" t="s">
        <v>3266</v>
      </c>
      <c r="E181" s="5" t="s">
        <v>4268</v>
      </c>
      <c r="F181" s="5" t="s">
        <v>4627</v>
      </c>
      <c r="G181" s="5" t="s">
        <v>4270</v>
      </c>
      <c r="H181" s="5" t="s">
        <v>4271</v>
      </c>
    </row>
    <row r="182" spans="1:8" ht="85" customHeight="1">
      <c r="A182" s="5" t="s">
        <v>4628</v>
      </c>
      <c r="B182" s="5" t="s">
        <v>4266</v>
      </c>
      <c r="C182" s="5" t="s">
        <v>4267</v>
      </c>
      <c r="D182" s="5" t="s">
        <v>3266</v>
      </c>
      <c r="E182" s="5" t="s">
        <v>4268</v>
      </c>
      <c r="F182" s="5" t="s">
        <v>4629</v>
      </c>
      <c r="G182" s="5" t="s">
        <v>4270</v>
      </c>
      <c r="H182" s="5" t="s">
        <v>4271</v>
      </c>
    </row>
    <row r="183" spans="1:8" ht="85" customHeight="1">
      <c r="A183" s="5" t="s">
        <v>4630</v>
      </c>
      <c r="B183" s="5" t="s">
        <v>4266</v>
      </c>
      <c r="C183" s="5" t="s">
        <v>4267</v>
      </c>
      <c r="D183" s="5" t="s">
        <v>3266</v>
      </c>
      <c r="E183" s="5" t="s">
        <v>4268</v>
      </c>
      <c r="F183" s="5" t="s">
        <v>4631</v>
      </c>
      <c r="G183" s="5" t="s">
        <v>4270</v>
      </c>
      <c r="H183" s="5" t="s">
        <v>4271</v>
      </c>
    </row>
    <row r="184" spans="1:8" ht="85" customHeight="1">
      <c r="A184" s="5" t="s">
        <v>4632</v>
      </c>
      <c r="B184" s="5" t="s">
        <v>4266</v>
      </c>
      <c r="C184" s="5" t="s">
        <v>4267</v>
      </c>
      <c r="D184" s="5" t="s">
        <v>3266</v>
      </c>
      <c r="E184" s="5" t="s">
        <v>4268</v>
      </c>
      <c r="F184" s="5" t="s">
        <v>4633</v>
      </c>
      <c r="G184" s="5" t="s">
        <v>4270</v>
      </c>
      <c r="H184" s="5" t="s">
        <v>4271</v>
      </c>
    </row>
    <row r="185" spans="1:8" ht="85" customHeight="1">
      <c r="A185" s="5" t="s">
        <v>4634</v>
      </c>
      <c r="B185" s="5" t="s">
        <v>4266</v>
      </c>
      <c r="C185" s="5" t="s">
        <v>4267</v>
      </c>
      <c r="D185" s="5" t="s">
        <v>3266</v>
      </c>
      <c r="E185" s="5" t="s">
        <v>4268</v>
      </c>
      <c r="F185" s="5" t="s">
        <v>4635</v>
      </c>
      <c r="G185" s="5" t="s">
        <v>4270</v>
      </c>
      <c r="H185" s="5" t="s">
        <v>4271</v>
      </c>
    </row>
    <row r="186" spans="1:8" ht="85" customHeight="1">
      <c r="A186" s="5" t="s">
        <v>4636</v>
      </c>
      <c r="B186" s="5" t="s">
        <v>4266</v>
      </c>
      <c r="C186" s="5" t="s">
        <v>4267</v>
      </c>
      <c r="D186" s="5" t="s">
        <v>3266</v>
      </c>
      <c r="E186" s="5" t="s">
        <v>4268</v>
      </c>
      <c r="F186" s="5" t="s">
        <v>4637</v>
      </c>
      <c r="G186" s="5" t="s">
        <v>4270</v>
      </c>
      <c r="H186" s="5" t="s">
        <v>4271</v>
      </c>
    </row>
    <row r="187" spans="1:8" ht="85" customHeight="1">
      <c r="A187" s="5" t="s">
        <v>4638</v>
      </c>
      <c r="B187" s="5" t="s">
        <v>4266</v>
      </c>
      <c r="C187" s="5" t="s">
        <v>4267</v>
      </c>
      <c r="D187" s="5" t="s">
        <v>3266</v>
      </c>
      <c r="E187" s="5" t="s">
        <v>4268</v>
      </c>
      <c r="F187" s="5" t="s">
        <v>4639</v>
      </c>
      <c r="G187" s="5" t="s">
        <v>4270</v>
      </c>
      <c r="H187" s="5" t="s">
        <v>4271</v>
      </c>
    </row>
    <row r="188" spans="1:8" ht="85" customHeight="1">
      <c r="A188" s="5" t="s">
        <v>4640</v>
      </c>
      <c r="B188" s="5" t="s">
        <v>4266</v>
      </c>
      <c r="C188" s="5" t="s">
        <v>4267</v>
      </c>
      <c r="D188" s="5" t="s">
        <v>3266</v>
      </c>
      <c r="E188" s="5" t="s">
        <v>4268</v>
      </c>
      <c r="F188" s="5" t="s">
        <v>4641</v>
      </c>
      <c r="G188" s="5" t="s">
        <v>4270</v>
      </c>
      <c r="H188" s="5" t="s">
        <v>4271</v>
      </c>
    </row>
    <row r="189" spans="1:8" ht="85" customHeight="1">
      <c r="A189" s="5" t="s">
        <v>4642</v>
      </c>
      <c r="B189" s="5" t="s">
        <v>4266</v>
      </c>
      <c r="C189" s="5" t="s">
        <v>4267</v>
      </c>
      <c r="D189" s="5" t="s">
        <v>3266</v>
      </c>
      <c r="E189" s="5" t="s">
        <v>4268</v>
      </c>
      <c r="F189" s="5" t="s">
        <v>4643</v>
      </c>
      <c r="G189" s="5" t="s">
        <v>4270</v>
      </c>
      <c r="H189" s="5" t="s">
        <v>4271</v>
      </c>
    </row>
    <row r="190" spans="1:8" ht="85" customHeight="1">
      <c r="A190" s="5" t="s">
        <v>4644</v>
      </c>
      <c r="B190" s="5" t="s">
        <v>4266</v>
      </c>
      <c r="C190" s="5" t="s">
        <v>4267</v>
      </c>
      <c r="D190" s="5" t="s">
        <v>3266</v>
      </c>
      <c r="E190" s="5" t="s">
        <v>4268</v>
      </c>
      <c r="F190" s="5" t="s">
        <v>4645</v>
      </c>
      <c r="G190" s="5" t="s">
        <v>4270</v>
      </c>
      <c r="H190" s="5" t="s">
        <v>4271</v>
      </c>
    </row>
    <row r="191" spans="1:8" ht="85" customHeight="1">
      <c r="A191" s="5" t="s">
        <v>4646</v>
      </c>
      <c r="B191" s="5" t="s">
        <v>4266</v>
      </c>
      <c r="C191" s="5" t="s">
        <v>4267</v>
      </c>
      <c r="D191" s="5" t="s">
        <v>3266</v>
      </c>
      <c r="E191" s="5" t="s">
        <v>4268</v>
      </c>
      <c r="F191" s="5" t="s">
        <v>4647</v>
      </c>
      <c r="G191" s="5" t="s">
        <v>4270</v>
      </c>
      <c r="H191" s="5" t="s">
        <v>4271</v>
      </c>
    </row>
    <row r="192" spans="1:8" ht="85" customHeight="1">
      <c r="A192" s="5" t="s">
        <v>4648</v>
      </c>
      <c r="B192" s="5" t="s">
        <v>4266</v>
      </c>
      <c r="C192" s="5" t="s">
        <v>4267</v>
      </c>
      <c r="D192" s="5" t="s">
        <v>3266</v>
      </c>
      <c r="E192" s="5" t="s">
        <v>4268</v>
      </c>
      <c r="F192" s="5" t="s">
        <v>4649</v>
      </c>
      <c r="G192" s="5" t="s">
        <v>4270</v>
      </c>
      <c r="H192" s="5" t="s">
        <v>4271</v>
      </c>
    </row>
    <row r="193" spans="1:8" ht="85" customHeight="1">
      <c r="A193" s="5" t="s">
        <v>4650</v>
      </c>
      <c r="B193" s="5" t="s">
        <v>4266</v>
      </c>
      <c r="C193" s="5" t="s">
        <v>4311</v>
      </c>
      <c r="D193" s="5" t="s">
        <v>4312</v>
      </c>
      <c r="E193" s="5" t="s">
        <v>4313</v>
      </c>
      <c r="F193" s="5" t="s">
        <v>4651</v>
      </c>
      <c r="G193" s="5" t="s">
        <v>4315</v>
      </c>
      <c r="H193" s="5" t="s">
        <v>4271</v>
      </c>
    </row>
    <row r="194" spans="1:8" ht="85" customHeight="1">
      <c r="A194" s="5" t="s">
        <v>4652</v>
      </c>
      <c r="B194" s="5" t="s">
        <v>4266</v>
      </c>
      <c r="C194" s="5" t="s">
        <v>4267</v>
      </c>
      <c r="D194" s="5" t="s">
        <v>3266</v>
      </c>
      <c r="E194" s="5" t="s">
        <v>4268</v>
      </c>
      <c r="F194" s="5" t="s">
        <v>4653</v>
      </c>
      <c r="G194" s="5" t="s">
        <v>4270</v>
      </c>
      <c r="H194" s="5" t="s">
        <v>4271</v>
      </c>
    </row>
    <row r="195" spans="1:8" ht="85" customHeight="1">
      <c r="A195" s="5" t="s">
        <v>4654</v>
      </c>
      <c r="B195" s="5" t="s">
        <v>4266</v>
      </c>
      <c r="C195" s="5" t="s">
        <v>4267</v>
      </c>
      <c r="D195" s="5" t="s">
        <v>3266</v>
      </c>
      <c r="E195" s="5" t="s">
        <v>4268</v>
      </c>
      <c r="F195" s="5" t="s">
        <v>4655</v>
      </c>
      <c r="G195" s="5" t="s">
        <v>4270</v>
      </c>
      <c r="H195" s="5" t="s">
        <v>4271</v>
      </c>
    </row>
    <row r="196" spans="1:8" ht="85" customHeight="1">
      <c r="A196" s="5" t="s">
        <v>4656</v>
      </c>
      <c r="B196" s="5" t="s">
        <v>4266</v>
      </c>
      <c r="C196" s="5" t="s">
        <v>4267</v>
      </c>
      <c r="D196" s="5" t="s">
        <v>3266</v>
      </c>
      <c r="E196" s="5" t="s">
        <v>4268</v>
      </c>
      <c r="F196" s="5" t="s">
        <v>4657</v>
      </c>
      <c r="G196" s="5" t="s">
        <v>4270</v>
      </c>
      <c r="H196" s="5" t="s">
        <v>4271</v>
      </c>
    </row>
    <row r="197" spans="1:8" ht="85" customHeight="1">
      <c r="A197" s="5" t="s">
        <v>4658</v>
      </c>
      <c r="B197" s="5" t="s">
        <v>4266</v>
      </c>
      <c r="C197" s="5" t="s">
        <v>4267</v>
      </c>
      <c r="D197" s="5" t="s">
        <v>3266</v>
      </c>
      <c r="E197" s="5" t="s">
        <v>4268</v>
      </c>
      <c r="F197" s="5" t="s">
        <v>4659</v>
      </c>
      <c r="G197" s="5" t="s">
        <v>4270</v>
      </c>
      <c r="H197" s="5" t="s">
        <v>4271</v>
      </c>
    </row>
    <row r="198" spans="1:8" ht="85" customHeight="1">
      <c r="A198" s="5" t="s">
        <v>4660</v>
      </c>
      <c r="B198" s="5" t="s">
        <v>4266</v>
      </c>
      <c r="C198" s="5" t="s">
        <v>4267</v>
      </c>
      <c r="D198" s="5" t="s">
        <v>3266</v>
      </c>
      <c r="E198" s="5" t="s">
        <v>4268</v>
      </c>
      <c r="F198" s="5" t="s">
        <v>4661</v>
      </c>
      <c r="G198" s="5" t="s">
        <v>4270</v>
      </c>
      <c r="H198" s="5" t="s">
        <v>4271</v>
      </c>
    </row>
    <row r="199" spans="1:8" ht="85" customHeight="1">
      <c r="A199" s="5" t="s">
        <v>4662</v>
      </c>
      <c r="B199" s="5" t="s">
        <v>4266</v>
      </c>
      <c r="C199" s="5" t="s">
        <v>4267</v>
      </c>
      <c r="D199" s="5" t="s">
        <v>3266</v>
      </c>
      <c r="E199" s="5" t="s">
        <v>4268</v>
      </c>
      <c r="F199" s="5" t="s">
        <v>4663</v>
      </c>
      <c r="G199" s="5" t="s">
        <v>4270</v>
      </c>
      <c r="H199" s="5" t="s">
        <v>4271</v>
      </c>
    </row>
    <row r="200" spans="1:8" ht="85" customHeight="1">
      <c r="A200" s="5" t="s">
        <v>4664</v>
      </c>
      <c r="B200" s="5" t="s">
        <v>4266</v>
      </c>
      <c r="C200" s="5" t="s">
        <v>4267</v>
      </c>
      <c r="D200" s="5" t="s">
        <v>3266</v>
      </c>
      <c r="E200" s="5" t="s">
        <v>4268</v>
      </c>
      <c r="F200" s="5" t="s">
        <v>4665</v>
      </c>
      <c r="G200" s="5" t="s">
        <v>4270</v>
      </c>
      <c r="H200" s="5" t="s">
        <v>4271</v>
      </c>
    </row>
    <row r="201" spans="1:8" ht="85" customHeight="1">
      <c r="A201" s="5" t="s">
        <v>4666</v>
      </c>
      <c r="B201" s="5" t="s">
        <v>4266</v>
      </c>
      <c r="C201" s="5" t="s">
        <v>4267</v>
      </c>
      <c r="D201" s="5" t="s">
        <v>3266</v>
      </c>
      <c r="E201" s="5" t="s">
        <v>4268</v>
      </c>
      <c r="F201" s="5" t="s">
        <v>4667</v>
      </c>
      <c r="G201" s="5" t="s">
        <v>4270</v>
      </c>
      <c r="H201" s="5" t="s">
        <v>4271</v>
      </c>
    </row>
    <row r="202" spans="1:8" ht="85" customHeight="1">
      <c r="A202" s="5" t="s">
        <v>4668</v>
      </c>
      <c r="B202" s="5" t="s">
        <v>4266</v>
      </c>
      <c r="C202" s="5" t="s">
        <v>4267</v>
      </c>
      <c r="D202" s="5" t="s">
        <v>3266</v>
      </c>
      <c r="E202" s="5" t="s">
        <v>4268</v>
      </c>
      <c r="F202" s="5" t="s">
        <v>4669</v>
      </c>
      <c r="G202" s="5" t="s">
        <v>4270</v>
      </c>
      <c r="H202" s="5" t="s">
        <v>4271</v>
      </c>
    </row>
    <row r="203" spans="1:8" ht="85" customHeight="1">
      <c r="A203" s="5" t="s">
        <v>4670</v>
      </c>
      <c r="B203" s="5" t="s">
        <v>4266</v>
      </c>
      <c r="C203" s="5" t="s">
        <v>4267</v>
      </c>
      <c r="D203" s="5" t="s">
        <v>3266</v>
      </c>
      <c r="E203" s="5" t="s">
        <v>4268</v>
      </c>
      <c r="F203" s="5" t="s">
        <v>4671</v>
      </c>
      <c r="G203" s="5" t="s">
        <v>4270</v>
      </c>
      <c r="H203" s="5" t="s">
        <v>4271</v>
      </c>
    </row>
    <row r="204" spans="1:8" ht="85" customHeight="1">
      <c r="A204" s="5" t="s">
        <v>4672</v>
      </c>
      <c r="B204" s="5" t="s">
        <v>4266</v>
      </c>
      <c r="C204" s="5" t="s">
        <v>4267</v>
      </c>
      <c r="D204" s="5" t="s">
        <v>3266</v>
      </c>
      <c r="E204" s="5" t="s">
        <v>4268</v>
      </c>
      <c r="F204" s="5" t="s">
        <v>4673</v>
      </c>
      <c r="G204" s="5" t="s">
        <v>4270</v>
      </c>
      <c r="H204" s="5" t="s">
        <v>4271</v>
      </c>
    </row>
    <row r="205" spans="1:8" ht="85" customHeight="1">
      <c r="A205" s="5" t="s">
        <v>4674</v>
      </c>
      <c r="B205" s="5" t="s">
        <v>4266</v>
      </c>
      <c r="C205" s="5" t="s">
        <v>4267</v>
      </c>
      <c r="D205" s="5" t="s">
        <v>3266</v>
      </c>
      <c r="E205" s="5" t="s">
        <v>4268</v>
      </c>
      <c r="F205" s="5" t="s">
        <v>4675</v>
      </c>
      <c r="G205" s="5" t="s">
        <v>4270</v>
      </c>
      <c r="H205" s="5" t="s">
        <v>4271</v>
      </c>
    </row>
    <row r="206" spans="1:8" ht="85" customHeight="1">
      <c r="A206" s="5" t="s">
        <v>4676</v>
      </c>
      <c r="B206" s="5" t="s">
        <v>4266</v>
      </c>
      <c r="C206" s="5" t="s">
        <v>4267</v>
      </c>
      <c r="D206" s="5" t="s">
        <v>3266</v>
      </c>
      <c r="E206" s="5" t="s">
        <v>4268</v>
      </c>
      <c r="F206" s="5" t="s">
        <v>4677</v>
      </c>
      <c r="G206" s="5" t="s">
        <v>4270</v>
      </c>
      <c r="H206" s="5" t="s">
        <v>4271</v>
      </c>
    </row>
    <row r="207" spans="1:8" ht="85" customHeight="1">
      <c r="A207" s="5" t="s">
        <v>4678</v>
      </c>
      <c r="B207" s="5" t="s">
        <v>4266</v>
      </c>
      <c r="C207" s="5" t="s">
        <v>4267</v>
      </c>
      <c r="D207" s="5" t="s">
        <v>3266</v>
      </c>
      <c r="E207" s="5" t="s">
        <v>4268</v>
      </c>
      <c r="F207" s="5" t="s">
        <v>4679</v>
      </c>
      <c r="G207" s="5" t="s">
        <v>4270</v>
      </c>
      <c r="H207" s="5" t="s">
        <v>4271</v>
      </c>
    </row>
    <row r="208" spans="1:8" ht="85" customHeight="1">
      <c r="A208" s="5" t="s">
        <v>4680</v>
      </c>
      <c r="B208" s="5" t="s">
        <v>4266</v>
      </c>
      <c r="C208" s="5" t="s">
        <v>4267</v>
      </c>
      <c r="D208" s="5" t="s">
        <v>3266</v>
      </c>
      <c r="E208" s="5" t="s">
        <v>4268</v>
      </c>
      <c r="F208" s="5" t="s">
        <v>4681</v>
      </c>
      <c r="G208" s="5" t="s">
        <v>4270</v>
      </c>
      <c r="H208" s="5" t="s">
        <v>4271</v>
      </c>
    </row>
    <row r="209" spans="1:8" ht="85" customHeight="1">
      <c r="A209" s="5" t="s">
        <v>4682</v>
      </c>
      <c r="B209" s="5" t="s">
        <v>4266</v>
      </c>
      <c r="C209" s="5" t="s">
        <v>4267</v>
      </c>
      <c r="D209" s="5" t="s">
        <v>3266</v>
      </c>
      <c r="E209" s="5" t="s">
        <v>4268</v>
      </c>
      <c r="F209" s="5" t="s">
        <v>4683</v>
      </c>
      <c r="G209" s="5" t="s">
        <v>4270</v>
      </c>
      <c r="H209" s="5" t="s">
        <v>4271</v>
      </c>
    </row>
    <row r="210" spans="1:8" ht="85" customHeight="1">
      <c r="A210" s="5" t="s">
        <v>4684</v>
      </c>
      <c r="B210" s="5" t="s">
        <v>4266</v>
      </c>
      <c r="C210" s="5" t="s">
        <v>4267</v>
      </c>
      <c r="D210" s="5" t="s">
        <v>3266</v>
      </c>
      <c r="E210" s="5" t="s">
        <v>4268</v>
      </c>
      <c r="F210" s="5" t="s">
        <v>4685</v>
      </c>
      <c r="G210" s="5" t="s">
        <v>4270</v>
      </c>
      <c r="H210" s="5" t="s">
        <v>4271</v>
      </c>
    </row>
    <row r="211" spans="1:8" ht="85" customHeight="1">
      <c r="A211" s="5" t="s">
        <v>4686</v>
      </c>
      <c r="B211" s="5" t="s">
        <v>4266</v>
      </c>
      <c r="C211" s="5" t="s">
        <v>4267</v>
      </c>
      <c r="D211" s="5" t="s">
        <v>3266</v>
      </c>
      <c r="E211" s="5" t="s">
        <v>4268</v>
      </c>
      <c r="F211" s="5" t="s">
        <v>4687</v>
      </c>
      <c r="G211" s="5" t="s">
        <v>4270</v>
      </c>
      <c r="H211" s="5" t="s">
        <v>4271</v>
      </c>
    </row>
    <row r="212" spans="1:8" ht="85" customHeight="1">
      <c r="A212" s="5" t="s">
        <v>4688</v>
      </c>
      <c r="B212" s="5" t="s">
        <v>4266</v>
      </c>
      <c r="C212" s="5" t="s">
        <v>4267</v>
      </c>
      <c r="D212" s="5" t="s">
        <v>3266</v>
      </c>
      <c r="E212" s="5" t="s">
        <v>4268</v>
      </c>
      <c r="F212" s="5" t="s">
        <v>4689</v>
      </c>
      <c r="G212" s="5" t="s">
        <v>4270</v>
      </c>
      <c r="H212" s="5" t="s">
        <v>4271</v>
      </c>
    </row>
    <row r="213" spans="1:8" ht="85" customHeight="1">
      <c r="A213" s="5" t="s">
        <v>4690</v>
      </c>
      <c r="B213" s="5" t="s">
        <v>4266</v>
      </c>
      <c r="C213" s="5" t="s">
        <v>4267</v>
      </c>
      <c r="D213" s="5" t="s">
        <v>3266</v>
      </c>
      <c r="E213" s="5" t="s">
        <v>4268</v>
      </c>
      <c r="F213" s="5" t="s">
        <v>4691</v>
      </c>
      <c r="G213" s="5" t="s">
        <v>4270</v>
      </c>
      <c r="H213" s="5" t="s">
        <v>4271</v>
      </c>
    </row>
    <row r="214" spans="1:8" ht="85" customHeight="1">
      <c r="A214" s="5" t="s">
        <v>4692</v>
      </c>
      <c r="B214" s="5" t="s">
        <v>4266</v>
      </c>
      <c r="C214" s="5" t="s">
        <v>4311</v>
      </c>
      <c r="D214" s="5" t="s">
        <v>4312</v>
      </c>
      <c r="E214" s="5" t="s">
        <v>4313</v>
      </c>
      <c r="F214" s="5" t="s">
        <v>4693</v>
      </c>
      <c r="G214" s="5" t="s">
        <v>4315</v>
      </c>
      <c r="H214" s="5" t="s">
        <v>4271</v>
      </c>
    </row>
    <row r="215" spans="1:8" ht="85" customHeight="1">
      <c r="A215" s="5" t="s">
        <v>4694</v>
      </c>
      <c r="B215" s="5" t="s">
        <v>4266</v>
      </c>
      <c r="C215" s="5" t="s">
        <v>4267</v>
      </c>
      <c r="D215" s="5" t="s">
        <v>3266</v>
      </c>
      <c r="E215" s="5" t="s">
        <v>4268</v>
      </c>
      <c r="F215" s="5" t="s">
        <v>4695</v>
      </c>
      <c r="G215" s="5" t="s">
        <v>4270</v>
      </c>
      <c r="H215" s="5" t="s">
        <v>4271</v>
      </c>
    </row>
    <row r="216" spans="1:8" ht="85" customHeight="1">
      <c r="A216" s="5" t="s">
        <v>4696</v>
      </c>
      <c r="B216" s="5" t="s">
        <v>4266</v>
      </c>
      <c r="C216" s="5" t="s">
        <v>4267</v>
      </c>
      <c r="D216" s="5" t="s">
        <v>3266</v>
      </c>
      <c r="E216" s="5" t="s">
        <v>4268</v>
      </c>
      <c r="F216" s="5" t="s">
        <v>4697</v>
      </c>
      <c r="G216" s="5" t="s">
        <v>4270</v>
      </c>
      <c r="H216" s="5" t="s">
        <v>4271</v>
      </c>
    </row>
    <row r="217" spans="1:8" ht="85" customHeight="1">
      <c r="A217" s="5" t="s">
        <v>4698</v>
      </c>
      <c r="B217" s="5" t="s">
        <v>4266</v>
      </c>
      <c r="C217" s="5" t="s">
        <v>4267</v>
      </c>
      <c r="D217" s="5" t="s">
        <v>3266</v>
      </c>
      <c r="E217" s="5" t="s">
        <v>4268</v>
      </c>
      <c r="F217" s="5" t="s">
        <v>4699</v>
      </c>
      <c r="G217" s="5" t="s">
        <v>4270</v>
      </c>
      <c r="H217" s="5" t="s">
        <v>4271</v>
      </c>
    </row>
    <row r="218" spans="1:8" ht="85" customHeight="1">
      <c r="A218" s="5" t="s">
        <v>4700</v>
      </c>
      <c r="B218" s="5" t="s">
        <v>4266</v>
      </c>
      <c r="C218" s="5" t="s">
        <v>4267</v>
      </c>
      <c r="D218" s="5" t="s">
        <v>3266</v>
      </c>
      <c r="E218" s="5" t="s">
        <v>4268</v>
      </c>
      <c r="F218" s="5" t="s">
        <v>4701</v>
      </c>
      <c r="G218" s="5" t="s">
        <v>4270</v>
      </c>
      <c r="H218" s="5" t="s">
        <v>4271</v>
      </c>
    </row>
    <row r="219" spans="1:8" ht="85" customHeight="1">
      <c r="A219" s="5" t="s">
        <v>4702</v>
      </c>
      <c r="B219" s="5" t="s">
        <v>4266</v>
      </c>
      <c r="C219" s="5" t="s">
        <v>4267</v>
      </c>
      <c r="D219" s="5" t="s">
        <v>3266</v>
      </c>
      <c r="E219" s="5" t="s">
        <v>4268</v>
      </c>
      <c r="F219" s="5" t="s">
        <v>4703</v>
      </c>
      <c r="G219" s="5" t="s">
        <v>4270</v>
      </c>
      <c r="H219" s="5" t="s">
        <v>4271</v>
      </c>
    </row>
    <row r="220" spans="1:8" ht="85" customHeight="1">
      <c r="A220" s="5" t="s">
        <v>4704</v>
      </c>
      <c r="B220" s="5" t="s">
        <v>4266</v>
      </c>
      <c r="C220" s="5" t="s">
        <v>4267</v>
      </c>
      <c r="D220" s="5" t="s">
        <v>3266</v>
      </c>
      <c r="E220" s="5" t="s">
        <v>4268</v>
      </c>
      <c r="F220" s="5" t="s">
        <v>4705</v>
      </c>
      <c r="G220" s="5" t="s">
        <v>4270</v>
      </c>
      <c r="H220" s="5" t="s">
        <v>4271</v>
      </c>
    </row>
    <row r="221" spans="1:8" ht="85" customHeight="1">
      <c r="A221" s="5" t="s">
        <v>4706</v>
      </c>
      <c r="B221" s="5" t="s">
        <v>4266</v>
      </c>
      <c r="C221" s="5" t="s">
        <v>4267</v>
      </c>
      <c r="D221" s="5" t="s">
        <v>3266</v>
      </c>
      <c r="E221" s="5" t="s">
        <v>4268</v>
      </c>
      <c r="F221" s="5" t="s">
        <v>4707</v>
      </c>
      <c r="G221" s="5" t="s">
        <v>4270</v>
      </c>
      <c r="H221" s="5" t="s">
        <v>4271</v>
      </c>
    </row>
    <row r="222" spans="1:8" ht="85" customHeight="1">
      <c r="A222" s="5" t="s">
        <v>4708</v>
      </c>
      <c r="B222" s="5" t="s">
        <v>4266</v>
      </c>
      <c r="C222" s="5" t="s">
        <v>4267</v>
      </c>
      <c r="D222" s="5" t="s">
        <v>3266</v>
      </c>
      <c r="E222" s="5" t="s">
        <v>4268</v>
      </c>
      <c r="F222" s="5" t="s">
        <v>4709</v>
      </c>
      <c r="G222" s="5" t="s">
        <v>4270</v>
      </c>
      <c r="H222" s="5" t="s">
        <v>4271</v>
      </c>
    </row>
    <row r="223" spans="1:8" ht="85" customHeight="1">
      <c r="A223" s="5" t="s">
        <v>4710</v>
      </c>
      <c r="B223" s="5" t="s">
        <v>4266</v>
      </c>
      <c r="C223" s="5" t="s">
        <v>4267</v>
      </c>
      <c r="D223" s="5" t="s">
        <v>3266</v>
      </c>
      <c r="E223" s="5" t="s">
        <v>4268</v>
      </c>
      <c r="F223" s="5" t="s">
        <v>4711</v>
      </c>
      <c r="G223" s="5" t="s">
        <v>4270</v>
      </c>
      <c r="H223" s="5" t="s">
        <v>4271</v>
      </c>
    </row>
    <row r="224" spans="1:8" ht="85" customHeight="1">
      <c r="A224" s="5" t="s">
        <v>4712</v>
      </c>
      <c r="B224" s="5" t="s">
        <v>4266</v>
      </c>
      <c r="C224" s="5" t="s">
        <v>4267</v>
      </c>
      <c r="D224" s="5" t="s">
        <v>3266</v>
      </c>
      <c r="E224" s="5" t="s">
        <v>4268</v>
      </c>
      <c r="F224" s="5" t="s">
        <v>4713</v>
      </c>
      <c r="G224" s="5" t="s">
        <v>4270</v>
      </c>
      <c r="H224" s="5" t="s">
        <v>4271</v>
      </c>
    </row>
    <row r="225" spans="1:8" ht="85" customHeight="1">
      <c r="A225" s="5" t="s">
        <v>4714</v>
      </c>
      <c r="B225" s="5" t="s">
        <v>4266</v>
      </c>
      <c r="C225" s="5" t="s">
        <v>4267</v>
      </c>
      <c r="D225" s="5" t="s">
        <v>3266</v>
      </c>
      <c r="E225" s="5" t="s">
        <v>4268</v>
      </c>
      <c r="F225" s="5" t="s">
        <v>4715</v>
      </c>
      <c r="G225" s="5" t="s">
        <v>4270</v>
      </c>
      <c r="H225" s="5" t="s">
        <v>4271</v>
      </c>
    </row>
    <row r="226" spans="1:8" ht="85" customHeight="1">
      <c r="A226" s="5" t="s">
        <v>4716</v>
      </c>
      <c r="B226" s="5" t="s">
        <v>4266</v>
      </c>
      <c r="C226" s="5" t="s">
        <v>4267</v>
      </c>
      <c r="D226" s="5" t="s">
        <v>3266</v>
      </c>
      <c r="E226" s="5" t="s">
        <v>4268</v>
      </c>
      <c r="F226" s="5" t="s">
        <v>4717</v>
      </c>
      <c r="G226" s="5" t="s">
        <v>4270</v>
      </c>
      <c r="H226" s="5" t="s">
        <v>4271</v>
      </c>
    </row>
    <row r="227" spans="1:8" ht="85" customHeight="1">
      <c r="A227" s="5" t="s">
        <v>4718</v>
      </c>
      <c r="B227" s="5" t="s">
        <v>4266</v>
      </c>
      <c r="C227" s="5" t="s">
        <v>4267</v>
      </c>
      <c r="D227" s="5" t="s">
        <v>3266</v>
      </c>
      <c r="E227" s="5" t="s">
        <v>4268</v>
      </c>
      <c r="F227" s="5" t="s">
        <v>4719</v>
      </c>
      <c r="G227" s="5" t="s">
        <v>4270</v>
      </c>
      <c r="H227" s="5" t="s">
        <v>4271</v>
      </c>
    </row>
    <row r="228" spans="1:8" ht="85" customHeight="1">
      <c r="A228" s="5" t="s">
        <v>4720</v>
      </c>
      <c r="B228" s="5" t="s">
        <v>4266</v>
      </c>
      <c r="C228" s="5" t="s">
        <v>4267</v>
      </c>
      <c r="D228" s="5" t="s">
        <v>3266</v>
      </c>
      <c r="E228" s="5" t="s">
        <v>4268</v>
      </c>
      <c r="F228" s="5" t="s">
        <v>4721</v>
      </c>
      <c r="G228" s="5" t="s">
        <v>4270</v>
      </c>
      <c r="H228" s="5" t="s">
        <v>4271</v>
      </c>
    </row>
    <row r="229" spans="1:8" ht="85" customHeight="1">
      <c r="A229" s="5" t="s">
        <v>4722</v>
      </c>
      <c r="B229" s="5" t="s">
        <v>4266</v>
      </c>
      <c r="C229" s="5" t="s">
        <v>4267</v>
      </c>
      <c r="D229" s="5" t="s">
        <v>3266</v>
      </c>
      <c r="E229" s="5" t="s">
        <v>4268</v>
      </c>
      <c r="F229" s="5" t="s">
        <v>4723</v>
      </c>
      <c r="G229" s="5" t="s">
        <v>4270</v>
      </c>
      <c r="H229" s="5" t="s">
        <v>4271</v>
      </c>
    </row>
    <row r="230" spans="1:8" ht="85" customHeight="1">
      <c r="A230" s="5" t="s">
        <v>4724</v>
      </c>
      <c r="B230" s="5" t="s">
        <v>4266</v>
      </c>
      <c r="C230" s="5" t="s">
        <v>4267</v>
      </c>
      <c r="D230" s="5" t="s">
        <v>3266</v>
      </c>
      <c r="E230" s="5" t="s">
        <v>4268</v>
      </c>
      <c r="F230" s="5" t="s">
        <v>4725</v>
      </c>
      <c r="G230" s="5" t="s">
        <v>4270</v>
      </c>
      <c r="H230" s="5" t="s">
        <v>4271</v>
      </c>
    </row>
    <row r="231" spans="1:8" ht="85" customHeight="1">
      <c r="A231" s="5" t="s">
        <v>4726</v>
      </c>
      <c r="B231" s="5" t="s">
        <v>4266</v>
      </c>
      <c r="C231" s="5" t="s">
        <v>4267</v>
      </c>
      <c r="D231" s="5" t="s">
        <v>3266</v>
      </c>
      <c r="E231" s="5" t="s">
        <v>4268</v>
      </c>
      <c r="F231" s="5" t="s">
        <v>4727</v>
      </c>
      <c r="G231" s="5" t="s">
        <v>4270</v>
      </c>
      <c r="H231" s="5" t="s">
        <v>4271</v>
      </c>
    </row>
    <row r="232" spans="1:8" ht="85" customHeight="1">
      <c r="A232" s="5" t="s">
        <v>4728</v>
      </c>
      <c r="B232" s="5" t="s">
        <v>4266</v>
      </c>
      <c r="C232" s="5" t="s">
        <v>4267</v>
      </c>
      <c r="D232" s="5" t="s">
        <v>3266</v>
      </c>
      <c r="E232" s="5" t="s">
        <v>4268</v>
      </c>
      <c r="F232" s="5" t="s">
        <v>4729</v>
      </c>
      <c r="G232" s="5" t="s">
        <v>4270</v>
      </c>
      <c r="H232" s="5" t="s">
        <v>4271</v>
      </c>
    </row>
    <row r="233" spans="1:8" ht="85" customHeight="1">
      <c r="A233" s="5" t="s">
        <v>4730</v>
      </c>
      <c r="B233" s="5" t="s">
        <v>4266</v>
      </c>
      <c r="C233" s="5" t="s">
        <v>4267</v>
      </c>
      <c r="D233" s="5" t="s">
        <v>3266</v>
      </c>
      <c r="E233" s="5" t="s">
        <v>4268</v>
      </c>
      <c r="F233" s="5" t="s">
        <v>4731</v>
      </c>
      <c r="G233" s="5" t="s">
        <v>4270</v>
      </c>
      <c r="H233" s="5" t="s">
        <v>4271</v>
      </c>
    </row>
    <row r="234" spans="1:8" ht="85" customHeight="1">
      <c r="A234" s="5" t="s">
        <v>4732</v>
      </c>
      <c r="B234" s="5" t="s">
        <v>4266</v>
      </c>
      <c r="C234" s="5" t="s">
        <v>4267</v>
      </c>
      <c r="D234" s="5" t="s">
        <v>3266</v>
      </c>
      <c r="E234" s="5" t="s">
        <v>4268</v>
      </c>
      <c r="F234" s="5" t="s">
        <v>4733</v>
      </c>
      <c r="G234" s="5" t="s">
        <v>4270</v>
      </c>
      <c r="H234" s="5" t="s">
        <v>4271</v>
      </c>
    </row>
    <row r="235" spans="1:8" ht="85" customHeight="1">
      <c r="A235" s="5" t="s">
        <v>4734</v>
      </c>
      <c r="B235" s="5" t="s">
        <v>4266</v>
      </c>
      <c r="C235" s="5" t="s">
        <v>4311</v>
      </c>
      <c r="D235" s="5" t="s">
        <v>4312</v>
      </c>
      <c r="E235" s="5" t="s">
        <v>4313</v>
      </c>
      <c r="F235" s="5" t="s">
        <v>4735</v>
      </c>
      <c r="G235" s="5" t="s">
        <v>4315</v>
      </c>
      <c r="H235" s="5" t="s">
        <v>4271</v>
      </c>
    </row>
    <row r="236" spans="1:8" ht="85" customHeight="1">
      <c r="A236" s="5" t="s">
        <v>4736</v>
      </c>
      <c r="B236" s="5" t="s">
        <v>4266</v>
      </c>
      <c r="C236" s="5" t="s">
        <v>4737</v>
      </c>
      <c r="D236" s="5" t="s">
        <v>54</v>
      </c>
      <c r="E236" s="5" t="s">
        <v>4738</v>
      </c>
      <c r="F236" s="5" t="s">
        <v>4739</v>
      </c>
      <c r="G236" s="5" t="s">
        <v>4740</v>
      </c>
      <c r="H236" s="5" t="s">
        <v>4271</v>
      </c>
    </row>
    <row r="237" spans="1:8" ht="85" customHeight="1">
      <c r="A237" s="5" t="s">
        <v>4741</v>
      </c>
      <c r="B237" s="5" t="s">
        <v>4266</v>
      </c>
      <c r="C237" s="5" t="s">
        <v>4737</v>
      </c>
      <c r="D237" s="5" t="s">
        <v>64</v>
      </c>
      <c r="E237" s="5" t="s">
        <v>4738</v>
      </c>
      <c r="F237" s="5" t="s">
        <v>4742</v>
      </c>
      <c r="G237" s="5" t="s">
        <v>4740</v>
      </c>
      <c r="H237" s="5" t="s">
        <v>4271</v>
      </c>
    </row>
    <row r="238" spans="1:8" ht="85" customHeight="1">
      <c r="A238" s="5" t="s">
        <v>4743</v>
      </c>
      <c r="B238" s="5" t="s">
        <v>4266</v>
      </c>
      <c r="C238" s="5" t="s">
        <v>4737</v>
      </c>
      <c r="D238" s="5" t="s">
        <v>73</v>
      </c>
      <c r="E238" s="5" t="s">
        <v>4738</v>
      </c>
      <c r="F238" s="5" t="s">
        <v>4744</v>
      </c>
      <c r="G238" s="5" t="s">
        <v>4740</v>
      </c>
      <c r="H238" s="5" t="s">
        <v>4271</v>
      </c>
    </row>
    <row r="239" spans="1:8" ht="85" customHeight="1">
      <c r="A239" s="5" t="s">
        <v>4745</v>
      </c>
      <c r="B239" s="5" t="s">
        <v>4266</v>
      </c>
      <c r="C239" s="5" t="s">
        <v>4737</v>
      </c>
      <c r="D239" s="5" t="s">
        <v>81</v>
      </c>
      <c r="E239" s="5" t="s">
        <v>4738</v>
      </c>
      <c r="F239" s="5" t="s">
        <v>4746</v>
      </c>
      <c r="G239" s="5" t="s">
        <v>4740</v>
      </c>
      <c r="H239" s="5" t="s">
        <v>4271</v>
      </c>
    </row>
    <row r="240" spans="1:8" ht="85" customHeight="1">
      <c r="A240" s="5" t="s">
        <v>4747</v>
      </c>
      <c r="B240" s="5" t="s">
        <v>4266</v>
      </c>
      <c r="C240" s="5" t="s">
        <v>4737</v>
      </c>
      <c r="D240" s="5" t="s">
        <v>89</v>
      </c>
      <c r="E240" s="5" t="s">
        <v>4738</v>
      </c>
      <c r="F240" s="5" t="s">
        <v>4748</v>
      </c>
      <c r="G240" s="5" t="s">
        <v>4740</v>
      </c>
      <c r="H240" s="5" t="s">
        <v>4271</v>
      </c>
    </row>
    <row r="241" spans="1:8" ht="85" customHeight="1">
      <c r="A241" s="5" t="s">
        <v>4749</v>
      </c>
      <c r="B241" s="5" t="s">
        <v>4266</v>
      </c>
      <c r="C241" s="5" t="s">
        <v>4737</v>
      </c>
      <c r="D241" s="5" t="s">
        <v>97</v>
      </c>
      <c r="E241" s="5" t="s">
        <v>4738</v>
      </c>
      <c r="F241" s="5" t="s">
        <v>4750</v>
      </c>
      <c r="G241" s="5" t="s">
        <v>4740</v>
      </c>
      <c r="H241" s="5" t="s">
        <v>4271</v>
      </c>
    </row>
    <row r="242" spans="1:8" ht="85" customHeight="1">
      <c r="A242" s="5" t="s">
        <v>4751</v>
      </c>
      <c r="B242" s="5" t="s">
        <v>4266</v>
      </c>
      <c r="C242" s="5" t="s">
        <v>4737</v>
      </c>
      <c r="D242" s="5" t="s">
        <v>105</v>
      </c>
      <c r="E242" s="5" t="s">
        <v>4738</v>
      </c>
      <c r="F242" s="5" t="s">
        <v>4752</v>
      </c>
      <c r="G242" s="5" t="s">
        <v>4740</v>
      </c>
      <c r="H242" s="5" t="s">
        <v>4271</v>
      </c>
    </row>
    <row r="243" spans="1:8" ht="85" customHeight="1">
      <c r="A243" s="5" t="s">
        <v>4753</v>
      </c>
      <c r="B243" s="5" t="s">
        <v>4266</v>
      </c>
      <c r="C243" s="5" t="s">
        <v>4737</v>
      </c>
      <c r="D243" s="5" t="s">
        <v>114</v>
      </c>
      <c r="E243" s="5" t="s">
        <v>4738</v>
      </c>
      <c r="F243" s="5" t="s">
        <v>4754</v>
      </c>
      <c r="G243" s="5" t="s">
        <v>4740</v>
      </c>
      <c r="H243" s="5" t="s">
        <v>4271</v>
      </c>
    </row>
    <row r="244" spans="1:8" ht="85" customHeight="1">
      <c r="A244" s="5" t="s">
        <v>4755</v>
      </c>
      <c r="B244" s="5" t="s">
        <v>4266</v>
      </c>
      <c r="C244" s="5" t="s">
        <v>4737</v>
      </c>
      <c r="D244" s="5" t="s">
        <v>122</v>
      </c>
      <c r="E244" s="5" t="s">
        <v>4738</v>
      </c>
      <c r="F244" s="5" t="s">
        <v>4756</v>
      </c>
      <c r="G244" s="5" t="s">
        <v>4740</v>
      </c>
      <c r="H244" s="5" t="s">
        <v>4271</v>
      </c>
    </row>
    <row r="245" spans="1:8" ht="85" customHeight="1">
      <c r="A245" s="5" t="s">
        <v>4757</v>
      </c>
      <c r="B245" s="5" t="s">
        <v>4266</v>
      </c>
      <c r="C245" s="5" t="s">
        <v>4737</v>
      </c>
      <c r="D245" s="5" t="s">
        <v>130</v>
      </c>
      <c r="E245" s="5" t="s">
        <v>4738</v>
      </c>
      <c r="F245" s="5" t="s">
        <v>4758</v>
      </c>
      <c r="G245" s="5" t="s">
        <v>4740</v>
      </c>
      <c r="H245" s="5" t="s">
        <v>4271</v>
      </c>
    </row>
    <row r="246" spans="1:8" ht="85" customHeight="1">
      <c r="A246" s="5" t="s">
        <v>4759</v>
      </c>
      <c r="B246" s="5" t="s">
        <v>4266</v>
      </c>
      <c r="C246" s="5" t="s">
        <v>4737</v>
      </c>
      <c r="D246" s="5" t="s">
        <v>138</v>
      </c>
      <c r="E246" s="5" t="s">
        <v>4738</v>
      </c>
      <c r="F246" s="5" t="s">
        <v>4760</v>
      </c>
      <c r="G246" s="5" t="s">
        <v>4740</v>
      </c>
      <c r="H246" s="5" t="s">
        <v>4271</v>
      </c>
    </row>
    <row r="247" spans="1:8" ht="85" customHeight="1">
      <c r="A247" s="5" t="s">
        <v>4761</v>
      </c>
      <c r="B247" s="5" t="s">
        <v>4266</v>
      </c>
      <c r="C247" s="5" t="s">
        <v>4737</v>
      </c>
      <c r="D247" s="5" t="s">
        <v>146</v>
      </c>
      <c r="E247" s="5" t="s">
        <v>4738</v>
      </c>
      <c r="F247" s="5" t="s">
        <v>4762</v>
      </c>
      <c r="G247" s="5" t="s">
        <v>4740</v>
      </c>
      <c r="H247" s="5" t="s">
        <v>4271</v>
      </c>
    </row>
    <row r="248" spans="1:8" ht="85" customHeight="1">
      <c r="A248" s="5" t="s">
        <v>4763</v>
      </c>
      <c r="B248" s="5" t="s">
        <v>4266</v>
      </c>
      <c r="C248" s="5" t="s">
        <v>4737</v>
      </c>
      <c r="D248" s="5" t="s">
        <v>154</v>
      </c>
      <c r="E248" s="5" t="s">
        <v>4738</v>
      </c>
      <c r="F248" s="5" t="s">
        <v>4764</v>
      </c>
      <c r="G248" s="5" t="s">
        <v>4740</v>
      </c>
      <c r="H248" s="5" t="s">
        <v>4271</v>
      </c>
    </row>
    <row r="249" spans="1:8" ht="85" customHeight="1">
      <c r="A249" s="5" t="s">
        <v>4765</v>
      </c>
      <c r="B249" s="5" t="s">
        <v>4266</v>
      </c>
      <c r="C249" s="5" t="s">
        <v>4737</v>
      </c>
      <c r="D249" s="5" t="s">
        <v>163</v>
      </c>
      <c r="E249" s="5" t="s">
        <v>4738</v>
      </c>
      <c r="F249" s="5" t="s">
        <v>4766</v>
      </c>
      <c r="G249" s="5" t="s">
        <v>4740</v>
      </c>
      <c r="H249" s="5" t="s">
        <v>4271</v>
      </c>
    </row>
    <row r="250" spans="1:8" ht="85" customHeight="1">
      <c r="A250" s="5" t="s">
        <v>4767</v>
      </c>
      <c r="B250" s="5" t="s">
        <v>4266</v>
      </c>
      <c r="C250" s="5" t="s">
        <v>4737</v>
      </c>
      <c r="D250" s="5" t="s">
        <v>172</v>
      </c>
      <c r="E250" s="5" t="s">
        <v>4738</v>
      </c>
      <c r="F250" s="5" t="s">
        <v>4768</v>
      </c>
      <c r="G250" s="5" t="s">
        <v>4740</v>
      </c>
      <c r="H250" s="5" t="s">
        <v>4271</v>
      </c>
    </row>
    <row r="251" spans="1:8" ht="85" customHeight="1">
      <c r="A251" s="5" t="s">
        <v>4769</v>
      </c>
      <c r="B251" s="5" t="s">
        <v>4266</v>
      </c>
      <c r="C251" s="5" t="s">
        <v>4737</v>
      </c>
      <c r="D251" s="5" t="s">
        <v>181</v>
      </c>
      <c r="E251" s="5" t="s">
        <v>4738</v>
      </c>
      <c r="F251" s="5" t="s">
        <v>4770</v>
      </c>
      <c r="G251" s="5" t="s">
        <v>4740</v>
      </c>
      <c r="H251" s="5" t="s">
        <v>4271</v>
      </c>
    </row>
    <row r="252" spans="1:8" ht="85" customHeight="1">
      <c r="A252" s="5" t="s">
        <v>4771</v>
      </c>
      <c r="B252" s="5" t="s">
        <v>4266</v>
      </c>
      <c r="C252" s="5" t="s">
        <v>4737</v>
      </c>
      <c r="D252" s="5" t="s">
        <v>189</v>
      </c>
      <c r="E252" s="5" t="s">
        <v>4738</v>
      </c>
      <c r="F252" s="5" t="s">
        <v>4772</v>
      </c>
      <c r="G252" s="5" t="s">
        <v>4740</v>
      </c>
      <c r="H252" s="5" t="s">
        <v>4271</v>
      </c>
    </row>
    <row r="253" spans="1:8" ht="85" customHeight="1">
      <c r="A253" s="5" t="s">
        <v>4773</v>
      </c>
      <c r="B253" s="5" t="s">
        <v>4266</v>
      </c>
      <c r="C253" s="5" t="s">
        <v>4737</v>
      </c>
      <c r="D253" s="5" t="s">
        <v>197</v>
      </c>
      <c r="E253" s="5" t="s">
        <v>4738</v>
      </c>
      <c r="F253" s="5" t="s">
        <v>4774</v>
      </c>
      <c r="G253" s="5" t="s">
        <v>4740</v>
      </c>
      <c r="H253" s="5" t="s">
        <v>4271</v>
      </c>
    </row>
    <row r="254" spans="1:8" ht="85" customHeight="1">
      <c r="A254" s="5" t="s">
        <v>4775</v>
      </c>
      <c r="B254" s="5" t="s">
        <v>4266</v>
      </c>
      <c r="C254" s="5" t="s">
        <v>4737</v>
      </c>
      <c r="D254" s="5" t="s">
        <v>205</v>
      </c>
      <c r="E254" s="5" t="s">
        <v>4738</v>
      </c>
      <c r="F254" s="5" t="s">
        <v>4776</v>
      </c>
      <c r="G254" s="5" t="s">
        <v>4740</v>
      </c>
      <c r="H254" s="5" t="s">
        <v>4271</v>
      </c>
    </row>
    <row r="255" spans="1:8" ht="85" customHeight="1">
      <c r="A255" s="5" t="s">
        <v>4777</v>
      </c>
      <c r="B255" s="5" t="s">
        <v>4266</v>
      </c>
      <c r="C255" s="5" t="s">
        <v>4737</v>
      </c>
      <c r="D255" s="5" t="s">
        <v>213</v>
      </c>
      <c r="E255" s="5" t="s">
        <v>4738</v>
      </c>
      <c r="F255" s="5" t="s">
        <v>4778</v>
      </c>
      <c r="G255" s="5" t="s">
        <v>4740</v>
      </c>
      <c r="H255" s="5" t="s">
        <v>4271</v>
      </c>
    </row>
    <row r="256" spans="1:8" ht="85" customHeight="1">
      <c r="A256" s="5" t="s">
        <v>4779</v>
      </c>
      <c r="B256" s="5" t="s">
        <v>4266</v>
      </c>
      <c r="C256" s="5" t="s">
        <v>4737</v>
      </c>
      <c r="D256" s="5" t="s">
        <v>221</v>
      </c>
      <c r="E256" s="5" t="s">
        <v>4738</v>
      </c>
      <c r="F256" s="5" t="s">
        <v>4780</v>
      </c>
      <c r="G256" s="5" t="s">
        <v>4740</v>
      </c>
      <c r="H256" s="5" t="s">
        <v>4271</v>
      </c>
    </row>
    <row r="257" spans="1:8" ht="85" customHeight="1">
      <c r="A257" s="5" t="s">
        <v>4781</v>
      </c>
      <c r="B257" s="5" t="s">
        <v>4266</v>
      </c>
      <c r="C257" s="5" t="s">
        <v>4737</v>
      </c>
      <c r="D257" s="5" t="s">
        <v>229</v>
      </c>
      <c r="E257" s="5" t="s">
        <v>4738</v>
      </c>
      <c r="F257" s="5" t="s">
        <v>4782</v>
      </c>
      <c r="G257" s="5" t="s">
        <v>4740</v>
      </c>
      <c r="H257" s="5" t="s">
        <v>4271</v>
      </c>
    </row>
    <row r="258" spans="1:8" ht="85" customHeight="1">
      <c r="A258" s="5" t="s">
        <v>4783</v>
      </c>
      <c r="B258" s="5" t="s">
        <v>4266</v>
      </c>
      <c r="C258" s="5" t="s">
        <v>4784</v>
      </c>
      <c r="D258" s="5" t="s">
        <v>3670</v>
      </c>
      <c r="E258" s="5" t="s">
        <v>4785</v>
      </c>
      <c r="F258" s="5" t="s">
        <v>4786</v>
      </c>
      <c r="G258" s="5" t="s">
        <v>4787</v>
      </c>
      <c r="H258" s="5" t="s">
        <v>4271</v>
      </c>
    </row>
    <row r="259" spans="1:8" ht="85" customHeight="1">
      <c r="A259" s="5" t="s">
        <v>4788</v>
      </c>
      <c r="B259" s="5" t="s">
        <v>4266</v>
      </c>
      <c r="C259" s="5" t="s">
        <v>4784</v>
      </c>
      <c r="D259" s="5" t="s">
        <v>3713</v>
      </c>
      <c r="E259" s="5" t="s">
        <v>4785</v>
      </c>
      <c r="F259" s="5" t="s">
        <v>4789</v>
      </c>
      <c r="G259" s="5" t="s">
        <v>4790</v>
      </c>
      <c r="H259" s="5" t="s">
        <v>4271</v>
      </c>
    </row>
    <row r="260" spans="1:8" ht="85" customHeight="1">
      <c r="A260" s="5" t="s">
        <v>4791</v>
      </c>
      <c r="B260" s="5" t="s">
        <v>4266</v>
      </c>
      <c r="C260" s="5" t="s">
        <v>4784</v>
      </c>
      <c r="D260" s="5" t="s">
        <v>3716</v>
      </c>
      <c r="E260" s="5" t="s">
        <v>4785</v>
      </c>
      <c r="F260" s="5" t="s">
        <v>4792</v>
      </c>
      <c r="G260" s="5" t="s">
        <v>4793</v>
      </c>
      <c r="H260" s="5" t="s">
        <v>4271</v>
      </c>
    </row>
    <row r="261" spans="1:8" ht="85" customHeight="1">
      <c r="A261" s="5" t="s">
        <v>4794</v>
      </c>
      <c r="B261" s="5" t="s">
        <v>4266</v>
      </c>
      <c r="C261" s="5" t="s">
        <v>4784</v>
      </c>
      <c r="D261" s="5" t="s">
        <v>3729</v>
      </c>
      <c r="E261" s="5" t="s">
        <v>4785</v>
      </c>
      <c r="F261" s="5" t="s">
        <v>4795</v>
      </c>
      <c r="G261" s="5" t="s">
        <v>4796</v>
      </c>
      <c r="H261" s="5" t="s">
        <v>4271</v>
      </c>
    </row>
    <row r="262" spans="1:8" ht="85" customHeight="1">
      <c r="A262" s="5" t="s">
        <v>4797</v>
      </c>
      <c r="B262" s="5" t="s">
        <v>4266</v>
      </c>
      <c r="C262" s="5" t="s">
        <v>4784</v>
      </c>
      <c r="D262" s="5" t="s">
        <v>3734</v>
      </c>
      <c r="E262" s="5" t="s">
        <v>4785</v>
      </c>
      <c r="F262" s="5" t="s">
        <v>4798</v>
      </c>
      <c r="G262" s="5" t="s">
        <v>4799</v>
      </c>
      <c r="H262" s="5" t="s">
        <v>4271</v>
      </c>
    </row>
    <row r="263" spans="1:8" ht="85" customHeight="1">
      <c r="A263" s="5" t="s">
        <v>4800</v>
      </c>
      <c r="B263" s="5" t="s">
        <v>4266</v>
      </c>
      <c r="C263" s="5" t="s">
        <v>4784</v>
      </c>
      <c r="D263" s="5" t="s">
        <v>3716</v>
      </c>
      <c r="E263" s="5" t="s">
        <v>4785</v>
      </c>
      <c r="F263" s="5" t="s">
        <v>4801</v>
      </c>
      <c r="G263" s="5" t="s">
        <v>4793</v>
      </c>
      <c r="H263" s="5" t="s">
        <v>4271</v>
      </c>
    </row>
    <row r="264" spans="1:8" ht="85" customHeight="1">
      <c r="A264" s="5" t="s">
        <v>4802</v>
      </c>
      <c r="B264" s="5" t="s">
        <v>4266</v>
      </c>
      <c r="C264" s="5" t="s">
        <v>4784</v>
      </c>
      <c r="D264" s="5" t="s">
        <v>3738</v>
      </c>
      <c r="E264" s="5" t="s">
        <v>4785</v>
      </c>
      <c r="F264" s="5" t="s">
        <v>4803</v>
      </c>
      <c r="G264" s="5" t="s">
        <v>4804</v>
      </c>
      <c r="H264" s="5" t="s">
        <v>4271</v>
      </c>
    </row>
    <row r="265" spans="1:8" ht="85" customHeight="1">
      <c r="A265" s="5" t="s">
        <v>4805</v>
      </c>
      <c r="B265" s="5" t="s">
        <v>4266</v>
      </c>
      <c r="C265" s="5" t="s">
        <v>4784</v>
      </c>
      <c r="D265" s="5" t="s">
        <v>3483</v>
      </c>
      <c r="E265" s="5" t="s">
        <v>4785</v>
      </c>
      <c r="F265" s="5" t="s">
        <v>4806</v>
      </c>
      <c r="G265" s="5" t="s">
        <v>4807</v>
      </c>
      <c r="H265" s="5" t="s">
        <v>4271</v>
      </c>
    </row>
    <row r="266" spans="1:8" ht="85" customHeight="1">
      <c r="A266" s="5" t="s">
        <v>4808</v>
      </c>
      <c r="B266" s="5" t="s">
        <v>4266</v>
      </c>
      <c r="C266" s="5" t="s">
        <v>4784</v>
      </c>
      <c r="D266" s="5" t="s">
        <v>3506</v>
      </c>
      <c r="E266" s="5" t="s">
        <v>4785</v>
      </c>
      <c r="F266" s="5" t="s">
        <v>4809</v>
      </c>
      <c r="G266" s="5" t="s">
        <v>4810</v>
      </c>
      <c r="H266" s="5" t="s">
        <v>4271</v>
      </c>
    </row>
    <row r="267" spans="1:8" ht="85" customHeight="1">
      <c r="A267" s="5" t="s">
        <v>4811</v>
      </c>
      <c r="B267" s="5" t="s">
        <v>4266</v>
      </c>
      <c r="C267" s="5" t="s">
        <v>4784</v>
      </c>
      <c r="D267" s="5" t="s">
        <v>4024</v>
      </c>
      <c r="E267" s="5" t="s">
        <v>4785</v>
      </c>
      <c r="F267" s="5" t="s">
        <v>4812</v>
      </c>
      <c r="G267" s="5" t="s">
        <v>4813</v>
      </c>
      <c r="H267" s="5" t="s">
        <v>4271</v>
      </c>
    </row>
    <row r="268" spans="1:8" ht="85" customHeight="1">
      <c r="A268" s="5" t="s">
        <v>4814</v>
      </c>
      <c r="B268" s="5" t="s">
        <v>4266</v>
      </c>
      <c r="C268" s="5" t="s">
        <v>4784</v>
      </c>
      <c r="D268" s="5" t="s">
        <v>4028</v>
      </c>
      <c r="E268" s="5" t="s">
        <v>4785</v>
      </c>
      <c r="F268" s="5" t="s">
        <v>4815</v>
      </c>
      <c r="G268" s="5" t="s">
        <v>4816</v>
      </c>
      <c r="H268" s="5" t="s">
        <v>4271</v>
      </c>
    </row>
    <row r="269" spans="1:8" ht="85" customHeight="1">
      <c r="A269" s="5" t="s">
        <v>4817</v>
      </c>
      <c r="B269" s="5" t="s">
        <v>4266</v>
      </c>
      <c r="C269" s="5" t="s">
        <v>4784</v>
      </c>
      <c r="D269" s="5" t="s">
        <v>4038</v>
      </c>
      <c r="E269" s="5" t="s">
        <v>4785</v>
      </c>
      <c r="F269" s="5" t="s">
        <v>4818</v>
      </c>
      <c r="G269" s="5" t="s">
        <v>4819</v>
      </c>
      <c r="H269" s="5" t="s">
        <v>4271</v>
      </c>
    </row>
    <row r="270" spans="1:8" ht="85" customHeight="1">
      <c r="A270" s="5" t="s">
        <v>4820</v>
      </c>
      <c r="B270" s="5" t="s">
        <v>4266</v>
      </c>
      <c r="C270" s="5" t="s">
        <v>4784</v>
      </c>
      <c r="D270" s="5" t="s">
        <v>4042</v>
      </c>
      <c r="E270" s="5" t="s">
        <v>4785</v>
      </c>
      <c r="F270" s="5" t="s">
        <v>4821</v>
      </c>
      <c r="G270" s="5" t="s">
        <v>4822</v>
      </c>
      <c r="H270" s="5" t="s">
        <v>4271</v>
      </c>
    </row>
    <row r="271" spans="1:8" ht="85" customHeight="1">
      <c r="A271" s="5" t="s">
        <v>4823</v>
      </c>
      <c r="B271" s="5" t="s">
        <v>4266</v>
      </c>
      <c r="C271" s="5" t="s">
        <v>4784</v>
      </c>
      <c r="D271" s="5" t="s">
        <v>4047</v>
      </c>
      <c r="E271" s="5" t="s">
        <v>4785</v>
      </c>
      <c r="F271" s="5" t="s">
        <v>4824</v>
      </c>
      <c r="G271" s="5" t="s">
        <v>4825</v>
      </c>
      <c r="H271" s="5" t="s">
        <v>4271</v>
      </c>
    </row>
    <row r="272" spans="1:8" ht="85" customHeight="1">
      <c r="A272" s="5" t="s">
        <v>4826</v>
      </c>
      <c r="B272" s="5" t="s">
        <v>4266</v>
      </c>
      <c r="C272" s="5" t="s">
        <v>4784</v>
      </c>
      <c r="D272" s="5" t="s">
        <v>4054</v>
      </c>
      <c r="E272" s="5" t="s">
        <v>4785</v>
      </c>
      <c r="F272" s="5" t="s">
        <v>4827</v>
      </c>
      <c r="G272" s="5" t="s">
        <v>4828</v>
      </c>
      <c r="H272" s="5" t="s">
        <v>4271</v>
      </c>
    </row>
    <row r="273" spans="1:8" ht="85" customHeight="1">
      <c r="A273" s="5" t="s">
        <v>4829</v>
      </c>
      <c r="B273" s="5" t="s">
        <v>4266</v>
      </c>
      <c r="C273" s="5" t="s">
        <v>4784</v>
      </c>
      <c r="D273" s="5" t="s">
        <v>4058</v>
      </c>
      <c r="E273" s="5" t="s">
        <v>4785</v>
      </c>
      <c r="F273" s="5" t="s">
        <v>4830</v>
      </c>
      <c r="G273" s="5" t="s">
        <v>4831</v>
      </c>
      <c r="H273" s="5" t="s">
        <v>4271</v>
      </c>
    </row>
    <row r="274" spans="1:8" ht="85" customHeight="1">
      <c r="A274" s="5" t="s">
        <v>4832</v>
      </c>
      <c r="B274" s="5" t="s">
        <v>4266</v>
      </c>
      <c r="C274" s="5" t="s">
        <v>4784</v>
      </c>
      <c r="D274" s="5" t="s">
        <v>3738</v>
      </c>
      <c r="E274" s="5" t="s">
        <v>4785</v>
      </c>
      <c r="F274" s="5" t="s">
        <v>4833</v>
      </c>
      <c r="G274" s="5" t="s">
        <v>4804</v>
      </c>
      <c r="H274" s="5" t="s">
        <v>4271</v>
      </c>
    </row>
    <row r="275" spans="1:8" ht="85" customHeight="1">
      <c r="A275" s="5" t="s">
        <v>4834</v>
      </c>
      <c r="B275" s="5" t="s">
        <v>4266</v>
      </c>
      <c r="C275" s="5" t="s">
        <v>4784</v>
      </c>
      <c r="D275" s="5" t="s">
        <v>4069</v>
      </c>
      <c r="E275" s="5" t="s">
        <v>4785</v>
      </c>
      <c r="F275" s="5" t="s">
        <v>4835</v>
      </c>
      <c r="G275" s="5" t="s">
        <v>4836</v>
      </c>
      <c r="H275" s="5" t="s">
        <v>4271</v>
      </c>
    </row>
    <row r="276" spans="1:8" ht="85" customHeight="1">
      <c r="A276" s="5" t="s">
        <v>4837</v>
      </c>
      <c r="B276" s="5" t="s">
        <v>4266</v>
      </c>
      <c r="C276" s="5" t="s">
        <v>4784</v>
      </c>
      <c r="D276" s="5" t="s">
        <v>4074</v>
      </c>
      <c r="E276" s="5" t="s">
        <v>4785</v>
      </c>
      <c r="F276" s="5" t="s">
        <v>4838</v>
      </c>
      <c r="G276" s="5" t="s">
        <v>4839</v>
      </c>
      <c r="H276" s="5" t="s">
        <v>4271</v>
      </c>
    </row>
    <row r="277" spans="1:8" ht="85" customHeight="1">
      <c r="A277" s="5" t="s">
        <v>4840</v>
      </c>
      <c r="B277" s="5" t="s">
        <v>4266</v>
      </c>
      <c r="C277" s="5" t="s">
        <v>4784</v>
      </c>
      <c r="D277" s="5" t="s">
        <v>4078</v>
      </c>
      <c r="E277" s="5" t="s">
        <v>4785</v>
      </c>
      <c r="F277" s="5" t="s">
        <v>4841</v>
      </c>
      <c r="G277" s="5" t="s">
        <v>4842</v>
      </c>
      <c r="H277" s="5" t="s">
        <v>4271</v>
      </c>
    </row>
    <row r="278" spans="1:8" ht="85" customHeight="1">
      <c r="A278" s="5" t="s">
        <v>4843</v>
      </c>
      <c r="B278" s="5" t="s">
        <v>4266</v>
      </c>
      <c r="C278" s="5" t="s">
        <v>4784</v>
      </c>
      <c r="D278" s="5" t="s">
        <v>4082</v>
      </c>
      <c r="E278" s="5" t="s">
        <v>4785</v>
      </c>
      <c r="F278" s="5" t="s">
        <v>4844</v>
      </c>
      <c r="G278" s="5" t="s">
        <v>4845</v>
      </c>
      <c r="H278" s="5" t="s">
        <v>4271</v>
      </c>
    </row>
    <row r="279" spans="1:8" ht="85" customHeight="1">
      <c r="A279" s="5" t="s">
        <v>4846</v>
      </c>
      <c r="B279" s="5" t="s">
        <v>4266</v>
      </c>
      <c r="C279" s="5" t="s">
        <v>4784</v>
      </c>
      <c r="D279" s="5" t="s">
        <v>4085</v>
      </c>
      <c r="E279" s="5" t="s">
        <v>4785</v>
      </c>
      <c r="F279" s="5" t="s">
        <v>4847</v>
      </c>
      <c r="G279" s="5" t="s">
        <v>4848</v>
      </c>
      <c r="H279" s="5" t="s">
        <v>4271</v>
      </c>
    </row>
    <row r="280" spans="1:8" ht="85" customHeight="1">
      <c r="A280" s="5" t="s">
        <v>4849</v>
      </c>
      <c r="B280" s="5" t="s">
        <v>4266</v>
      </c>
      <c r="C280" s="5" t="s">
        <v>4784</v>
      </c>
      <c r="D280" s="5" t="s">
        <v>4090</v>
      </c>
      <c r="E280" s="5" t="s">
        <v>4785</v>
      </c>
      <c r="F280" s="5" t="s">
        <v>4850</v>
      </c>
      <c r="G280" s="5" t="s">
        <v>4851</v>
      </c>
      <c r="H280" s="5" t="s">
        <v>4271</v>
      </c>
    </row>
    <row r="281" spans="1:8" ht="85" customHeight="1">
      <c r="A281" s="5" t="s">
        <v>4852</v>
      </c>
      <c r="B281" s="5" t="s">
        <v>4266</v>
      </c>
      <c r="C281" s="5" t="s">
        <v>4784</v>
      </c>
      <c r="D281" s="5" t="s">
        <v>4094</v>
      </c>
      <c r="E281" s="5" t="s">
        <v>4785</v>
      </c>
      <c r="F281" s="5" t="s">
        <v>4853</v>
      </c>
      <c r="G281" s="5" t="s">
        <v>4854</v>
      </c>
      <c r="H281" s="5" t="s">
        <v>4271</v>
      </c>
    </row>
    <row r="282" spans="1:8" ht="85" customHeight="1">
      <c r="A282" s="5" t="s">
        <v>4855</v>
      </c>
      <c r="B282" s="5" t="s">
        <v>4266</v>
      </c>
      <c r="C282" s="5" t="s">
        <v>4856</v>
      </c>
      <c r="D282" s="5" t="s">
        <v>4857</v>
      </c>
      <c r="E282" s="5" t="s">
        <v>4858</v>
      </c>
      <c r="F282" s="5" t="s">
        <v>4859</v>
      </c>
      <c r="G282" s="5" t="s">
        <v>4860</v>
      </c>
      <c r="H282" s="5" t="s">
        <v>4271</v>
      </c>
    </row>
    <row r="283" spans="1:8" ht="85" customHeight="1">
      <c r="A283" s="5" t="s">
        <v>4861</v>
      </c>
      <c r="B283" s="5" t="s">
        <v>4266</v>
      </c>
      <c r="C283" s="5" t="s">
        <v>4862</v>
      </c>
      <c r="D283" s="5" t="s">
        <v>4863</v>
      </c>
      <c r="E283" s="5" t="s">
        <v>4864</v>
      </c>
      <c r="F283" s="5" t="s">
        <v>4865</v>
      </c>
      <c r="G283" s="5" t="s">
        <v>4866</v>
      </c>
      <c r="H283" s="5" t="s">
        <v>4271</v>
      </c>
    </row>
    <row r="284" spans="1:8" ht="85" customHeight="1">
      <c r="A284" s="5" t="s">
        <v>4867</v>
      </c>
      <c r="B284" s="5" t="s">
        <v>4266</v>
      </c>
      <c r="C284" s="5" t="s">
        <v>4868</v>
      </c>
      <c r="D284" s="5" t="s">
        <v>4869</v>
      </c>
      <c r="E284" s="5" t="s">
        <v>4870</v>
      </c>
      <c r="F284" s="5" t="s">
        <v>4871</v>
      </c>
      <c r="G284" s="5" t="s">
        <v>4872</v>
      </c>
      <c r="H284" s="5" t="s">
        <v>4271</v>
      </c>
    </row>
    <row r="285" spans="1:8" ht="85" customHeight="1">
      <c r="A285" s="5" t="s">
        <v>4873</v>
      </c>
      <c r="B285" s="5" t="s">
        <v>4266</v>
      </c>
      <c r="C285" s="5" t="s">
        <v>4874</v>
      </c>
      <c r="D285" s="5" t="s">
        <v>4875</v>
      </c>
      <c r="E285" s="5" t="s">
        <v>4876</v>
      </c>
      <c r="F285" s="5" t="s">
        <v>4877</v>
      </c>
      <c r="G285" s="5" t="s">
        <v>4878</v>
      </c>
      <c r="H285" s="5" t="s">
        <v>4271</v>
      </c>
    </row>
    <row r="286" spans="1:8" ht="85" customHeight="1">
      <c r="A286" s="5" t="s">
        <v>4879</v>
      </c>
      <c r="B286" s="5" t="s">
        <v>4880</v>
      </c>
      <c r="C286" s="5" t="s">
        <v>4881</v>
      </c>
      <c r="D286" s="5" t="s">
        <v>4882</v>
      </c>
      <c r="E286" s="5" t="s">
        <v>4883</v>
      </c>
      <c r="F286" s="5" t="s">
        <v>4884</v>
      </c>
      <c r="G286" s="5" t="s">
        <v>4885</v>
      </c>
      <c r="H286" s="5" t="s">
        <v>4271</v>
      </c>
    </row>
    <row r="287" spans="1:8" ht="85" customHeight="1">
      <c r="A287" s="5" t="s">
        <v>4886</v>
      </c>
      <c r="B287" s="5" t="s">
        <v>4887</v>
      </c>
      <c r="C287" s="5" t="s">
        <v>4888</v>
      </c>
      <c r="D287" s="5" t="s">
        <v>4889</v>
      </c>
      <c r="E287" s="5" t="s">
        <v>4890</v>
      </c>
      <c r="F287" s="5" t="s">
        <v>4891</v>
      </c>
      <c r="G287" s="5" t="s">
        <v>4892</v>
      </c>
      <c r="H287" s="5" t="s">
        <v>4271</v>
      </c>
    </row>
  </sheetData>
  <autoFilter ref="A4:H287"/>
  <mergeCells count="2">
    <mergeCell ref="A1:H1"/>
    <mergeCell ref="A2:H3"/>
  </mergeCells>
  <pageMargins left="0.7" right="0.7" top="0.75" bottom="0.75" header="0.3" footer="0.3"/>
  <pageSetup paperSize="9" fitToHeight="0" orientation="landscape"/>
  <headerFooter>
    <oddFooter>&amp;L菲律宾选品 · 证据审核&amp;R&amp;P / &amp;N</oddFooter>
  </headerFooter>
</worksheet>
</file>

<file path=xl/worksheets/sheet10.xml><?xml version="1.0" encoding="utf-8"?>
<worksheet xmlns="http://schemas.openxmlformats.org/spreadsheetml/2006/main" xmlns:r="http://schemas.openxmlformats.org/officeDocument/2006/relationships">
  <sheetPr>
    <pageSetUpPr fitToPage="1"/>
  </sheetPr>
  <dimension ref="A1:G15"/>
  <sheetViews>
    <sheetView showGridLines="0" zoomScale="85" zoomScaleNormal="85"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22.7109375" customWidth="1"/>
    <col min="2" max="2" width="34.7109375" customWidth="1"/>
    <col min="3" max="3" width="78.7109375" customWidth="1"/>
    <col min="4" max="4" width="22.7109375" customWidth="1"/>
    <col min="5" max="5" width="76.7109375" customWidth="1"/>
    <col min="6" max="6" width="68.7109375" customWidth="1"/>
    <col min="7" max="7" width="22.7109375" customWidth="1"/>
  </cols>
  <sheetData>
    <row r="1" spans="1:7" ht="38" customHeight="1">
      <c r="A1" s="1" t="s">
        <v>4893</v>
      </c>
      <c r="B1" s="1"/>
      <c r="C1" s="1"/>
      <c r="D1" s="1"/>
      <c r="E1" s="1"/>
      <c r="F1" s="1"/>
      <c r="G1" s="1"/>
    </row>
    <row r="2" spans="1:7" ht="26" customHeight="1">
      <c r="A2" s="2" t="s">
        <v>4894</v>
      </c>
      <c r="B2" s="2"/>
      <c r="C2" s="2"/>
      <c r="D2" s="2"/>
      <c r="E2" s="2"/>
      <c r="F2" s="2"/>
      <c r="G2" s="2"/>
    </row>
    <row r="3" spans="1:7" ht="22" customHeight="1">
      <c r="A3" s="2"/>
      <c r="B3" s="2"/>
      <c r="C3" s="2"/>
      <c r="D3" s="2"/>
      <c r="E3" s="2"/>
      <c r="F3" s="2"/>
      <c r="G3" s="2"/>
    </row>
    <row r="4" spans="1:7" ht="34" customHeight="1">
      <c r="A4" s="4" t="s">
        <v>4895</v>
      </c>
      <c r="B4" s="4" t="s">
        <v>4896</v>
      </c>
      <c r="C4" s="4" t="s">
        <v>4897</v>
      </c>
      <c r="D4" s="4" t="s">
        <v>4898</v>
      </c>
      <c r="E4" s="4" t="s">
        <v>4899</v>
      </c>
      <c r="F4" s="4" t="s">
        <v>4900</v>
      </c>
      <c r="G4" s="4" t="s">
        <v>4901</v>
      </c>
    </row>
    <row r="5" spans="1:7" ht="100" customHeight="1">
      <c r="A5" s="5" t="s">
        <v>4902</v>
      </c>
      <c r="B5" s="5" t="s">
        <v>4903</v>
      </c>
      <c r="C5" s="5" t="s">
        <v>4904</v>
      </c>
      <c r="D5" s="5" t="s">
        <v>4905</v>
      </c>
      <c r="E5" s="5" t="s">
        <v>4906</v>
      </c>
      <c r="F5" s="7" t="s">
        <v>4907</v>
      </c>
      <c r="G5" s="5" t="s">
        <v>4908</v>
      </c>
    </row>
    <row r="6" spans="1:7" ht="100" customHeight="1">
      <c r="A6" s="5" t="s">
        <v>4909</v>
      </c>
      <c r="B6" s="5" t="s">
        <v>4910</v>
      </c>
      <c r="C6" s="5" t="s">
        <v>4911</v>
      </c>
      <c r="D6" s="5" t="s">
        <v>4905</v>
      </c>
      <c r="E6" s="5" t="s">
        <v>4912</v>
      </c>
      <c r="F6" s="7" t="s">
        <v>4913</v>
      </c>
      <c r="G6" s="5" t="s">
        <v>4908</v>
      </c>
    </row>
    <row r="7" spans="1:7" ht="100" customHeight="1">
      <c r="A7" s="5" t="s">
        <v>4914</v>
      </c>
      <c r="B7" s="5" t="s">
        <v>4915</v>
      </c>
      <c r="C7" s="5" t="s">
        <v>4916</v>
      </c>
      <c r="D7" s="5" t="s">
        <v>4917</v>
      </c>
      <c r="E7" s="5" t="s">
        <v>4918</v>
      </c>
      <c r="F7" s="7" t="s">
        <v>4919</v>
      </c>
      <c r="G7" s="5" t="s">
        <v>4908</v>
      </c>
    </row>
    <row r="8" spans="1:7" ht="100" customHeight="1">
      <c r="A8" s="5" t="s">
        <v>4920</v>
      </c>
      <c r="B8" s="5" t="s">
        <v>4921</v>
      </c>
      <c r="C8" s="5" t="s">
        <v>4922</v>
      </c>
      <c r="D8" s="5" t="s">
        <v>4917</v>
      </c>
      <c r="E8" s="5" t="s">
        <v>4923</v>
      </c>
      <c r="F8" s="7" t="s">
        <v>4924</v>
      </c>
      <c r="G8" s="5" t="s">
        <v>4908</v>
      </c>
    </row>
    <row r="9" spans="1:7" ht="100" customHeight="1">
      <c r="A9" s="5" t="s">
        <v>4925</v>
      </c>
      <c r="B9" s="5" t="s">
        <v>4926</v>
      </c>
      <c r="C9" s="5" t="s">
        <v>4927</v>
      </c>
      <c r="D9" s="5" t="s">
        <v>4917</v>
      </c>
      <c r="E9" s="5" t="s">
        <v>4928</v>
      </c>
      <c r="F9" s="7" t="s">
        <v>4929</v>
      </c>
      <c r="G9" s="5" t="s">
        <v>4908</v>
      </c>
    </row>
    <row r="10" spans="1:7" ht="100" customHeight="1">
      <c r="A10" s="5" t="s">
        <v>4930</v>
      </c>
      <c r="B10" s="5" t="s">
        <v>4931</v>
      </c>
      <c r="C10" s="5" t="s">
        <v>4932</v>
      </c>
      <c r="D10" s="5" t="s">
        <v>4933</v>
      </c>
      <c r="E10" s="5" t="s">
        <v>4934</v>
      </c>
      <c r="F10" s="7" t="s">
        <v>4935</v>
      </c>
      <c r="G10" s="5" t="s">
        <v>4908</v>
      </c>
    </row>
    <row r="11" spans="1:7" ht="100" customHeight="1">
      <c r="A11" s="5" t="s">
        <v>4936</v>
      </c>
      <c r="B11" s="5" t="s">
        <v>4937</v>
      </c>
      <c r="C11" s="5" t="s">
        <v>4938</v>
      </c>
      <c r="D11" s="5" t="s">
        <v>4939</v>
      </c>
      <c r="E11" s="5" t="s">
        <v>4940</v>
      </c>
      <c r="F11" s="7" t="s">
        <v>4941</v>
      </c>
      <c r="G11" s="5" t="s">
        <v>4908</v>
      </c>
    </row>
    <row r="12" spans="1:7" ht="100" customHeight="1">
      <c r="A12" s="5" t="s">
        <v>4942</v>
      </c>
      <c r="B12" s="5" t="s">
        <v>4943</v>
      </c>
      <c r="C12" s="5" t="s">
        <v>4944</v>
      </c>
      <c r="D12" s="5" t="s">
        <v>4945</v>
      </c>
      <c r="E12" s="5" t="s">
        <v>4946</v>
      </c>
      <c r="F12" s="7" t="s">
        <v>4947</v>
      </c>
      <c r="G12" s="5" t="s">
        <v>4908</v>
      </c>
    </row>
    <row r="13" spans="1:7" ht="100" customHeight="1">
      <c r="A13" s="5" t="s">
        <v>4948</v>
      </c>
      <c r="B13" s="5" t="s">
        <v>4949</v>
      </c>
      <c r="C13" s="5" t="s">
        <v>4950</v>
      </c>
      <c r="D13" s="5" t="s">
        <v>4951</v>
      </c>
      <c r="E13" s="5" t="s">
        <v>4952</v>
      </c>
      <c r="F13" s="5" t="s">
        <v>4953</v>
      </c>
      <c r="G13" s="5" t="s">
        <v>4954</v>
      </c>
    </row>
    <row r="14" spans="1:7" ht="100" customHeight="1">
      <c r="A14" s="5" t="s">
        <v>4955</v>
      </c>
      <c r="B14" s="5" t="s">
        <v>4956</v>
      </c>
      <c r="C14" s="5" t="s">
        <v>4957</v>
      </c>
      <c r="D14" s="5" t="s">
        <v>4958</v>
      </c>
      <c r="E14" s="5" t="s">
        <v>4959</v>
      </c>
      <c r="F14" s="5" t="s">
        <v>4960</v>
      </c>
      <c r="G14" s="5" t="s">
        <v>4961</v>
      </c>
    </row>
    <row r="15" spans="1:7" ht="100" customHeight="1">
      <c r="A15" s="5" t="s">
        <v>4962</v>
      </c>
      <c r="B15" s="5" t="s">
        <v>4963</v>
      </c>
      <c r="C15" s="5" t="s">
        <v>4964</v>
      </c>
      <c r="D15" s="5" t="s">
        <v>4965</v>
      </c>
      <c r="E15" s="5" t="s">
        <v>4966</v>
      </c>
      <c r="F15" s="5" t="s">
        <v>4891</v>
      </c>
      <c r="G15" s="5" t="s">
        <v>4908</v>
      </c>
    </row>
  </sheetData>
  <autoFilter ref="A4:G15"/>
  <mergeCells count="2">
    <mergeCell ref="A1:G1"/>
    <mergeCell ref="A2:G3"/>
  </mergeCells>
  <hyperlinks>
    <hyperlink ref="F5" r:id="rId1"/>
    <hyperlink ref="F6" r:id="rId2"/>
    <hyperlink ref="F7" r:id="rId3"/>
    <hyperlink ref="F8" r:id="rId4"/>
    <hyperlink ref="F9" r:id="rId5"/>
    <hyperlink ref="F10" r:id="rId6"/>
    <hyperlink ref="F11" r:id="rId7"/>
    <hyperlink ref="F12" r:id="rId8"/>
  </hyperlinks>
  <pageMargins left="0.7" right="0.7" top="0.75" bottom="0.75" header="0.3" footer="0.3"/>
  <pageSetup paperSize="9" fitToHeight="0" orientation="landscape"/>
  <headerFooter>
    <oddFooter>&amp;L菲律宾选品 · 证据审核&amp;R&amp;P / &amp;N</oddFooter>
  </headerFooter>
</worksheet>
</file>

<file path=xl/worksheets/sheet11.xml><?xml version="1.0" encoding="utf-8"?>
<worksheet xmlns="http://schemas.openxmlformats.org/spreadsheetml/2006/main" xmlns:r="http://schemas.openxmlformats.org/officeDocument/2006/relationships">
  <sheetPr>
    <pageSetUpPr fitToPage="1"/>
  </sheetPr>
  <dimension ref="A1:F15"/>
  <sheetViews>
    <sheetView showGridLines="0" zoomScale="85" zoomScaleNormal="85"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25.7109375" customWidth="1"/>
    <col min="2" max="2" width="22.7109375" customWidth="1"/>
    <col min="3" max="3" width="55.7109375" customWidth="1"/>
    <col min="4" max="4" width="80.7109375" customWidth="1"/>
    <col min="5" max="5" width="70.7109375" customWidth="1"/>
    <col min="6" max="6" width="60.7109375" customWidth="1"/>
  </cols>
  <sheetData>
    <row r="1" spans="1:6" ht="38" customHeight="1">
      <c r="A1" s="1" t="s">
        <v>4967</v>
      </c>
      <c r="B1" s="1"/>
      <c r="C1" s="1"/>
      <c r="D1" s="1"/>
      <c r="E1" s="1"/>
      <c r="F1" s="1"/>
    </row>
    <row r="2" spans="1:6" ht="26" customHeight="1">
      <c r="A2" s="2" t="s">
        <v>4968</v>
      </c>
      <c r="B2" s="2"/>
      <c r="C2" s="2"/>
      <c r="D2" s="2"/>
      <c r="E2" s="2"/>
      <c r="F2" s="2"/>
    </row>
    <row r="3" spans="1:6" ht="22" customHeight="1">
      <c r="A3" s="2"/>
      <c r="B3" s="2"/>
      <c r="C3" s="2"/>
      <c r="D3" s="2"/>
      <c r="E3" s="2"/>
      <c r="F3" s="2"/>
    </row>
    <row r="4" spans="1:6" ht="34" customHeight="1">
      <c r="A4" s="4" t="s">
        <v>4969</v>
      </c>
      <c r="B4" s="4" t="s">
        <v>4970</v>
      </c>
      <c r="C4" s="4" t="s">
        <v>4971</v>
      </c>
      <c r="D4" s="4" t="s">
        <v>4972</v>
      </c>
      <c r="E4" s="4" t="s">
        <v>4973</v>
      </c>
      <c r="F4" s="4" t="s">
        <v>4974</v>
      </c>
    </row>
    <row r="5" spans="1:6" ht="92" customHeight="1">
      <c r="A5" s="5" t="s">
        <v>4975</v>
      </c>
      <c r="B5" s="5" t="s">
        <v>4976</v>
      </c>
      <c r="C5" s="5" t="s">
        <v>4977</v>
      </c>
      <c r="D5" s="5" t="s">
        <v>4978</v>
      </c>
      <c r="E5" s="5" t="s">
        <v>4979</v>
      </c>
      <c r="F5" s="5" t="s">
        <v>4980</v>
      </c>
    </row>
    <row r="6" spans="1:6" ht="92" customHeight="1">
      <c r="A6" s="5" t="s">
        <v>4981</v>
      </c>
      <c r="B6" s="5" t="s">
        <v>4982</v>
      </c>
      <c r="C6" s="5" t="s">
        <v>4983</v>
      </c>
      <c r="D6" s="5" t="s">
        <v>4984</v>
      </c>
      <c r="E6" s="5" t="s">
        <v>4985</v>
      </c>
      <c r="F6" s="5" t="s">
        <v>4986</v>
      </c>
    </row>
    <row r="7" spans="1:6" ht="92" customHeight="1">
      <c r="A7" s="5" t="s">
        <v>4987</v>
      </c>
      <c r="B7" s="5" t="s">
        <v>4982</v>
      </c>
      <c r="C7" s="5" t="s">
        <v>4988</v>
      </c>
      <c r="D7" s="5" t="s">
        <v>4989</v>
      </c>
      <c r="E7" s="5" t="s">
        <v>4990</v>
      </c>
      <c r="F7" s="5" t="s">
        <v>4991</v>
      </c>
    </row>
    <row r="8" spans="1:6" ht="92" customHeight="1">
      <c r="A8" s="5" t="s">
        <v>4992</v>
      </c>
      <c r="B8" s="5" t="s">
        <v>4982</v>
      </c>
      <c r="C8" s="5" t="s">
        <v>4993</v>
      </c>
      <c r="D8" s="5" t="s">
        <v>4994</v>
      </c>
      <c r="E8" s="5" t="s">
        <v>4995</v>
      </c>
      <c r="F8" s="5" t="s">
        <v>4996</v>
      </c>
    </row>
    <row r="9" spans="1:6" ht="92" customHeight="1">
      <c r="A9" s="5" t="s">
        <v>4997</v>
      </c>
      <c r="B9" s="5" t="s">
        <v>4982</v>
      </c>
      <c r="C9" s="5" t="s">
        <v>4998</v>
      </c>
      <c r="D9" s="5" t="s">
        <v>4999</v>
      </c>
      <c r="E9" s="5" t="s">
        <v>5000</v>
      </c>
      <c r="F9" s="5" t="s">
        <v>5001</v>
      </c>
    </row>
    <row r="10" spans="1:6" ht="92" customHeight="1">
      <c r="A10" s="5" t="s">
        <v>5002</v>
      </c>
      <c r="B10" s="5" t="s">
        <v>5003</v>
      </c>
      <c r="C10" s="5" t="s">
        <v>5004</v>
      </c>
      <c r="D10" s="5" t="s">
        <v>5005</v>
      </c>
      <c r="E10" s="5" t="s">
        <v>5006</v>
      </c>
      <c r="F10" s="5" t="s">
        <v>5007</v>
      </c>
    </row>
    <row r="11" spans="1:6" ht="92" customHeight="1">
      <c r="A11" s="5" t="s">
        <v>5008</v>
      </c>
      <c r="B11" s="5" t="s">
        <v>5009</v>
      </c>
      <c r="C11" s="5" t="s">
        <v>5010</v>
      </c>
      <c r="D11" s="5" t="s">
        <v>5011</v>
      </c>
      <c r="E11" s="5" t="s">
        <v>5012</v>
      </c>
      <c r="F11" s="5" t="s">
        <v>5013</v>
      </c>
    </row>
    <row r="12" spans="1:6" ht="92" customHeight="1">
      <c r="A12" s="5" t="s">
        <v>5014</v>
      </c>
      <c r="B12" s="5" t="s">
        <v>5015</v>
      </c>
      <c r="C12" s="5" t="s">
        <v>5016</v>
      </c>
      <c r="D12" s="5" t="s">
        <v>5017</v>
      </c>
      <c r="E12" s="5" t="s">
        <v>5018</v>
      </c>
      <c r="F12" s="5" t="s">
        <v>5019</v>
      </c>
    </row>
    <row r="13" spans="1:6" ht="92" customHeight="1">
      <c r="A13" s="5" t="s">
        <v>5020</v>
      </c>
      <c r="B13" s="5" t="s">
        <v>5015</v>
      </c>
      <c r="C13" s="5" t="s">
        <v>5021</v>
      </c>
      <c r="D13" s="5" t="s">
        <v>5022</v>
      </c>
      <c r="E13" s="5" t="s">
        <v>5023</v>
      </c>
      <c r="F13" s="5" t="s">
        <v>5024</v>
      </c>
    </row>
    <row r="14" spans="1:6" ht="92" customHeight="1">
      <c r="A14" s="5" t="s">
        <v>5025</v>
      </c>
      <c r="B14" s="5" t="s">
        <v>5003</v>
      </c>
      <c r="C14" s="5" t="s">
        <v>5026</v>
      </c>
      <c r="D14" s="5" t="s">
        <v>5027</v>
      </c>
      <c r="E14" s="5" t="s">
        <v>5028</v>
      </c>
      <c r="F14" s="5" t="s">
        <v>5029</v>
      </c>
    </row>
    <row r="15" spans="1:6" ht="92" customHeight="1">
      <c r="A15" s="5" t="s">
        <v>5030</v>
      </c>
      <c r="B15" s="5" t="s">
        <v>5031</v>
      </c>
      <c r="C15" s="5" t="s">
        <v>5032</v>
      </c>
      <c r="D15" s="5" t="s">
        <v>5033</v>
      </c>
      <c r="E15" s="5" t="s">
        <v>5034</v>
      </c>
      <c r="F15" s="5" t="s">
        <v>5035</v>
      </c>
    </row>
  </sheetData>
  <autoFilter ref="A4:F15"/>
  <mergeCells count="2">
    <mergeCell ref="A1:F1"/>
    <mergeCell ref="A2:F3"/>
  </mergeCells>
  <pageMargins left="0.7" right="0.7" top="0.75" bottom="0.75" header="0.3" footer="0.3"/>
  <pageSetup paperSize="9" fitToHeight="0" orientation="landscape"/>
  <headerFooter>
    <oddFooter>&amp;L菲律宾选品 · 证据审核&amp;R&amp;P / &amp;N</oddFooter>
  </headerFooter>
</worksheet>
</file>

<file path=xl/worksheets/sheet12.xml><?xml version="1.0" encoding="utf-8"?>
<worksheet xmlns="http://schemas.openxmlformats.org/spreadsheetml/2006/main" xmlns:r="http://schemas.openxmlformats.org/officeDocument/2006/relationships">
  <sheetPr>
    <pageSetUpPr fitToPage="1"/>
  </sheetPr>
  <dimension ref="A1:E13"/>
  <sheetViews>
    <sheetView showGridLines="0" zoomScale="85" zoomScaleNormal="85"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28.7109375" customWidth="1"/>
    <col min="2" max="2" width="75.7109375" customWidth="1"/>
    <col min="3" max="3" width="80.7109375" customWidth="1"/>
    <col min="4" max="4" width="28.7109375" customWidth="1"/>
    <col min="5" max="5" width="58.7109375" customWidth="1"/>
  </cols>
  <sheetData>
    <row r="1" spans="1:5" ht="38" customHeight="1">
      <c r="A1" s="1" t="s">
        <v>5036</v>
      </c>
      <c r="B1" s="1"/>
      <c r="C1" s="1"/>
      <c r="D1" s="1"/>
      <c r="E1" s="1"/>
    </row>
    <row r="2" spans="1:5" ht="26" customHeight="1">
      <c r="A2" s="2" t="s">
        <v>5037</v>
      </c>
      <c r="B2" s="2"/>
      <c r="C2" s="2"/>
      <c r="D2" s="2"/>
      <c r="E2" s="2"/>
    </row>
    <row r="3" spans="1:5" ht="22" customHeight="1">
      <c r="A3" s="2"/>
      <c r="B3" s="2"/>
      <c r="C3" s="2"/>
      <c r="D3" s="2"/>
      <c r="E3" s="2"/>
    </row>
    <row r="4" spans="1:5" ht="34" customHeight="1">
      <c r="A4" s="4" t="s">
        <v>4259</v>
      </c>
      <c r="B4" s="4" t="s">
        <v>5038</v>
      </c>
      <c r="C4" s="4" t="s">
        <v>5039</v>
      </c>
      <c r="D4" s="4" t="s">
        <v>5040</v>
      </c>
      <c r="E4" s="4" t="s">
        <v>5041</v>
      </c>
    </row>
    <row r="5" spans="1:5" ht="90" customHeight="1">
      <c r="A5" s="5" t="s">
        <v>5042</v>
      </c>
      <c r="B5" s="5" t="s">
        <v>5043</v>
      </c>
      <c r="C5" s="5" t="s">
        <v>5044</v>
      </c>
      <c r="D5" s="5" t="s">
        <v>5045</v>
      </c>
      <c r="E5" s="5" t="s">
        <v>5046</v>
      </c>
    </row>
    <row r="6" spans="1:5" ht="90" customHeight="1">
      <c r="A6" s="5" t="s">
        <v>5047</v>
      </c>
      <c r="B6" s="5" t="s">
        <v>5048</v>
      </c>
      <c r="C6" s="5" t="s">
        <v>5049</v>
      </c>
      <c r="D6" s="5" t="s">
        <v>5045</v>
      </c>
      <c r="E6" s="5" t="s">
        <v>5050</v>
      </c>
    </row>
    <row r="7" spans="1:5" ht="90" customHeight="1">
      <c r="A7" s="5" t="s">
        <v>5051</v>
      </c>
      <c r="B7" s="5" t="s">
        <v>5052</v>
      </c>
      <c r="C7" s="5" t="s">
        <v>5053</v>
      </c>
      <c r="D7" s="5" t="s">
        <v>5054</v>
      </c>
      <c r="E7" s="5" t="s">
        <v>5055</v>
      </c>
    </row>
    <row r="8" spans="1:5" ht="90" customHeight="1">
      <c r="A8" s="5" t="s">
        <v>5056</v>
      </c>
      <c r="B8" s="5" t="s">
        <v>5057</v>
      </c>
      <c r="C8" s="5" t="s">
        <v>5058</v>
      </c>
      <c r="D8" s="5" t="s">
        <v>5059</v>
      </c>
      <c r="E8" s="5" t="s">
        <v>5060</v>
      </c>
    </row>
    <row r="9" spans="1:5" ht="90" customHeight="1">
      <c r="A9" s="5" t="s">
        <v>5061</v>
      </c>
      <c r="B9" s="5" t="s">
        <v>5062</v>
      </c>
      <c r="C9" s="5" t="s">
        <v>5063</v>
      </c>
      <c r="D9" s="5" t="s">
        <v>5045</v>
      </c>
      <c r="E9" s="5" t="s">
        <v>5064</v>
      </c>
    </row>
    <row r="10" spans="1:5" ht="90" customHeight="1">
      <c r="A10" s="5" t="s">
        <v>5065</v>
      </c>
      <c r="B10" s="5" t="s">
        <v>5066</v>
      </c>
      <c r="C10" s="5" t="s">
        <v>5067</v>
      </c>
      <c r="D10" s="5" t="s">
        <v>5068</v>
      </c>
      <c r="E10" s="5" t="s">
        <v>5069</v>
      </c>
    </row>
    <row r="11" spans="1:5" ht="90" customHeight="1">
      <c r="A11" s="5" t="s">
        <v>5070</v>
      </c>
      <c r="B11" s="5" t="s">
        <v>5071</v>
      </c>
      <c r="C11" s="5" t="s">
        <v>5072</v>
      </c>
      <c r="D11" s="5" t="s">
        <v>5073</v>
      </c>
      <c r="E11" s="5" t="s">
        <v>5074</v>
      </c>
    </row>
    <row r="12" spans="1:5" ht="90" customHeight="1">
      <c r="A12" s="5" t="s">
        <v>5075</v>
      </c>
      <c r="B12" s="5" t="s">
        <v>5076</v>
      </c>
      <c r="C12" s="5" t="s">
        <v>5077</v>
      </c>
      <c r="D12" s="5" t="s">
        <v>5073</v>
      </c>
      <c r="E12" s="5" t="s">
        <v>5078</v>
      </c>
    </row>
    <row r="13" spans="1:5" ht="90" customHeight="1">
      <c r="A13" s="5" t="s">
        <v>5079</v>
      </c>
      <c r="B13" s="5" t="s">
        <v>5080</v>
      </c>
      <c r="C13" s="5" t="s">
        <v>5081</v>
      </c>
      <c r="D13" s="5" t="s">
        <v>5073</v>
      </c>
      <c r="E13" s="5" t="s">
        <v>5082</v>
      </c>
    </row>
  </sheetData>
  <autoFilter ref="A4:E13"/>
  <mergeCells count="2">
    <mergeCell ref="A1:E1"/>
    <mergeCell ref="A2:E3"/>
  </mergeCells>
  <pageMargins left="0.7" right="0.7" top="0.75" bottom="0.75" header="0.3" footer="0.3"/>
  <pageSetup paperSize="9" fitToHeight="0" orientation="landscape"/>
  <headerFooter>
    <oddFooter>&amp;L菲律宾选品 · 证据审核&amp;R&amp;P / &amp;N</oddFooter>
  </headerFooter>
</worksheet>
</file>

<file path=xl/worksheets/sheet13.xml><?xml version="1.0" encoding="utf-8"?>
<worksheet xmlns="http://schemas.openxmlformats.org/spreadsheetml/2006/main" xmlns:r="http://schemas.openxmlformats.org/officeDocument/2006/relationships">
  <sheetPr>
    <pageSetUpPr fitToPage="1"/>
  </sheetPr>
  <dimension ref="A1:D4"/>
  <sheetViews>
    <sheetView showGridLines="0" zoomScale="85" zoomScaleNormal="85" workbookViewId="0">
      <pane xSplit="2" ySplit="4" topLeftCell="C5" activePane="bottomRight" state="frozen"/>
      <selection pane="topRight" activeCell="C1" sqref="C1"/>
      <selection pane="bottomLeft" activeCell="A5" sqref="A5"/>
      <selection pane="bottomRight"/>
    </sheetView>
  </sheetViews>
  <sheetFormatPr defaultRowHeight="15"/>
  <cols>
    <col min="1" max="4" width="40.7109375" customWidth="1"/>
  </cols>
  <sheetData>
    <row r="1" spans="1:4" ht="38" customHeight="1">
      <c r="A1" s="1" t="s">
        <v>5083</v>
      </c>
      <c r="B1" s="1"/>
      <c r="C1" s="1"/>
      <c r="D1" s="1"/>
    </row>
    <row r="2" spans="1:4" ht="26" customHeight="1">
      <c r="A2" s="2" t="s">
        <v>5084</v>
      </c>
      <c r="B2" s="2"/>
      <c r="C2" s="2"/>
      <c r="D2" s="2"/>
    </row>
    <row r="3" spans="1:4" ht="22" customHeight="1">
      <c r="A3" s="2"/>
      <c r="B3" s="2"/>
      <c r="C3" s="2"/>
      <c r="D3" s="2"/>
    </row>
    <row r="4" spans="1:4" ht="34" customHeight="1">
      <c r="A4" s="4" t="s">
        <v>5085</v>
      </c>
      <c r="B4" s="4" t="s">
        <v>5086</v>
      </c>
      <c r="C4" s="4" t="s">
        <v>5087</v>
      </c>
      <c r="D4" s="4" t="s">
        <v>5088</v>
      </c>
    </row>
  </sheetData>
  <mergeCells count="2">
    <mergeCell ref="A1:D1"/>
    <mergeCell ref="A2:D3"/>
  </mergeCells>
  <pageMargins left="0.7" right="0.7" top="0.75" bottom="0.75" header="0.3" footer="0.3"/>
  <pageSetup paperSize="9" fitToHeight="0" orientation="landscape"/>
  <headerFooter>
    <oddFooter>&amp;L菲律宾选品 · 证据审核&amp;R&amp;P / &amp;N</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13</vt:i4>
      </vt:variant>
    </vt:vector>
  </HeadingPairs>
  <TitlesOfParts>
    <vt:vector size="26" baseType="lpstr">
      <vt:lpstr>00_审核入口</vt:lpstr>
      <vt:lpstr>01_逐品结论</vt:lpstr>
      <vt:lpstr>02_逐项证据门槛</vt:lpstr>
      <vt:lpstr>03_逐品成本</vt:lpstr>
      <vt:lpstr>04_费用明细</vt:lpstr>
      <vt:lpstr>05_500元与现金</vt:lpstr>
      <vt:lpstr>06_1688历史货源</vt:lpstr>
      <vt:lpstr>07_历史市场原值</vt:lpstr>
      <vt:lpstr>08_数据问题</vt:lpstr>
      <vt:lpstr>09_市场与官方证据</vt:lpstr>
      <vt:lpstr>10_SOP与阈值</vt:lpstr>
      <vt:lpstr>11_复盘与待补资料</vt:lpstr>
      <vt:lpstr>12_流程图</vt:lpstr>
      <vt:lpstr>'00_审核入口'!Print_Titles</vt:lpstr>
      <vt:lpstr>'01_逐品结论'!Print_Titles</vt:lpstr>
      <vt:lpstr>'02_逐项证据门槛'!Print_Titles</vt:lpstr>
      <vt:lpstr>'03_逐品成本'!Print_Titles</vt:lpstr>
      <vt:lpstr>'04_费用明细'!Print_Titles</vt:lpstr>
      <vt:lpstr>'05_500元与现金'!Print_Titles</vt:lpstr>
      <vt:lpstr>'06_1688历史货源'!Print_Titles</vt:lpstr>
      <vt:lpstr>'07_历史市场原值'!Print_Titles</vt:lpstr>
      <vt:lpstr>'08_数据问题'!Print_Titles</vt:lpstr>
      <vt:lpstr>'09_市场与官方证据'!Print_Titles</vt:lpstr>
      <vt:lpstr>'10_SOP与阈值'!Print_Titles</vt:lpstr>
      <vt:lpstr>'11_复盘与待补资料'!Print_Titles</vt:lpstr>
      <vt:lpstr>'12_流程图'!Print_Titles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Shopee菲律宾每日选品审核</dc:title>
  <dc:creator>店铺选品工作区</dc:creator>
  <dc:description>真实证据与未知值分开；审核草案；不代表已盈利。</dc:description>
  <cp:lastModifiedBy>店铺选品工作区</cp:lastModifiedBy>
  <dcterms:created xsi:type="dcterms:W3CDTF">2026-09-15T13:32:02Z</dcterms:created>
  <dcterms:modified xsi:type="dcterms:W3CDTF">2026-09-15T13:32:02Z</dcterms:modified>
</cp:coreProperties>
</file>