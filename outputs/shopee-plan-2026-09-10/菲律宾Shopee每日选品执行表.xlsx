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首轮12候选" sheetId="2" state="visible" r:id="rId2"/>
    <sheet xmlns:r="http://schemas.openxmlformats.org/officeDocument/2006/relationships" name="证据与待核实" sheetId="3" state="visible" r:id="rId3"/>
    <sheet xmlns:r="http://schemas.openxmlformats.org/officeDocument/2006/relationships" name="资金与情景" sheetId="4" state="visible" r:id="rId4"/>
    <sheet xmlns:r="http://schemas.openxmlformats.org/officeDocument/2006/relationships" name="全成本核算待填写" sheetId="5" state="visible" r:id="rId5"/>
    <sheet xmlns:r="http://schemas.openxmlformats.org/officeDocument/2006/relationships" name="30天日报" sheetId="6" state="visible" r:id="rId6"/>
  </sheets>
  <definedNames>
    <definedName name="_xlnm._FilterDatabase" localSheetId="0" hidden="1">'使用说明'!$A$1:$B$15</definedName>
    <definedName name="_xlnm._FilterDatabase" localSheetId="1" hidden="1">'首轮12候选'!$A$1:$K$13</definedName>
    <definedName name="_xlnm._FilterDatabase" localSheetId="2" hidden="1">'证据与待核实'!$A$1:$P$13</definedName>
    <definedName name="_xlnm._FilterDatabase" localSheetId="3" hidden="1">'资金与情景'!$A$1:$C$23</definedName>
    <definedName name="_xlnm._FilterDatabase" localSheetId="4" hidden="1">'全成本核算待填写'!$A$1:$R$14</definedName>
    <definedName name="_xlnm._FilterDatabase" localSheetId="5" hidden="1">'30天日报'!$A$1:$I$31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微软雅黑"/>
      <b val="1"/>
      <color rgb="00FFFFFF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63A4A"/>
      </patternFill>
    </fill>
    <fill>
      <patternFill patternType="solid">
        <fgColor rgb="00F1F5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1">
      <alignment vertical="top" wrapText="1"/>
    </xf>
    <xf numFmtId="0" fontId="1" fillId="0" borderId="0" applyAlignment="1" pivotButton="0" quotePrefix="0" xfId="1">
      <alignment vertical="top" wrapText="1"/>
    </xf>
    <xf numFmtId="2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ee.ph/product/1220516363/27528479375" TargetMode="External" Id="rId1"/><Relationship Type="http://schemas.openxmlformats.org/officeDocument/2006/relationships/hyperlink" Target="https://detail.1688.com/offer/625255182969.html" TargetMode="External" Id="rId2"/><Relationship Type="http://schemas.openxmlformats.org/officeDocument/2006/relationships/hyperlink" Target="https://shopee.ph/product/550121387/14529056693" TargetMode="External" Id="rId3"/><Relationship Type="http://schemas.openxmlformats.org/officeDocument/2006/relationships/hyperlink" Target="https://detail.1688.com/offer/847068328975.html" TargetMode="External" Id="rId4"/><Relationship Type="http://schemas.openxmlformats.org/officeDocument/2006/relationships/hyperlink" Target="https://shopee.ph/product/1338796953/24944345450" TargetMode="External" Id="rId5"/><Relationship Type="http://schemas.openxmlformats.org/officeDocument/2006/relationships/hyperlink" Target="https://shopee.ph/product/699515539/25544554587" TargetMode="External" Id="rId6"/><Relationship Type="http://schemas.openxmlformats.org/officeDocument/2006/relationships/hyperlink" Target="https://shopee.ph/product/419236915/6185455937" TargetMode="External" Id="rId7"/><Relationship Type="http://schemas.openxmlformats.org/officeDocument/2006/relationships/hyperlink" Target="https://shopee.ph/product/739548616/26901266092" TargetMode="External" Id="rId8"/><Relationship Type="http://schemas.openxmlformats.org/officeDocument/2006/relationships/hyperlink" Target="https://shopee.ph/product/196214868/24474649589" TargetMode="External" Id="rId9"/><Relationship Type="http://schemas.openxmlformats.org/officeDocument/2006/relationships/hyperlink" Target="https://detail.1688.com/offer/723994327186.html" TargetMode="External" Id="rId10"/><Relationship Type="http://schemas.openxmlformats.org/officeDocument/2006/relationships/hyperlink" Target="https://shopee.ph/product/1209340734/27308021764" TargetMode="External" Id="rId11"/><Relationship Type="http://schemas.openxmlformats.org/officeDocument/2006/relationships/hyperlink" Target="https://shopee.ph/product/284375657/14488134409" TargetMode="External" Id="rId12"/><Relationship Type="http://schemas.openxmlformats.org/officeDocument/2006/relationships/hyperlink" Target="https://shopee.ph/product/279498155/15750813899" TargetMode="External" Id="rId13"/><Relationship Type="http://schemas.openxmlformats.org/officeDocument/2006/relationships/hyperlink" Target="https://shopee.ph/product/970194884/19694647631" TargetMode="External" Id="rId14"/><Relationship Type="http://schemas.openxmlformats.org/officeDocument/2006/relationships/hyperlink" Target="https://shopee.ph/product/419236915/4127625737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2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 ht="52" customHeight="1">
      <c r="A2" s="2" t="inlineStr">
        <is>
          <t>适用对象</t>
        </is>
      </c>
      <c r="B2" s="2" t="inlineStr">
        <is>
          <t>菲律宾Shopee跨境店；不囤货；1688/义乌采购；供应商直发云仓；每天2–3小时</t>
        </is>
      </c>
    </row>
    <row r="3" ht="52" customHeight="1">
      <c r="A3" s="3" t="inlineStr">
        <is>
          <t>资金与目标</t>
        </is>
      </c>
      <c r="B3" s="3" t="inlineStr">
        <is>
          <t>启动20,000元；每月试错亏损上限4,000元；1–3个月验证品类，争取月净利&gt;5,000元</t>
        </is>
      </c>
    </row>
    <row r="4" ht="52" customHeight="1">
      <c r="A4" s="2" t="inlineStr">
        <is>
          <t>首轮结果</t>
        </is>
      </c>
      <c r="B4" s="2" t="inlineStr">
        <is>
          <t>12个不同产品候选，0个可直接上架。所有候选均待补证，不代表建议下单。</t>
        </is>
      </c>
    </row>
    <row r="5" ht="52" customHeight="1">
      <c r="A5" s="3" t="inlineStr">
        <is>
          <t>数据范围</t>
        </is>
      </c>
      <c r="B5" s="3" t="inlineStr">
        <is>
          <t>2026-09-10查询7组PH商品关键词，140条不同商品；3组1688查询合计300条原始货源观测，未确认同款。</t>
        </is>
      </c>
    </row>
    <row r="6" ht="52" customHeight="1">
      <c r="A6" s="2" t="inlineStr">
        <is>
          <t>价格缺口</t>
        </is>
      </c>
      <c r="B6" s="2" t="inlineStr">
        <is>
          <t>市场价格原值禁止直接作PHP使用：PH查询与接口THB说明冲突。销量日期在搜索结果中为1970-01-01。</t>
        </is>
      </c>
    </row>
    <row r="7" ht="52" customHeight="1">
      <c r="A7" s="3" t="inlineStr">
        <is>
          <t>货源缺口</t>
        </is>
      </c>
      <c r="B7" s="3" t="inlineStr">
        <is>
          <t>3条供应商链接仅为线索；起价非对应套装报价；MOQ/代发/时效须核实。空白不是零。</t>
        </is>
      </c>
    </row>
    <row r="8" ht="52" customHeight="1">
      <c r="A8" s="2" t="inlineStr">
        <is>
          <t>成本页</t>
        </is>
      </c>
      <c r="B8" s="2" t="inlineStr">
        <is>
          <t>B:M全部输入人民币已核实值；确实不适用的项目填0并留证据。仅提示利润条件，不等于可发布。</t>
        </is>
      </c>
    </row>
    <row r="9" ht="52" customHeight="1">
      <c r="A9" s="3" t="inlineStr">
        <is>
          <t>避免重复费用</t>
        </is>
      </c>
      <c r="B9" s="3" t="inlineStr">
        <is>
          <t>商品净收入已扣卖家券；卖家券勿在成本再扣。物流扣款与补偿只入账一次。含税费勿重复加税。</t>
        </is>
      </c>
    </row>
    <row r="10" ht="52" customHeight="1">
      <c r="A10" s="2" t="inlineStr">
        <is>
          <t>风险成本</t>
        </is>
      </c>
      <c r="B10" s="2" t="inlineStr">
        <is>
          <t>成本页为预期测算；退款/拒收损失不能同时在净收入和风险成本重复扣。实际月结按真实归属核对。</t>
        </is>
      </c>
    </row>
    <row r="11" ht="52" customHeight="1">
      <c r="A11" s="3" t="inlineStr">
        <is>
          <t>资金池</t>
        </is>
      </c>
      <c r="B11" s="3" t="inlineStr">
        <is>
          <t>预算而非现金余额；应急5000元受保护。每月亏损上限不自动补充资金。</t>
        </is>
      </c>
    </row>
    <row r="12" ht="52" customHeight="1">
      <c r="A12" s="2" t="inlineStr">
        <is>
          <t>流程</t>
        </is>
      </c>
      <c r="B12" s="2" t="inlineStr">
        <is>
          <t>先核实费用、库存、包装、图权、交运，再审核；只有真实发布并回读可售才记上架完成。</t>
        </is>
      </c>
    </row>
    <row r="13" ht="52" customHeight="1">
      <c r="A13" s="3" t="inlineStr">
        <is>
          <t>禁做</t>
        </is>
      </c>
      <c r="B13" s="3" t="inlineStr">
        <is>
          <t>强资质认证、带电、化学相关、危险、违规、侵权、书籍、虚拟商品、收藏品。</t>
        </is>
      </c>
    </row>
    <row r="14" ht="52" customHeight="1">
      <c r="A14" s="2" t="inlineStr">
        <is>
          <t>复盘</t>
        </is>
      </c>
      <c r="B14" s="2" t="inlineStr">
        <is>
          <t>第7天查可售与曝光；14天分点击/转化；28天根据修正后的表现优化或停售，零曝光零单不直接删除。</t>
        </is>
      </c>
    </row>
    <row r="15" ht="52" customHeight="1">
      <c r="A15" s="3" t="inlineStr">
        <is>
          <t>来源</t>
        </is>
      </c>
      <c r="B15" s="3" t="inlineStr">
        <is>
          <t>市场及货源原始快照保存于同目录raw-observations.json；完整方案在artifact.json；自动执行规则在每日选品执行规则.md。</t>
        </is>
      </c>
    </row>
  </sheetData>
  <autoFilter ref="A1:B15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28" customWidth="1" min="5" max="5"/>
    <col width="44" customWidth="1" min="6" max="6"/>
    <col width="52" customWidth="1" min="7" max="7"/>
    <col width="32" customWidth="1" min="8" max="8"/>
    <col width="28" customWidth="1" min="9" max="9"/>
    <col width="40" customWidth="1" min="10" max="10"/>
    <col width="26" customWidth="1" min="11" max="11"/>
  </cols>
  <sheetData>
    <row r="1" ht="32" customHeight="1">
      <c r="A1" s="1" t="inlineStr">
        <is>
          <t>序号</t>
        </is>
      </c>
      <c r="B1" s="1" t="inlineStr">
        <is>
          <t>产品方向</t>
        </is>
      </c>
      <c r="C1" s="1" t="inlineStr">
        <is>
          <t>优先级</t>
        </is>
      </c>
      <c r="D1" s="1" t="inlineStr">
        <is>
          <t>子方向</t>
        </is>
      </c>
      <c r="E1" s="1" t="inlineStr">
        <is>
          <t>市场参考链接</t>
        </is>
      </c>
      <c r="F1" s="1" t="inlineStr">
        <is>
          <t>差异化验证方向</t>
        </is>
      </c>
      <c r="G1" s="1" t="inlineStr">
        <is>
          <t>关键检查</t>
        </is>
      </c>
      <c r="H1" s="1" t="inlineStr">
        <is>
          <t>1688查找词</t>
        </is>
      </c>
      <c r="I1" s="1" t="inlineStr">
        <is>
          <t>货源线索</t>
        </is>
      </c>
      <c r="J1" s="1" t="inlineStr">
        <is>
          <t>货源说明</t>
        </is>
      </c>
      <c r="K1" s="1" t="inlineStr">
        <is>
          <t>状态</t>
        </is>
      </c>
    </row>
    <row r="2" ht="52" customHeight="1">
      <c r="A2" s="2" t="n">
        <v>1</v>
      </c>
      <c r="B2" s="2" t="inlineStr">
        <is>
          <t>多尺寸拉链洗衣网袋套装</t>
        </is>
      </c>
      <c r="C2" s="2" t="inlineStr">
        <is>
          <t>优先补证</t>
        </is>
      </c>
      <c r="D2" s="2" t="inlineStr">
        <is>
          <t>衣物整理</t>
        </is>
      </c>
      <c r="E2" s="4" t="inlineStr">
        <is>
          <t>https://shopee.ph/product/1220516363/27528479375</t>
        </is>
      </c>
      <c r="F2" s="2" t="inlineStr">
        <is>
          <t>细网、拉链保护套、明确尺寸与件数</t>
        </is>
      </c>
      <c r="G2" s="2" t="inlineStr">
        <is>
          <t>拉链开合与机洗测试；套装件数逐件对齐</t>
        </is>
      </c>
      <c r="H2" s="2" t="inlineStr">
        <is>
          <t>洗衣网袋套装 粗细网 拉链</t>
        </is>
      </c>
      <c r="I2" s="4" t="inlineStr">
        <is>
          <t>https://detail.1688.com/offer/625255182969.html</t>
        </is>
      </c>
      <c r="J2" s="2" t="inlineStr">
        <is>
          <t>货源线索，非同款配对；起价不能当套装报价</t>
        </is>
      </c>
      <c r="K2" s="2" t="inlineStr">
        <is>
          <t>待补证，不可直接上架</t>
        </is>
      </c>
    </row>
    <row r="3" ht="52" customHeight="1">
      <c r="A3" s="3" t="n">
        <v>2</v>
      </c>
      <c r="B3" s="3" t="inlineStr">
        <is>
          <t>行李箱衣物分装收纳套装</t>
        </is>
      </c>
      <c r="C3" s="3" t="inlineStr">
        <is>
          <t>优先补证</t>
        </is>
      </c>
      <c r="D3" s="3" t="inlineStr">
        <is>
          <t>旅行整理</t>
        </is>
      </c>
      <c r="E3" s="5" t="inlineStr">
        <is>
          <t>https://shopee.ph/product/550121387/14529056693</t>
        </is>
      </c>
      <c r="F3" s="3" t="inlineStr">
        <is>
          <t>分区标签、尺寸图、套装清单</t>
        </is>
      </c>
      <c r="G3" s="3" t="inlineStr">
        <is>
          <t>体积重量；普通分装与压缩功能分开核实</t>
        </is>
      </c>
      <c r="H3" s="3" t="inlineStr">
        <is>
          <t>旅行收纳袋 六件套</t>
        </is>
      </c>
      <c r="I3" s="5" t="inlineStr">
        <is>
          <t>https://detail.1688.com/offer/847068328975.html</t>
        </is>
      </c>
      <c r="J3" s="3" t="inlineStr">
        <is>
          <t>货源线索，非同款配对；起价不能当套装报价</t>
        </is>
      </c>
      <c r="K3" s="3" t="inlineStr">
        <is>
          <t>待补证，不可直接上架</t>
        </is>
      </c>
    </row>
    <row r="4" ht="52" customHeight="1">
      <c r="A4" s="2" t="n">
        <v>3</v>
      </c>
      <c r="B4" s="2" t="inlineStr">
        <is>
          <t>挂钩式旅行洗漱收纳包</t>
        </is>
      </c>
      <c r="C4" s="2" t="inlineStr">
        <is>
          <t>优先补证</t>
        </is>
      </c>
      <c r="D4" s="2" t="inlineStr">
        <is>
          <t>旅行整理</t>
        </is>
      </c>
      <c r="E4" s="4" t="inlineStr">
        <is>
          <t>https://shopee.ph/product/1338796953/24944345450</t>
        </is>
      </c>
      <c r="F4" s="2" t="inlineStr">
        <is>
          <t>可展开分区、挂钩、干湿收纳场景</t>
        </is>
      </c>
      <c r="G4" s="2" t="inlineStr">
        <is>
          <t>挂钩强度、拉链、湿擦测试；不带液体</t>
        </is>
      </c>
      <c r="H4" s="2" t="inlineStr">
        <is>
          <t>挂钩洗漱包 旅行 收纳</t>
        </is>
      </c>
      <c r="I4" s="2" t="inlineStr"/>
      <c r="J4" s="2" t="inlineStr">
        <is>
          <t>待寻找至少2家货源</t>
        </is>
      </c>
      <c r="K4" s="2" t="inlineStr">
        <is>
          <t>待补证，不可直接上架</t>
        </is>
      </c>
    </row>
    <row r="5" ht="52" customHeight="1">
      <c r="A5" s="3" t="n">
        <v>4</v>
      </c>
      <c r="B5" s="3" t="inlineStr">
        <is>
          <t>抽绳鞋子防尘收纳袋</t>
        </is>
      </c>
      <c r="C5" s="3" t="inlineStr">
        <is>
          <t>备选补证</t>
        </is>
      </c>
      <c r="D5" s="3" t="inlineStr">
        <is>
          <t>衣物整理</t>
        </is>
      </c>
      <c r="E5" s="5" t="inlineStr">
        <is>
          <t>https://shopee.ph/product/699515539/25544554587</t>
        </is>
      </c>
      <c r="F5" s="3" t="inlineStr">
        <is>
          <t>多件组合、可辨识鞋型尺寸</t>
        </is>
      </c>
      <c r="G5" s="3" t="inlineStr">
        <is>
          <t>低客单单卖成本；抽绳牢度与布料厚度</t>
        </is>
      </c>
      <c r="H5" s="3" t="inlineStr">
        <is>
          <t>无纺布 鞋子防尘袋 抽绳</t>
        </is>
      </c>
      <c r="I5" s="3" t="inlineStr"/>
      <c r="J5" s="3" t="inlineStr">
        <is>
          <t>待寻找至少2家货源</t>
        </is>
      </c>
      <c r="K5" s="3" t="inlineStr">
        <is>
          <t>待补证，不可直接上架</t>
        </is>
      </c>
    </row>
    <row r="6" ht="52" customHeight="1">
      <c r="A6" s="2" t="n">
        <v>5</v>
      </c>
      <c r="B6" s="2" t="inlineStr">
        <is>
          <t>衣柜悬挂手袋收纳袋</t>
        </is>
      </c>
      <c r="C6" s="2" t="inlineStr">
        <is>
          <t>备选补证</t>
        </is>
      </c>
      <c r="D6" s="2" t="inlineStr">
        <is>
          <t>衣物整理</t>
        </is>
      </c>
      <c r="E6" s="4" t="inlineStr">
        <is>
          <t>https://shopee.ph/product/419236915/6185455937</t>
        </is>
      </c>
      <c r="F6" s="2" t="inlineStr">
        <is>
          <t>袋位可见、适配衣柜尺寸</t>
        </is>
      </c>
      <c r="G6" s="2" t="inlineStr">
        <is>
          <t>承重、缝线、折叠包装体积</t>
        </is>
      </c>
      <c r="H6" s="2" t="inlineStr">
        <is>
          <t>衣柜 挂式 包包收纳袋</t>
        </is>
      </c>
      <c r="I6" s="2" t="inlineStr"/>
      <c r="J6" s="2" t="inlineStr">
        <is>
          <t>待寻找至少2家货源</t>
        </is>
      </c>
      <c r="K6" s="2" t="inlineStr">
        <is>
          <t>待补证，不可直接上架</t>
        </is>
      </c>
    </row>
    <row r="7" ht="52" customHeight="1">
      <c r="A7" s="3" t="n">
        <v>6</v>
      </c>
      <c r="B7" s="3" t="inlineStr">
        <is>
          <t>发夹与发圈挂式整理架</t>
        </is>
      </c>
      <c r="C7" s="3" t="inlineStr">
        <is>
          <t>备选补证</t>
        </is>
      </c>
      <c r="D7" s="3" t="inlineStr">
        <is>
          <t>衣物整理</t>
        </is>
      </c>
      <c r="E7" s="5" t="inlineStr">
        <is>
          <t>https://shopee.ph/product/739548616/26901266092</t>
        </is>
      </c>
      <c r="F7" s="3" t="inlineStr">
        <is>
          <t>按发夹/发圈分区、展示实物尺寸</t>
        </is>
      </c>
      <c r="G7" s="3" t="inlineStr">
        <is>
          <t>挂钩数量、组装难度、素材版权</t>
        </is>
      </c>
      <c r="H7" s="3" t="inlineStr">
        <is>
          <t>发饰收纳 挂式 发夹 发圈</t>
        </is>
      </c>
      <c r="I7" s="3" t="inlineStr"/>
      <c r="J7" s="3" t="inlineStr">
        <is>
          <t>待寻找至少2家货源</t>
        </is>
      </c>
      <c r="K7" s="3" t="inlineStr">
        <is>
          <t>待补证，不可直接上架</t>
        </is>
      </c>
    </row>
    <row r="8" ht="52" customHeight="1">
      <c r="A8" s="2" t="n">
        <v>7</v>
      </c>
      <c r="B8" s="2" t="inlineStr">
        <is>
          <t>自粘桌面理线夹套装</t>
        </is>
      </c>
      <c r="C8" s="2" t="inlineStr">
        <is>
          <t>优先补证</t>
        </is>
      </c>
      <c r="D8" s="2" t="inlineStr">
        <is>
          <t>线材整理</t>
        </is>
      </c>
      <c r="E8" s="4" t="inlineStr">
        <is>
          <t>https://shopee.ph/product/196214868/24474649589</t>
        </is>
      </c>
      <c r="F8" s="2" t="inlineStr">
        <is>
          <t>孔径清楚、安装说明、组合数量</t>
        </is>
      </c>
      <c r="G8" s="2" t="inlineStr">
        <is>
          <t>胶黏耐湿热、可适配线径；参考样本为Choice Global且品牌字段有冲突</t>
        </is>
      </c>
      <c r="H8" s="2" t="inlineStr">
        <is>
          <t>自粘理线夹 桌面 固线器</t>
        </is>
      </c>
      <c r="I8" s="4" t="inlineStr">
        <is>
          <t>https://detail.1688.com/offer/723994327186.html</t>
        </is>
      </c>
      <c r="J8" s="2" t="inlineStr">
        <is>
          <t>货源线索，非同款配对；起价不能当套装报价</t>
        </is>
      </c>
      <c r="K8" s="2" t="inlineStr">
        <is>
          <t>待补证，不可直接上架</t>
        </is>
      </c>
    </row>
    <row r="9" ht="52" customHeight="1">
      <c r="A9" s="3" t="n">
        <v>8</v>
      </c>
      <c r="B9" s="3" t="inlineStr">
        <is>
          <t>厨房电器电源线绕线器</t>
        </is>
      </c>
      <c r="C9" s="3" t="inlineStr">
        <is>
          <t>优先补证</t>
        </is>
      </c>
      <c r="D9" s="3" t="inlineStr">
        <is>
          <t>线材整理</t>
        </is>
      </c>
      <c r="E9" s="5" t="inlineStr">
        <is>
          <t>https://shopee.ph/product/1209340734/27308021764</t>
        </is>
      </c>
      <c r="F9" s="3" t="inlineStr">
        <is>
          <t>突出适配表面与安装位置</t>
        </is>
      </c>
      <c r="G9" s="3" t="inlineStr">
        <is>
          <t>脱胶与热源距离；不宣称防火或电气保护</t>
        </is>
      </c>
      <c r="H9" s="3" t="inlineStr">
        <is>
          <t>厨房电器 绕线器 收线</t>
        </is>
      </c>
      <c r="I9" s="3" t="inlineStr"/>
      <c r="J9" s="3" t="inlineStr">
        <is>
          <t>待寻找至少2家货源</t>
        </is>
      </c>
      <c r="K9" s="3" t="inlineStr">
        <is>
          <t>待补证，不可直接上架</t>
        </is>
      </c>
    </row>
    <row r="10" ht="52" customHeight="1">
      <c r="A10" s="2" t="n">
        <v>9</v>
      </c>
      <c r="B10" s="2" t="inlineStr">
        <is>
          <t>螺旋式线材整理保护管</t>
        </is>
      </c>
      <c r="C10" s="2" t="inlineStr">
        <is>
          <t>优先补证</t>
        </is>
      </c>
      <c r="D10" s="2" t="inlineStr">
        <is>
          <t>线材整理</t>
        </is>
      </c>
      <c r="E10" s="4" t="inlineStr">
        <is>
          <t>https://shopee.ph/product/284375657/14488134409</t>
        </is>
      </c>
      <c r="F10" s="2" t="inlineStr">
        <is>
          <t>按内径和长度售卖</t>
        </is>
      </c>
      <c r="G10" s="2" t="inlineStr">
        <is>
          <t>规格与材质核实；不宣称防猫咬或绝缘认证</t>
        </is>
      </c>
      <c r="H10" s="2" t="inlineStr">
        <is>
          <t>螺旋缠绕管 理线管</t>
        </is>
      </c>
      <c r="I10" s="2" t="inlineStr"/>
      <c r="J10" s="2" t="inlineStr">
        <is>
          <t>待寻找至少2家货源</t>
        </is>
      </c>
      <c r="K10" s="2" t="inlineStr">
        <is>
          <t>待补证，不可直接上架</t>
        </is>
      </c>
    </row>
    <row r="11" ht="52" customHeight="1">
      <c r="A11" s="3" t="n">
        <v>10</v>
      </c>
      <c r="B11" s="3" t="inlineStr">
        <is>
          <t>衣物粘毛滚筒加替换芯</t>
        </is>
      </c>
      <c r="C11" s="3" t="inlineStr">
        <is>
          <t>观察补证</t>
        </is>
      </c>
      <c r="D11" s="3" t="inlineStr">
        <is>
          <t>清洁备选</t>
        </is>
      </c>
      <c r="E11" s="5" t="inlineStr">
        <is>
          <t>https://shopee.ph/product/279498155/15750813899</t>
        </is>
      </c>
      <c r="F11" s="3" t="inlineStr">
        <is>
          <t>滚筒与替换芯组合、撕取演示</t>
        </is>
      </c>
      <c r="G11" s="3" t="inlineStr">
        <is>
          <t>纸张数、粘力、实际毛发清理测试</t>
        </is>
      </c>
      <c r="H11" s="3" t="inlineStr">
        <is>
          <t>粘毛器 滚筒 替换芯 套装</t>
        </is>
      </c>
      <c r="I11" s="3" t="inlineStr"/>
      <c r="J11" s="3" t="inlineStr">
        <is>
          <t>待寻找至少2家货源</t>
        </is>
      </c>
      <c r="K11" s="3" t="inlineStr">
        <is>
          <t>待补证，不可直接上架</t>
        </is>
      </c>
    </row>
    <row r="12" ht="52" customHeight="1">
      <c r="A12" s="2" t="n">
        <v>11</v>
      </c>
      <c r="B12" s="2" t="inlineStr">
        <is>
          <t>硅胶排水口毛发过滤片</t>
        </is>
      </c>
      <c r="C12" s="2" t="inlineStr">
        <is>
          <t>观察补证</t>
        </is>
      </c>
      <c r="D12" s="2" t="inlineStr">
        <is>
          <t>清洁备选</t>
        </is>
      </c>
      <c r="E12" s="4" t="inlineStr">
        <is>
          <t>https://shopee.ph/product/970194884/19694647631</t>
        </is>
      </c>
      <c r="F12" s="2" t="inlineStr">
        <is>
          <t>按孔径与排水口形状组合</t>
        </is>
      </c>
      <c r="G12" s="2" t="inlineStr">
        <is>
          <t>排水速度、贴合度；不作杀菌除臭承诺</t>
        </is>
      </c>
      <c r="H12" s="2" t="inlineStr">
        <is>
          <t>硅胶 地漏 毛发过滤网</t>
        </is>
      </c>
      <c r="I12" s="2" t="inlineStr"/>
      <c r="J12" s="2" t="inlineStr">
        <is>
          <t>待寻找至少2家货源</t>
        </is>
      </c>
      <c r="K12" s="2" t="inlineStr">
        <is>
          <t>待补证，不可直接上架</t>
        </is>
      </c>
    </row>
    <row r="13" ht="52" customHeight="1">
      <c r="A13" s="3" t="n">
        <v>12</v>
      </c>
      <c r="B13" s="3" t="inlineStr">
        <is>
          <t>挂式塑料袋收纳袋</t>
        </is>
      </c>
      <c r="C13" s="3" t="inlineStr">
        <is>
          <t>观察补证</t>
        </is>
      </c>
      <c r="D13" s="3" t="inlineStr">
        <is>
          <t>家居备选</t>
        </is>
      </c>
      <c r="E13" s="5" t="inlineStr">
        <is>
          <t>https://shopee.ph/product/419236915/41276257375</t>
        </is>
      </c>
      <c r="F13" s="3" t="inlineStr">
        <is>
          <t>上装下抽、尺寸与悬挂方式清楚</t>
        </is>
      </c>
      <c r="G13" s="3" t="inlineStr">
        <is>
          <t>低单价竞争；抽取顺畅、挂带强度</t>
        </is>
      </c>
      <c r="H13" s="3" t="inlineStr">
        <is>
          <t>塑料袋 收纳袋 挂式</t>
        </is>
      </c>
      <c r="I13" s="3" t="inlineStr"/>
      <c r="J13" s="3" t="inlineStr">
        <is>
          <t>待寻找至少2家货源</t>
        </is>
      </c>
      <c r="K13" s="3" t="inlineStr">
        <is>
          <t>待补证，不可直接上架</t>
        </is>
      </c>
    </row>
  </sheetData>
  <autoFilter ref="A1:K13"/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E3" r:id="rId3"/>
    <hyperlink xmlns:r="http://schemas.openxmlformats.org/officeDocument/2006/relationships" ref="I3" r:id="rId4"/>
    <hyperlink xmlns:r="http://schemas.openxmlformats.org/officeDocument/2006/relationships" ref="E4" r:id="rId5"/>
    <hyperlink xmlns:r="http://schemas.openxmlformats.org/officeDocument/2006/relationships" ref="E5" r:id="rId6"/>
    <hyperlink xmlns:r="http://schemas.openxmlformats.org/officeDocument/2006/relationships" ref="E6" r:id="rId7"/>
    <hyperlink xmlns:r="http://schemas.openxmlformats.org/officeDocument/2006/relationships" ref="E7" r:id="rId8"/>
    <hyperlink xmlns:r="http://schemas.openxmlformats.org/officeDocument/2006/relationships" ref="E8" r:id="rId9"/>
    <hyperlink xmlns:r="http://schemas.openxmlformats.org/officeDocument/2006/relationships" ref="I8" r:id="rId10"/>
    <hyperlink xmlns:r="http://schemas.openxmlformats.org/officeDocument/2006/relationships" ref="E9" r:id="rId11"/>
    <hyperlink xmlns:r="http://schemas.openxmlformats.org/officeDocument/2006/relationships" ref="E10" r:id="rId12"/>
    <hyperlink xmlns:r="http://schemas.openxmlformats.org/officeDocument/2006/relationships" ref="E11" r:id="rId13"/>
    <hyperlink xmlns:r="http://schemas.openxmlformats.org/officeDocument/2006/relationships" ref="E12" r:id="rId14"/>
    <hyperlink xmlns:r="http://schemas.openxmlformats.org/officeDocument/2006/relationships" ref="E13" r:id="rId15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24" customWidth="1" min="4" max="4"/>
    <col width="48" customWidth="1" min="5" max="5"/>
    <col width="24" customWidth="1" min="6" max="6"/>
    <col width="48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产品</t>
        </is>
      </c>
      <c r="C1" s="1" t="inlineStr">
        <is>
          <t>市场商品ID</t>
        </is>
      </c>
      <c r="D1" s="1" t="inlineStr">
        <is>
          <t>价格原值</t>
        </is>
      </c>
      <c r="E1" s="1" t="inlineStr">
        <is>
          <t>币种状态</t>
        </is>
      </c>
      <c r="F1" s="1" t="inlineStr">
        <is>
          <t>服务商月销量原值</t>
        </is>
      </c>
      <c r="G1" s="1" t="inlineStr">
        <is>
          <t>销量状态</t>
        </is>
      </c>
      <c r="H1" s="1" t="inlineStr">
        <is>
          <t>搜索销量日期</t>
        </is>
      </c>
      <c r="I1" s="1" t="inlineStr">
        <is>
          <t>服务商修正日期</t>
        </is>
      </c>
      <c r="J1" s="1" t="inlineStr">
        <is>
          <t>服务商店铺类型</t>
        </is>
      </c>
      <c r="K1" s="1" t="inlineStr">
        <is>
          <t>店铺名</t>
        </is>
      </c>
      <c r="L1" s="1" t="inlineStr">
        <is>
          <t>品牌原字段待核实</t>
        </is>
      </c>
      <c r="M1" s="1" t="inlineStr">
        <is>
          <t>货源起价CNY非套装价</t>
        </is>
      </c>
      <c r="N1" s="1" t="inlineStr">
        <is>
          <t>MOQ原值</t>
        </is>
      </c>
      <c r="O1" s="1" t="inlineStr">
        <is>
          <t>代发原字段</t>
        </is>
      </c>
      <c r="P1" s="1" t="inlineStr">
        <is>
          <t>查询时间UTC</t>
        </is>
      </c>
    </row>
    <row r="2" ht="52" customHeight="1">
      <c r="A2" s="2" t="n">
        <v>1</v>
      </c>
      <c r="B2" s="2" t="inlineStr">
        <is>
          <t>多尺寸拉链洗衣网袋套装</t>
        </is>
      </c>
      <c r="C2" s="2" t="inlineStr">
        <is>
          <t>27528479375</t>
        </is>
      </c>
      <c r="D2" s="2" t="n">
        <v>75</v>
      </c>
      <c r="E2" s="2" t="inlineStr">
        <is>
          <t>待核实：PH查询但接口文档标THB</t>
        </is>
      </c>
      <c r="F2" s="2" t="n">
        <v>4957</v>
      </c>
      <c r="G2" s="2" t="inlineStr">
        <is>
          <t>服务商月销量字段，非已验证近30天销量</t>
        </is>
      </c>
      <c r="H2" s="2" t="inlineStr">
        <is>
          <t>1970-01-01</t>
        </is>
      </c>
      <c r="I2" s="2" t="inlineStr">
        <is>
          <t>2026-08-31</t>
        </is>
      </c>
      <c r="J2" s="2" t="inlineStr">
        <is>
          <t>本土店</t>
        </is>
      </c>
      <c r="K2" s="2" t="inlineStr">
        <is>
          <t>SoraX</t>
        </is>
      </c>
      <c r="L2" s="2" t="inlineStr">
        <is>
          <t>Uniglobal</t>
        </is>
      </c>
      <c r="M2" s="2" t="n">
        <v>0.6</v>
      </c>
      <c r="N2" s="2" t="n">
        <v>1</v>
      </c>
      <c r="O2" s="2" t="b">
        <v>1</v>
      </c>
      <c r="P2" s="2" t="inlineStr">
        <is>
          <t>2026-09-10T13:40:27.931Z</t>
        </is>
      </c>
    </row>
    <row r="3" ht="52" customHeight="1">
      <c r="A3" s="3" t="n">
        <v>2</v>
      </c>
      <c r="B3" s="3" t="inlineStr">
        <is>
          <t>行李箱衣物分装收纳套装</t>
        </is>
      </c>
      <c r="C3" s="3" t="inlineStr">
        <is>
          <t>14529056693</t>
        </is>
      </c>
      <c r="D3" s="3" t="n">
        <v>243</v>
      </c>
      <c r="E3" s="3" t="inlineStr">
        <is>
          <t>待核实：PH查询但接口文档标THB</t>
        </is>
      </c>
      <c r="F3" s="3" t="n">
        <v>68</v>
      </c>
      <c r="G3" s="3" t="inlineStr">
        <is>
          <t>服务商月销量字段，非已验证近30天销量</t>
        </is>
      </c>
      <c r="H3" s="3" t="inlineStr">
        <is>
          <t>1970-01-01</t>
        </is>
      </c>
      <c r="I3" s="3" t="inlineStr">
        <is>
          <t>2026-09-01</t>
        </is>
      </c>
      <c r="J3" s="3" t="inlineStr">
        <is>
          <t>本土店</t>
        </is>
      </c>
      <c r="K3" s="3" t="inlineStr">
        <is>
          <t>SeaChoiceOfficialStore</t>
        </is>
      </c>
      <c r="L3" s="3" t="inlineStr">
        <is>
          <t>SEA CHOICE</t>
        </is>
      </c>
      <c r="M3" s="3" t="n">
        <v>7.8</v>
      </c>
      <c r="N3" s="3" t="n">
        <v>1</v>
      </c>
      <c r="O3" s="3" t="b">
        <v>0</v>
      </c>
      <c r="P3" s="3" t="inlineStr">
        <is>
          <t>2026-09-10T13:40:27.931Z</t>
        </is>
      </c>
    </row>
    <row r="4" ht="52" customHeight="1">
      <c r="A4" s="2" t="n">
        <v>3</v>
      </c>
      <c r="B4" s="2" t="inlineStr">
        <is>
          <t>挂钩式旅行洗漱收纳包</t>
        </is>
      </c>
      <c r="C4" s="2" t="inlineStr">
        <is>
          <t>24944345450</t>
        </is>
      </c>
      <c r="D4" s="2" t="n">
        <v>110</v>
      </c>
      <c r="E4" s="2" t="inlineStr">
        <is>
          <t>待核实：PH查询但接口文档标THB</t>
        </is>
      </c>
      <c r="F4" s="2" t="n">
        <v>3470</v>
      </c>
      <c r="G4" s="2" t="inlineStr">
        <is>
          <t>服务商月销量字段，非已验证近30天销量</t>
        </is>
      </c>
      <c r="H4" s="2" t="inlineStr">
        <is>
          <t>1970-01-01</t>
        </is>
      </c>
      <c r="I4" s="2" t="inlineStr">
        <is>
          <t>2026-07-01</t>
        </is>
      </c>
      <c r="J4" s="2" t="inlineStr">
        <is>
          <t>本土店</t>
        </is>
      </c>
      <c r="K4" s="2" t="inlineStr">
        <is>
          <t>Luggage Accessories Center</t>
        </is>
      </c>
      <c r="L4" s="2" t="inlineStr">
        <is>
          <t>ISLAND ELEPHANT</t>
        </is>
      </c>
      <c r="M4" s="2" t="n"/>
      <c r="N4" s="2" t="n"/>
      <c r="O4" s="2" t="n"/>
      <c r="P4" s="2" t="inlineStr">
        <is>
          <t>2026-09-10T13:40:27.931Z</t>
        </is>
      </c>
    </row>
    <row r="5" ht="52" customHeight="1">
      <c r="A5" s="3" t="n">
        <v>4</v>
      </c>
      <c r="B5" s="3" t="inlineStr">
        <is>
          <t>抽绳鞋子防尘收纳袋</t>
        </is>
      </c>
      <c r="C5" s="3" t="inlineStr">
        <is>
          <t>25544554587</t>
        </is>
      </c>
      <c r="D5" s="3" t="n">
        <v>15</v>
      </c>
      <c r="E5" s="3" t="inlineStr">
        <is>
          <t>待核实：PH查询但接口文档标THB</t>
        </is>
      </c>
      <c r="F5" s="3" t="n">
        <v>102</v>
      </c>
      <c r="G5" s="3" t="inlineStr">
        <is>
          <t>服务商月销量字段，非已验证近30天销量</t>
        </is>
      </c>
      <c r="H5" s="3" t="inlineStr">
        <is>
          <t>1970-01-01</t>
        </is>
      </c>
      <c r="I5" s="3" t="inlineStr">
        <is>
          <t>2026-08-31</t>
        </is>
      </c>
      <c r="J5" s="3" t="inlineStr">
        <is>
          <t>本土店</t>
        </is>
      </c>
      <c r="K5" s="3" t="inlineStr">
        <is>
          <t>light luxury life</t>
        </is>
      </c>
      <c r="L5" s="3" t="inlineStr">
        <is>
          <t>N/A</t>
        </is>
      </c>
      <c r="M5" s="3" t="n"/>
      <c r="N5" s="3" t="n"/>
      <c r="O5" s="3" t="n"/>
      <c r="P5" s="3" t="inlineStr">
        <is>
          <t>2026-09-10T13:40:27.931Z</t>
        </is>
      </c>
    </row>
    <row r="6" ht="52" customHeight="1">
      <c r="A6" s="2" t="n">
        <v>5</v>
      </c>
      <c r="B6" s="2" t="inlineStr">
        <is>
          <t>衣柜悬挂手袋收纳袋</t>
        </is>
      </c>
      <c r="C6" s="2" t="inlineStr">
        <is>
          <t>6185455937</t>
        </is>
      </c>
      <c r="D6" s="2" t="n">
        <v>168</v>
      </c>
      <c r="E6" s="2" t="inlineStr">
        <is>
          <t>待核实：PH查询但接口文档标THB</t>
        </is>
      </c>
      <c r="F6" s="2" t="n">
        <v>750</v>
      </c>
      <c r="G6" s="2" t="inlineStr">
        <is>
          <t>服务商月销量字段，非已验证近30天销量</t>
        </is>
      </c>
      <c r="H6" s="2" t="inlineStr">
        <is>
          <t>1970-01-01</t>
        </is>
      </c>
      <c r="I6" s="2" t="inlineStr">
        <is>
          <t>2026-09-07</t>
        </is>
      </c>
      <c r="J6" s="2" t="inlineStr">
        <is>
          <t>本土店</t>
        </is>
      </c>
      <c r="K6" s="2" t="inlineStr">
        <is>
          <t>Easier Life</t>
        </is>
      </c>
      <c r="L6" s="2" t="inlineStr">
        <is>
          <t>ISLAND ELEPHANT</t>
        </is>
      </c>
      <c r="M6" s="2" t="n"/>
      <c r="N6" s="2" t="n"/>
      <c r="O6" s="2" t="n"/>
      <c r="P6" s="2" t="inlineStr">
        <is>
          <t>2026-09-10T13:40:27.931Z</t>
        </is>
      </c>
    </row>
    <row r="7" ht="52" customHeight="1">
      <c r="A7" s="3" t="n">
        <v>6</v>
      </c>
      <c r="B7" s="3" t="inlineStr">
        <is>
          <t>发夹与发圈挂式整理架</t>
        </is>
      </c>
      <c r="C7" s="3" t="inlineStr">
        <is>
          <t>26901266092</t>
        </is>
      </c>
      <c r="D7" s="3" t="n">
        <v>40</v>
      </c>
      <c r="E7" s="3" t="inlineStr">
        <is>
          <t>待核实：PH查询但接口文档标THB</t>
        </is>
      </c>
      <c r="F7" s="3" t="n">
        <v>528</v>
      </c>
      <c r="G7" s="3" t="inlineStr">
        <is>
          <t>服务商月销量字段，非已验证近30天销量</t>
        </is>
      </c>
      <c r="H7" s="3" t="inlineStr">
        <is>
          <t>1970-01-01</t>
        </is>
      </c>
      <c r="I7" s="3" t="inlineStr">
        <is>
          <t>2026-09-07</t>
        </is>
      </c>
      <c r="J7" s="3" t="inlineStr">
        <is>
          <t>本土店</t>
        </is>
      </c>
      <c r="K7" s="3" t="inlineStr">
        <is>
          <t>Nuna Beauty</t>
        </is>
      </c>
      <c r="L7" s="3" t="inlineStr">
        <is>
          <t>N/A</t>
        </is>
      </c>
      <c r="M7" s="3" t="n"/>
      <c r="N7" s="3" t="n"/>
      <c r="O7" s="3" t="n"/>
      <c r="P7" s="3" t="inlineStr">
        <is>
          <t>2026-09-10T13:40:27.931Z</t>
        </is>
      </c>
    </row>
    <row r="8" ht="52" customHeight="1">
      <c r="A8" s="2" t="n">
        <v>7</v>
      </c>
      <c r="B8" s="2" t="inlineStr">
        <is>
          <t>自粘桌面理线夹套装</t>
        </is>
      </c>
      <c r="C8" s="2" t="inlineStr">
        <is>
          <t>24474649589</t>
        </is>
      </c>
      <c r="D8" s="2" t="n">
        <v>78</v>
      </c>
      <c r="E8" s="2" t="inlineStr">
        <is>
          <t>待核实：PH查询但接口文档标THB</t>
        </is>
      </c>
      <c r="F8" s="2" t="n">
        <v>923</v>
      </c>
      <c r="G8" s="2" t="inlineStr">
        <is>
          <t>服务商月销量字段，非已验证近30天销量</t>
        </is>
      </c>
      <c r="H8" s="2" t="inlineStr">
        <is>
          <t>1970-01-01</t>
        </is>
      </c>
      <c r="I8" s="2" t="inlineStr">
        <is>
          <t>2026-09-08</t>
        </is>
      </c>
      <c r="J8" s="2" t="inlineStr">
        <is>
          <t>跨境店</t>
        </is>
      </c>
      <c r="K8" s="2" t="inlineStr">
        <is>
          <t>Shopee Choice Global</t>
        </is>
      </c>
      <c r="L8" s="2" t="inlineStr">
        <is>
          <t>Anker</t>
        </is>
      </c>
      <c r="M8" s="2" t="n">
        <v>0.4</v>
      </c>
      <c r="N8" s="2" t="n">
        <v>2</v>
      </c>
      <c r="O8" s="2" t="b">
        <v>1</v>
      </c>
      <c r="P8" s="2" t="inlineStr">
        <is>
          <t>2026-09-10T13:40:27.931Z</t>
        </is>
      </c>
    </row>
    <row r="9" ht="52" customHeight="1">
      <c r="A9" s="3" t="n">
        <v>8</v>
      </c>
      <c r="B9" s="3" t="inlineStr">
        <is>
          <t>厨房电器电源线绕线器</t>
        </is>
      </c>
      <c r="C9" s="3" t="inlineStr">
        <is>
          <t>27308021764</t>
        </is>
      </c>
      <c r="D9" s="3" t="n">
        <v>39</v>
      </c>
      <c r="E9" s="3" t="inlineStr">
        <is>
          <t>待核实：PH查询但接口文档标THB</t>
        </is>
      </c>
      <c r="F9" s="3" t="n">
        <v>1223</v>
      </c>
      <c r="G9" s="3" t="inlineStr">
        <is>
          <t>服务商月销量字段，非已验证近30天销量</t>
        </is>
      </c>
      <c r="H9" s="3" t="inlineStr">
        <is>
          <t>1970-01-01</t>
        </is>
      </c>
      <c r="I9" s="3" t="inlineStr">
        <is>
          <t>2026-09-07</t>
        </is>
      </c>
      <c r="J9" s="3" t="inlineStr">
        <is>
          <t>跨境店</t>
        </is>
      </c>
      <c r="K9" s="3" t="inlineStr">
        <is>
          <t>PJhuanyu.ph</t>
        </is>
      </c>
      <c r="L9" s="3" t="inlineStr">
        <is>
          <t>N/A</t>
        </is>
      </c>
      <c r="M9" s="3" t="n"/>
      <c r="N9" s="3" t="n"/>
      <c r="O9" s="3" t="n"/>
      <c r="P9" s="3" t="inlineStr">
        <is>
          <t>2026-09-10T13:40:27.931Z</t>
        </is>
      </c>
    </row>
    <row r="10" ht="52" customHeight="1">
      <c r="A10" s="2" t="n">
        <v>9</v>
      </c>
      <c r="B10" s="2" t="inlineStr">
        <is>
          <t>螺旋式线材整理保护管</t>
        </is>
      </c>
      <c r="C10" s="2" t="inlineStr">
        <is>
          <t>14488134409</t>
        </is>
      </c>
      <c r="D10" s="2" t="n">
        <v>105</v>
      </c>
      <c r="E10" s="2" t="inlineStr">
        <is>
          <t>待核实：PH查询但接口文档标THB</t>
        </is>
      </c>
      <c r="F10" s="2" t="n">
        <v>522</v>
      </c>
      <c r="G10" s="2" t="inlineStr">
        <is>
          <t>服务商月销量字段，非已验证近30天销量</t>
        </is>
      </c>
      <c r="H10" s="2" t="inlineStr">
        <is>
          <t>1970-01-01</t>
        </is>
      </c>
      <c r="I10" s="2" t="inlineStr">
        <is>
          <t>2026-09-08</t>
        </is>
      </c>
      <c r="J10" s="2" t="inlineStr">
        <is>
          <t>跨境店</t>
        </is>
      </c>
      <c r="K10" s="2" t="inlineStr">
        <is>
          <t>Welcome Home &amp; Living Store</t>
        </is>
      </c>
      <c r="L10" s="2" t="inlineStr">
        <is>
          <t>Deli</t>
        </is>
      </c>
      <c r="M10" s="2" t="n"/>
      <c r="N10" s="2" t="n"/>
      <c r="O10" s="2" t="n"/>
      <c r="P10" s="2" t="inlineStr">
        <is>
          <t>2026-09-10T13:40:27.931Z</t>
        </is>
      </c>
    </row>
    <row r="11" ht="52" customHeight="1">
      <c r="A11" s="3" t="n">
        <v>10</v>
      </c>
      <c r="B11" s="3" t="inlineStr">
        <is>
          <t>衣物粘毛滚筒加替换芯</t>
        </is>
      </c>
      <c r="C11" s="3" t="inlineStr">
        <is>
          <t>15750813899</t>
        </is>
      </c>
      <c r="D11" s="3" t="n">
        <v>15</v>
      </c>
      <c r="E11" s="3" t="inlineStr">
        <is>
          <t>待核实：PH查询但接口文档标THB</t>
        </is>
      </c>
      <c r="F11" s="3" t="n">
        <v>2969</v>
      </c>
      <c r="G11" s="3" t="inlineStr">
        <is>
          <t>服务商月销量字段，非已验证近30天销量</t>
        </is>
      </c>
      <c r="H11" s="3" t="inlineStr">
        <is>
          <t>1970-01-01</t>
        </is>
      </c>
      <c r="I11" s="3" t="inlineStr">
        <is>
          <t>2026-09-07</t>
        </is>
      </c>
      <c r="J11" s="3" t="inlineStr">
        <is>
          <t>本土店</t>
        </is>
      </c>
      <c r="K11" s="3" t="inlineStr">
        <is>
          <t>Pet accessories store</t>
        </is>
      </c>
      <c r="L11" s="3" t="inlineStr">
        <is>
          <t>SCRUBZ</t>
        </is>
      </c>
      <c r="M11" s="3" t="n"/>
      <c r="N11" s="3" t="n"/>
      <c r="O11" s="3" t="n"/>
      <c r="P11" s="3" t="inlineStr">
        <is>
          <t>2026-09-10T13:40:27.931Z</t>
        </is>
      </c>
    </row>
    <row r="12" ht="52" customHeight="1">
      <c r="A12" s="2" t="n">
        <v>11</v>
      </c>
      <c r="B12" s="2" t="inlineStr">
        <is>
          <t>硅胶排水口毛发过滤片</t>
        </is>
      </c>
      <c r="C12" s="2" t="inlineStr">
        <is>
          <t>19694647631</t>
        </is>
      </c>
      <c r="D12" s="2" t="n">
        <v>49</v>
      </c>
      <c r="E12" s="2" t="inlineStr">
        <is>
          <t>待核实：PH查询但接口文档标THB</t>
        </is>
      </c>
      <c r="F12" s="2" t="n">
        <v>647</v>
      </c>
      <c r="G12" s="2" t="inlineStr">
        <is>
          <t>服务商月销量字段，非已验证近30天销量</t>
        </is>
      </c>
      <c r="H12" s="2" t="inlineStr">
        <is>
          <t>1970-01-01</t>
        </is>
      </c>
      <c r="I12" s="2" t="inlineStr">
        <is>
          <t>2026-09-07</t>
        </is>
      </c>
      <c r="J12" s="2" t="inlineStr">
        <is>
          <t>本土店</t>
        </is>
      </c>
      <c r="K12" s="2" t="inlineStr">
        <is>
          <t>XIUER Manila</t>
        </is>
      </c>
      <c r="L12" s="2" t="inlineStr">
        <is>
          <t>XIUER</t>
        </is>
      </c>
      <c r="M12" s="2" t="n"/>
      <c r="N12" s="2" t="n"/>
      <c r="O12" s="2" t="n"/>
      <c r="P12" s="2" t="inlineStr">
        <is>
          <t>2026-09-10T13:40:27.931Z</t>
        </is>
      </c>
    </row>
    <row r="13" ht="52" customHeight="1">
      <c r="A13" s="3" t="n">
        <v>12</v>
      </c>
      <c r="B13" s="3" t="inlineStr">
        <is>
          <t>挂式塑料袋收纳袋</t>
        </is>
      </c>
      <c r="C13" s="3" t="inlineStr">
        <is>
          <t>41276257375</t>
        </is>
      </c>
      <c r="D13" s="3" t="n">
        <v>27</v>
      </c>
      <c r="E13" s="3" t="inlineStr">
        <is>
          <t>待核实：PH查询但接口文档标THB</t>
        </is>
      </c>
      <c r="F13" s="3" t="n">
        <v>4053</v>
      </c>
      <c r="G13" s="3" t="inlineStr">
        <is>
          <t>服务商月销量字段，非已验证近30天销量</t>
        </is>
      </c>
      <c r="H13" s="3" t="inlineStr">
        <is>
          <t>1970-01-01</t>
        </is>
      </c>
      <c r="I13" s="3" t="inlineStr">
        <is>
          <t>2026-09-06</t>
        </is>
      </c>
      <c r="J13" s="3" t="inlineStr">
        <is>
          <t>本土店</t>
        </is>
      </c>
      <c r="K13" s="3" t="inlineStr">
        <is>
          <t>Easier Life</t>
        </is>
      </c>
      <c r="L13" s="3" t="inlineStr">
        <is>
          <t>N/A</t>
        </is>
      </c>
      <c r="M13" s="3" t="n"/>
      <c r="N13" s="3" t="n"/>
      <c r="O13" s="3" t="n"/>
      <c r="P13" s="3" t="inlineStr">
        <is>
          <t>2026-09-10T13:40:27.931Z</t>
        </is>
      </c>
    </row>
  </sheetData>
  <autoFilter ref="A1:P13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6" customWidth="1" min="2" max="2"/>
    <col width="95" customWidth="1" min="3" max="3"/>
  </cols>
  <sheetData>
    <row r="1" ht="32" customHeight="1">
      <c r="A1" s="1" t="inlineStr">
        <is>
          <t>项目</t>
        </is>
      </c>
      <c r="B1" s="1" t="inlineStr">
        <is>
          <t>规划金额CNY</t>
        </is>
      </c>
      <c r="C1" s="1" t="inlineStr">
        <is>
          <t>说明</t>
        </is>
      </c>
    </row>
    <row r="2" ht="52" customHeight="1">
      <c r="A2" s="2" t="inlineStr">
        <is>
          <t>样品与验证</t>
        </is>
      </c>
      <c r="B2" s="2" t="n">
        <v>1500</v>
      </c>
      <c r="C2" s="2" t="inlineStr">
        <is>
          <t>非销售库存</t>
        </is>
      </c>
    </row>
    <row r="3" ht="52" customHeight="1">
      <c r="A3" s="3" t="inlineStr">
        <is>
          <t>首轮采购</t>
        </is>
      </c>
      <c r="B3" s="3" t="n">
        <v>5000</v>
      </c>
      <c r="C3" s="3" t="inlineStr">
        <is>
          <t>出单采购</t>
        </is>
      </c>
    </row>
    <row r="4" ht="52" customHeight="1">
      <c r="A4" s="2" t="inlineStr">
        <is>
          <t>国内物流/云仓/国际物流垫付</t>
        </is>
      </c>
      <c r="B4" s="2" t="n">
        <v>3000</v>
      </c>
      <c r="C4" s="2" t="inlineStr">
        <is>
          <t>按实际付款时点计算</t>
        </is>
      </c>
    </row>
    <row r="5" ht="52" customHeight="1">
      <c r="A5" s="3" t="inlineStr">
        <is>
          <t>测试推广</t>
        </is>
      </c>
      <c r="B5" s="3" t="n">
        <v>2000</v>
      </c>
      <c r="C5" s="3" t="inlineStr">
        <is>
          <t>预算非授权自动花费</t>
        </is>
      </c>
    </row>
    <row r="6" ht="52" customHeight="1">
      <c r="A6" s="2" t="inlineStr">
        <is>
          <t>工具运营</t>
        </is>
      </c>
      <c r="B6" s="2" t="n">
        <v>1000</v>
      </c>
      <c r="C6" s="2" t="inlineStr">
        <is>
          <t>不自动充值</t>
        </is>
      </c>
    </row>
    <row r="7" ht="52" customHeight="1">
      <c r="A7" s="3" t="inlineStr">
        <is>
          <t>滚动采购缓冲</t>
        </is>
      </c>
      <c r="B7" s="3" t="n">
        <v>2500</v>
      </c>
      <c r="C7" s="3" t="inlineStr">
        <is>
          <t>与首轮采购合为7500</t>
        </is>
      </c>
    </row>
    <row r="8" ht="52" customHeight="1">
      <c r="A8" s="2" t="inlineStr">
        <is>
          <t>保护应急金</t>
        </is>
      </c>
      <c r="B8" s="2" t="n">
        <v>5000</v>
      </c>
      <c r="C8" s="2" t="inlineStr">
        <is>
          <t>不可用于新增采购</t>
        </is>
      </c>
    </row>
    <row r="9" ht="52" customHeight="1">
      <c r="A9" s="3" t="inlineStr">
        <is>
          <t>总额</t>
        </is>
      </c>
      <c r="B9" s="3">
        <f>SUM(B2:B8)</f>
        <v/>
      </c>
      <c r="C9" s="3" t="inlineStr">
        <is>
          <t>应为20000</t>
        </is>
      </c>
    </row>
    <row r="10" ht="52" customHeight="1">
      <c r="A10" s="2" t="inlineStr">
        <is>
          <t>提前复盘亏损线</t>
        </is>
      </c>
      <c r="B10" s="2" t="n">
        <v>2000</v>
      </c>
      <c r="C10" s="2" t="inlineStr">
        <is>
          <t>建议；按累计试错损失复盘</t>
        </is>
      </c>
    </row>
    <row r="11" ht="52" customHeight="1">
      <c r="A11" s="3" t="inlineStr">
        <is>
          <t>每月亏损硬上限</t>
        </is>
      </c>
      <c r="B11" s="3" t="n">
        <v>4000</v>
      </c>
      <c r="C11" s="3" t="inlineStr">
        <is>
          <t>用户确认；停止新增试错承诺</t>
        </is>
      </c>
    </row>
    <row r="12" ht="52" customHeight="1">
      <c r="A12" s="2" t="n"/>
      <c r="B12" s="2" t="n"/>
      <c r="C12" s="2" t="n"/>
    </row>
    <row r="13" ht="52" customHeight="1">
      <c r="A13" s="3" t="inlineStr">
        <is>
          <t>净利CNY/单</t>
        </is>
      </c>
      <c r="B13" s="3" t="inlineStr">
        <is>
          <t>月订单数（&gt;5000）</t>
        </is>
      </c>
      <c r="C13" s="3" t="inlineStr">
        <is>
          <t>按30天日均单量</t>
        </is>
      </c>
    </row>
    <row r="14" ht="52" customHeight="1">
      <c r="A14" s="2" t="n">
        <v>10</v>
      </c>
      <c r="B14" s="2" t="n">
        <v>501</v>
      </c>
      <c r="C14" s="2" t="n">
        <v>16.7</v>
      </c>
    </row>
    <row r="15" ht="52" customHeight="1">
      <c r="A15" s="3" t="n">
        <v>15</v>
      </c>
      <c r="B15" s="3" t="n">
        <v>334</v>
      </c>
      <c r="C15" s="3" t="n">
        <v>11.13333333333333</v>
      </c>
    </row>
    <row r="16" ht="52" customHeight="1">
      <c r="A16" s="2" t="n">
        <v>20</v>
      </c>
      <c r="B16" s="2" t="n">
        <v>251</v>
      </c>
      <c r="C16" s="2" t="n">
        <v>8.366666666666667</v>
      </c>
    </row>
    <row r="17" ht="52" customHeight="1">
      <c r="A17" s="3" t="n">
        <v>25</v>
      </c>
      <c r="B17" s="3" t="n">
        <v>201</v>
      </c>
      <c r="C17" s="3" t="n">
        <v>6.7</v>
      </c>
    </row>
    <row r="18" ht="52" customHeight="1">
      <c r="A18" s="2" t="n"/>
      <c r="B18" s="2" t="n"/>
      <c r="C18" s="2" t="n"/>
    </row>
    <row r="19" ht="52" customHeight="1">
      <c r="A19" s="3" t="inlineStr">
        <is>
          <t>回款天数</t>
        </is>
      </c>
      <c r="B19" s="3" t="inlineStr">
        <is>
          <t>每日理论容量</t>
        </is>
      </c>
      <c r="C19" s="3" t="inlineStr">
        <is>
          <t>假设说明</t>
        </is>
      </c>
    </row>
    <row r="20" ht="52" customHeight="1">
      <c r="A20" s="2" t="n">
        <v>14</v>
      </c>
      <c r="B20" s="2" t="n">
        <v>24</v>
      </c>
      <c r="C20" s="2" t="inlineStr">
        <is>
          <t>采购池7500、物流池3000；单笔采购22、物流8元；未占用且无额外缓冲</t>
        </is>
      </c>
    </row>
    <row r="21" ht="52" customHeight="1">
      <c r="A21" s="3" t="n">
        <v>21</v>
      </c>
      <c r="B21" s="3" t="n">
        <v>16</v>
      </c>
      <c r="C21" s="3" t="inlineStr">
        <is>
          <t>采购池7500、物流池3000；单笔采购22、物流8元；未占用且无额外缓冲</t>
        </is>
      </c>
    </row>
    <row r="22" ht="52" customHeight="1">
      <c r="A22" s="2" t="n">
        <v>28</v>
      </c>
      <c r="B22" s="2" t="n">
        <v>12</v>
      </c>
      <c r="C22" s="2" t="inlineStr">
        <is>
          <t>采购池7500、物流池3000；单笔采购22、物流8元；未占用且无额外缓冲</t>
        </is>
      </c>
    </row>
    <row r="23" ht="52" customHeight="1">
      <c r="A23" s="3" t="inlineStr">
        <is>
          <t>注意</t>
        </is>
      </c>
      <c r="B23" s="3" t="inlineStr">
        <is>
          <t>情景非预测</t>
        </is>
      </c>
      <c r="C23" s="3" t="inlineStr">
        <is>
          <t>实际容量需扣已有承诺、退款等并核对每个资金池；月度亏损后重算。</t>
        </is>
      </c>
    </row>
  </sheetData>
  <autoFilter ref="A1:C23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45" customWidth="1" min="18" max="18"/>
  </cols>
  <sheetData>
    <row r="1" ht="32" customHeight="1">
      <c r="A1" s="1" t="inlineStr">
        <is>
          <t>产品</t>
        </is>
      </c>
      <c r="B1" s="1" t="inlineStr">
        <is>
          <t>商品净收入CNY</t>
        </is>
      </c>
      <c r="C1" s="1" t="inlineStr">
        <is>
          <t>确认物流补偿CNY</t>
        </is>
      </c>
      <c r="D1" s="1" t="inlineStr">
        <is>
          <t>采购</t>
        </is>
      </c>
      <c r="E1" s="1" t="inlineStr">
        <is>
          <t>国内运费</t>
        </is>
      </c>
      <c r="F1" s="1" t="inlineStr">
        <is>
          <t>云仓包材</t>
        </is>
      </c>
      <c r="G1" s="1" t="inlineStr">
        <is>
          <t>卖家物流扣款</t>
        </is>
      </c>
      <c r="H1" s="1" t="inlineStr">
        <is>
          <t>平台费用</t>
        </is>
      </c>
      <c r="I1" s="1" t="inlineStr">
        <is>
          <t>广告推广</t>
        </is>
      </c>
      <c r="J1" s="1" t="inlineStr">
        <is>
          <t>售后预计损失</t>
        </is>
      </c>
      <c r="K1" s="1" t="inlineStr">
        <is>
          <t>收款汇兑</t>
        </is>
      </c>
      <c r="L1" s="1" t="inlineStr">
        <is>
          <t>固定费用分摊</t>
        </is>
      </c>
      <c r="M1" s="1" t="inlineStr">
        <is>
          <t>适用税费</t>
        </is>
      </c>
      <c r="N1" s="1" t="inlineStr">
        <is>
          <t>全成本</t>
        </is>
      </c>
      <c r="O1" s="1" t="inlineStr">
        <is>
          <t>预计净利</t>
        </is>
      </c>
      <c r="P1" s="1" t="inlineStr">
        <is>
          <t>净利率</t>
        </is>
      </c>
      <c r="Q1" s="1" t="inlineStr">
        <is>
          <t>费用证据齐全</t>
        </is>
      </c>
      <c r="R1" s="1" t="inlineStr">
        <is>
          <t>利润提示（不等于可发布）</t>
        </is>
      </c>
    </row>
    <row r="2" ht="52" customHeight="1">
      <c r="A2" s="2" t="inlineStr">
        <is>
          <t>多尺寸拉链洗衣网袋套装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>
        <f>IF(COUNT(B2:M2)&lt;12,"",SUM(D2:M2))</f>
        <v/>
      </c>
      <c r="O2" s="6">
        <f>IF(OR(COUNT(B2:M2)&lt;12,B2&lt;=0),"",B2+C2-N2)</f>
        <v/>
      </c>
      <c r="P2" s="7">
        <f>IF(OR(COUNT(B2:M2)&lt;12,B2&lt;=0),"",O2/B2)</f>
        <v/>
      </c>
      <c r="Q2" s="2" t="inlineStr">
        <is>
          <t>否</t>
        </is>
      </c>
      <c r="R2" s="2">
        <f>IF(OR(Q2&lt;&gt;"是",COUNT(B2:M2)&lt;12),"待补证",IF(B2&lt;=0,"收入无效",IF(AND(O2&gt;0,P2&gt;=0.2),"利润条件达标；仍需其他审核","利润不达标")))</f>
        <v/>
      </c>
    </row>
    <row r="3" ht="52" customHeight="1">
      <c r="A3" s="3" t="inlineStr">
        <is>
          <t>行李箱衣物分装收纳套装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>
        <f>IF(COUNT(B3:M3)&lt;12,"",SUM(D3:M3))</f>
        <v/>
      </c>
      <c r="O3" s="8">
        <f>IF(OR(COUNT(B3:M3)&lt;12,B3&lt;=0),"",B3+C3-N3)</f>
        <v/>
      </c>
      <c r="P3" s="9">
        <f>IF(OR(COUNT(B3:M3)&lt;12,B3&lt;=0),"",O3/B3)</f>
        <v/>
      </c>
      <c r="Q3" s="3" t="inlineStr">
        <is>
          <t>否</t>
        </is>
      </c>
      <c r="R3" s="3">
        <f>IF(OR(Q3&lt;&gt;"是",COUNT(B3:M3)&lt;12),"待补证",IF(B3&lt;=0,"收入无效",IF(AND(O3&gt;0,P3&gt;=0.2),"利润条件达标；仍需其他审核","利润不达标")))</f>
        <v/>
      </c>
    </row>
    <row r="4" ht="52" customHeight="1">
      <c r="A4" s="2" t="inlineStr">
        <is>
          <t>挂钩式旅行洗漱收纳包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>
        <f>IF(COUNT(B4:M4)&lt;12,"",SUM(D4:M4))</f>
        <v/>
      </c>
      <c r="O4" s="6">
        <f>IF(OR(COUNT(B4:M4)&lt;12,B4&lt;=0),"",B4+C4-N4)</f>
        <v/>
      </c>
      <c r="P4" s="7">
        <f>IF(OR(COUNT(B4:M4)&lt;12,B4&lt;=0),"",O4/B4)</f>
        <v/>
      </c>
      <c r="Q4" s="2" t="inlineStr">
        <is>
          <t>否</t>
        </is>
      </c>
      <c r="R4" s="2">
        <f>IF(OR(Q4&lt;&gt;"是",COUNT(B4:M4)&lt;12),"待补证",IF(B4&lt;=0,"收入无效",IF(AND(O4&gt;0,P4&gt;=0.2),"利润条件达标；仍需其他审核","利润不达标")))</f>
        <v/>
      </c>
    </row>
    <row r="5" ht="52" customHeight="1">
      <c r="A5" s="3" t="inlineStr">
        <is>
          <t>抽绳鞋子防尘收纳袋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>
        <f>IF(COUNT(B5:M5)&lt;12,"",SUM(D5:M5))</f>
        <v/>
      </c>
      <c r="O5" s="8">
        <f>IF(OR(COUNT(B5:M5)&lt;12,B5&lt;=0),"",B5+C5-N5)</f>
        <v/>
      </c>
      <c r="P5" s="9">
        <f>IF(OR(COUNT(B5:M5)&lt;12,B5&lt;=0),"",O5/B5)</f>
        <v/>
      </c>
      <c r="Q5" s="3" t="inlineStr">
        <is>
          <t>否</t>
        </is>
      </c>
      <c r="R5" s="3">
        <f>IF(OR(Q5&lt;&gt;"是",COUNT(B5:M5)&lt;12),"待补证",IF(B5&lt;=0,"收入无效",IF(AND(O5&gt;0,P5&gt;=0.2),"利润条件达标；仍需其他审核","利润不达标")))</f>
        <v/>
      </c>
    </row>
    <row r="6" ht="52" customHeight="1">
      <c r="A6" s="2" t="inlineStr">
        <is>
          <t>衣柜悬挂手袋收纳袋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>
        <f>IF(COUNT(B6:M6)&lt;12,"",SUM(D6:M6))</f>
        <v/>
      </c>
      <c r="O6" s="6">
        <f>IF(OR(COUNT(B6:M6)&lt;12,B6&lt;=0),"",B6+C6-N6)</f>
        <v/>
      </c>
      <c r="P6" s="7">
        <f>IF(OR(COUNT(B6:M6)&lt;12,B6&lt;=0),"",O6/B6)</f>
        <v/>
      </c>
      <c r="Q6" s="2" t="inlineStr">
        <is>
          <t>否</t>
        </is>
      </c>
      <c r="R6" s="2">
        <f>IF(OR(Q6&lt;&gt;"是",COUNT(B6:M6)&lt;12),"待补证",IF(B6&lt;=0,"收入无效",IF(AND(O6&gt;0,P6&gt;=0.2),"利润条件达标；仍需其他审核","利润不达标")))</f>
        <v/>
      </c>
    </row>
    <row r="7" ht="52" customHeight="1">
      <c r="A7" s="3" t="inlineStr">
        <is>
          <t>发夹与发圈挂式整理架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>
        <f>IF(COUNT(B7:M7)&lt;12,"",SUM(D7:M7))</f>
        <v/>
      </c>
      <c r="O7" s="8">
        <f>IF(OR(COUNT(B7:M7)&lt;12,B7&lt;=0),"",B7+C7-N7)</f>
        <v/>
      </c>
      <c r="P7" s="9">
        <f>IF(OR(COUNT(B7:M7)&lt;12,B7&lt;=0),"",O7/B7)</f>
        <v/>
      </c>
      <c r="Q7" s="3" t="inlineStr">
        <is>
          <t>否</t>
        </is>
      </c>
      <c r="R7" s="3">
        <f>IF(OR(Q7&lt;&gt;"是",COUNT(B7:M7)&lt;12),"待补证",IF(B7&lt;=0,"收入无效",IF(AND(O7&gt;0,P7&gt;=0.2),"利润条件达标；仍需其他审核","利润不达标")))</f>
        <v/>
      </c>
    </row>
    <row r="8" ht="52" customHeight="1">
      <c r="A8" s="2" t="inlineStr">
        <is>
          <t>自粘桌面理线夹套装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>
        <f>IF(COUNT(B8:M8)&lt;12,"",SUM(D8:M8))</f>
        <v/>
      </c>
      <c r="O8" s="6">
        <f>IF(OR(COUNT(B8:M8)&lt;12,B8&lt;=0),"",B8+C8-N8)</f>
        <v/>
      </c>
      <c r="P8" s="7">
        <f>IF(OR(COUNT(B8:M8)&lt;12,B8&lt;=0),"",O8/B8)</f>
        <v/>
      </c>
      <c r="Q8" s="2" t="inlineStr">
        <is>
          <t>否</t>
        </is>
      </c>
      <c r="R8" s="2">
        <f>IF(OR(Q8&lt;&gt;"是",COUNT(B8:M8)&lt;12),"待补证",IF(B8&lt;=0,"收入无效",IF(AND(O8&gt;0,P8&gt;=0.2),"利润条件达标；仍需其他审核","利润不达标")))</f>
        <v/>
      </c>
    </row>
    <row r="9" ht="52" customHeight="1">
      <c r="A9" s="3" t="inlineStr">
        <is>
          <t>厨房电器电源线绕线器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>
        <f>IF(COUNT(B9:M9)&lt;12,"",SUM(D9:M9))</f>
        <v/>
      </c>
      <c r="O9" s="8">
        <f>IF(OR(COUNT(B9:M9)&lt;12,B9&lt;=0),"",B9+C9-N9)</f>
        <v/>
      </c>
      <c r="P9" s="9">
        <f>IF(OR(COUNT(B9:M9)&lt;12,B9&lt;=0),"",O9/B9)</f>
        <v/>
      </c>
      <c r="Q9" s="3" t="inlineStr">
        <is>
          <t>否</t>
        </is>
      </c>
      <c r="R9" s="3">
        <f>IF(OR(Q9&lt;&gt;"是",COUNT(B9:M9)&lt;12),"待补证",IF(B9&lt;=0,"收入无效",IF(AND(O9&gt;0,P9&gt;=0.2),"利润条件达标；仍需其他审核","利润不达标")))</f>
        <v/>
      </c>
    </row>
    <row r="10" ht="52" customHeight="1">
      <c r="A10" s="2" t="inlineStr">
        <is>
          <t>螺旋式线材整理保护管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>
        <f>IF(COUNT(B10:M10)&lt;12,"",SUM(D10:M10))</f>
        <v/>
      </c>
      <c r="O10" s="6">
        <f>IF(OR(COUNT(B10:M10)&lt;12,B10&lt;=0),"",B10+C10-N10)</f>
        <v/>
      </c>
      <c r="P10" s="7">
        <f>IF(OR(COUNT(B10:M10)&lt;12,B10&lt;=0),"",O10/B10)</f>
        <v/>
      </c>
      <c r="Q10" s="2" t="inlineStr">
        <is>
          <t>否</t>
        </is>
      </c>
      <c r="R10" s="2">
        <f>IF(OR(Q10&lt;&gt;"是",COUNT(B10:M10)&lt;12),"待补证",IF(B10&lt;=0,"收入无效",IF(AND(O10&gt;0,P10&gt;=0.2),"利润条件达标；仍需其他审核","利润不达标")))</f>
        <v/>
      </c>
    </row>
    <row r="11" ht="52" customHeight="1">
      <c r="A11" s="3" t="inlineStr">
        <is>
          <t>衣物粘毛滚筒加替换芯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>
        <f>IF(COUNT(B11:M11)&lt;12,"",SUM(D11:M11))</f>
        <v/>
      </c>
      <c r="O11" s="8">
        <f>IF(OR(COUNT(B11:M11)&lt;12,B11&lt;=0),"",B11+C11-N11)</f>
        <v/>
      </c>
      <c r="P11" s="9">
        <f>IF(OR(COUNT(B11:M11)&lt;12,B11&lt;=0),"",O11/B11)</f>
        <v/>
      </c>
      <c r="Q11" s="3" t="inlineStr">
        <is>
          <t>否</t>
        </is>
      </c>
      <c r="R11" s="3">
        <f>IF(OR(Q11&lt;&gt;"是",COUNT(B11:M11)&lt;12),"待补证",IF(B11&lt;=0,"收入无效",IF(AND(O11&gt;0,P11&gt;=0.2),"利润条件达标；仍需其他审核","利润不达标")))</f>
        <v/>
      </c>
    </row>
    <row r="12" ht="52" customHeight="1">
      <c r="A12" s="2" t="inlineStr">
        <is>
          <t>硅胶排水口毛发过滤片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>
        <f>IF(COUNT(B12:M12)&lt;12,"",SUM(D12:M12))</f>
        <v/>
      </c>
      <c r="O12" s="6">
        <f>IF(OR(COUNT(B12:M12)&lt;12,B12&lt;=0),"",B12+C12-N12)</f>
        <v/>
      </c>
      <c r="P12" s="7">
        <f>IF(OR(COUNT(B12:M12)&lt;12,B12&lt;=0),"",O12/B12)</f>
        <v/>
      </c>
      <c r="Q12" s="2" t="inlineStr">
        <is>
          <t>否</t>
        </is>
      </c>
      <c r="R12" s="2">
        <f>IF(OR(Q12&lt;&gt;"是",COUNT(B12:M12)&lt;12),"待补证",IF(B12&lt;=0,"收入无效",IF(AND(O12&gt;0,P12&gt;=0.2),"利润条件达标；仍需其他审核","利润不达标")))</f>
        <v/>
      </c>
    </row>
    <row r="13" ht="52" customHeight="1">
      <c r="A13" s="3" t="inlineStr">
        <is>
          <t>挂式塑料袋收纳袋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>
        <f>IF(COUNT(B13:M13)&lt;12,"",SUM(D13:M13))</f>
        <v/>
      </c>
      <c r="O13" s="8">
        <f>IF(OR(COUNT(B13:M13)&lt;12,B13&lt;=0),"",B13+C13-N13)</f>
        <v/>
      </c>
      <c r="P13" s="9">
        <f>IF(OR(COUNT(B13:M13)&lt;12,B13&lt;=0),"",O13/B13)</f>
        <v/>
      </c>
      <c r="Q13" s="3" t="inlineStr">
        <is>
          <t>否</t>
        </is>
      </c>
      <c r="R13" s="3">
        <f>IF(OR(Q13&lt;&gt;"是",COUNT(B13:M13)&lt;12),"待补证",IF(B13&lt;=0,"收入无效",IF(AND(O13&gt;0,P13&gt;=0.2),"利润条件达标；仍需其他审核","利润不达标")))</f>
        <v/>
      </c>
    </row>
    <row r="14" ht="52" customHeight="1">
      <c r="A14" s="2" t="inlineStr">
        <is>
          <t>说明</t>
        </is>
      </c>
      <c r="B14" s="2" t="inlineStr">
        <is>
          <t>仅为单笔预期测算模板，非平台计费引擎。各费用需按真实基数与封顶算出后填入；费用缺项时冻结结论。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</sheetData>
  <autoFilter ref="A1:R14"/>
  <dataValidations count="1">
    <dataValidation sqref="Q2:Q13" showDropDown="0" showInputMessage="0" showErrorMessage="0" allowBlank="0" type="list">
      <formula1>"是,否"</formula1>
    </dataValidation>
  </dataValidation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80" customWidth="1" min="9" max="9"/>
  </cols>
  <sheetData>
    <row r="1" ht="32" customHeight="1">
      <c r="A1" s="1" t="inlineStr">
        <is>
          <t>日期</t>
        </is>
      </c>
      <c r="B1" s="1" t="inlineStr">
        <is>
          <t>新增候选目标</t>
        </is>
      </c>
      <c r="C1" s="1" t="inlineStr">
        <is>
          <t>实际新增候选</t>
        </is>
      </c>
      <c r="D1" s="1" t="inlineStr">
        <is>
          <t>证据完整</t>
        </is>
      </c>
      <c r="E1" s="1" t="inlineStr">
        <is>
          <t>真实上架成功</t>
        </is>
      </c>
      <c r="F1" s="1" t="inlineStr">
        <is>
          <t>复查数量</t>
        </is>
      </c>
      <c r="G1" s="1" t="inlineStr">
        <is>
          <t>当日归属净利CNY</t>
        </is>
      </c>
      <c r="H1" s="1" t="inlineStr">
        <is>
          <t>实际可用现金CNY</t>
        </is>
      </c>
      <c r="I1" s="1" t="inlineStr">
        <is>
          <t>待补证/失败/次日动作</t>
        </is>
      </c>
    </row>
    <row r="2" ht="52" customHeight="1">
      <c r="A2" s="10" t="n">
        <v>46275</v>
      </c>
      <c r="B2" s="2" t="n">
        <v>10</v>
      </c>
      <c r="C2" s="2" t="n"/>
      <c r="D2" s="2" t="n"/>
      <c r="E2" s="2" t="n"/>
      <c r="F2" s="2" t="n"/>
      <c r="G2" s="2" t="n"/>
      <c r="H2" s="2" t="n"/>
      <c r="I2" s="2" t="n"/>
    </row>
    <row r="3" ht="52" customHeight="1">
      <c r="A3" s="11" t="n">
        <v>46276</v>
      </c>
      <c r="B3" s="3" t="n">
        <v>10</v>
      </c>
      <c r="C3" s="3" t="n"/>
      <c r="D3" s="3" t="n"/>
      <c r="E3" s="3" t="n"/>
      <c r="F3" s="3" t="n"/>
      <c r="G3" s="3" t="n"/>
      <c r="H3" s="3" t="n"/>
      <c r="I3" s="3" t="n"/>
    </row>
    <row r="4" ht="52" customHeight="1">
      <c r="A4" s="10" t="n">
        <v>46277</v>
      </c>
      <c r="B4" s="2" t="n">
        <v>10</v>
      </c>
      <c r="C4" s="2" t="n"/>
      <c r="D4" s="2" t="n"/>
      <c r="E4" s="2" t="n"/>
      <c r="F4" s="2" t="n"/>
      <c r="G4" s="2" t="n"/>
      <c r="H4" s="2" t="n"/>
      <c r="I4" s="2" t="n"/>
    </row>
    <row r="5" ht="52" customHeight="1">
      <c r="A5" s="11" t="n">
        <v>46278</v>
      </c>
      <c r="B5" s="3" t="n">
        <v>10</v>
      </c>
      <c r="C5" s="3" t="n"/>
      <c r="D5" s="3" t="n"/>
      <c r="E5" s="3" t="n"/>
      <c r="F5" s="3" t="n"/>
      <c r="G5" s="3" t="n"/>
      <c r="H5" s="3" t="n"/>
      <c r="I5" s="3" t="n"/>
    </row>
    <row r="6" ht="52" customHeight="1">
      <c r="A6" s="10" t="n">
        <v>46279</v>
      </c>
      <c r="B6" s="2" t="n">
        <v>10</v>
      </c>
      <c r="C6" s="2" t="n"/>
      <c r="D6" s="2" t="n"/>
      <c r="E6" s="2" t="n"/>
      <c r="F6" s="2" t="n"/>
      <c r="G6" s="2" t="n"/>
      <c r="H6" s="2" t="n"/>
      <c r="I6" s="2" t="n"/>
    </row>
    <row r="7" ht="52" customHeight="1">
      <c r="A7" s="11" t="n">
        <v>46280</v>
      </c>
      <c r="B7" s="3" t="n">
        <v>10</v>
      </c>
      <c r="C7" s="3" t="n"/>
      <c r="D7" s="3" t="n"/>
      <c r="E7" s="3" t="n"/>
      <c r="F7" s="3" t="n"/>
      <c r="G7" s="3" t="n"/>
      <c r="H7" s="3" t="n"/>
      <c r="I7" s="3" t="n"/>
    </row>
    <row r="8" ht="52" customHeight="1">
      <c r="A8" s="10" t="n">
        <v>46281</v>
      </c>
      <c r="B8" s="2" t="n">
        <v>10</v>
      </c>
      <c r="C8" s="2" t="n"/>
      <c r="D8" s="2" t="n"/>
      <c r="E8" s="2" t="n"/>
      <c r="F8" s="2" t="n"/>
      <c r="G8" s="2" t="n"/>
      <c r="H8" s="2" t="n"/>
      <c r="I8" s="2" t="n"/>
    </row>
    <row r="9" ht="52" customHeight="1">
      <c r="A9" s="11" t="n">
        <v>46282</v>
      </c>
      <c r="B9" s="3" t="n">
        <v>10</v>
      </c>
      <c r="C9" s="3" t="n"/>
      <c r="D9" s="3" t="n"/>
      <c r="E9" s="3" t="n"/>
      <c r="F9" s="3" t="n"/>
      <c r="G9" s="3" t="n"/>
      <c r="H9" s="3" t="n"/>
      <c r="I9" s="3" t="n"/>
    </row>
    <row r="10" ht="52" customHeight="1">
      <c r="A10" s="10" t="n">
        <v>46283</v>
      </c>
      <c r="B10" s="2" t="n">
        <v>10</v>
      </c>
      <c r="C10" s="2" t="n"/>
      <c r="D10" s="2" t="n"/>
      <c r="E10" s="2" t="n"/>
      <c r="F10" s="2" t="n"/>
      <c r="G10" s="2" t="n"/>
      <c r="H10" s="2" t="n"/>
      <c r="I10" s="2" t="n"/>
    </row>
    <row r="11" ht="52" customHeight="1">
      <c r="A11" s="11" t="n">
        <v>46284</v>
      </c>
      <c r="B11" s="3" t="n">
        <v>10</v>
      </c>
      <c r="C11" s="3" t="n"/>
      <c r="D11" s="3" t="n"/>
      <c r="E11" s="3" t="n"/>
      <c r="F11" s="3" t="n"/>
      <c r="G11" s="3" t="n"/>
      <c r="H11" s="3" t="n"/>
      <c r="I11" s="3" t="n"/>
    </row>
    <row r="12" ht="52" customHeight="1">
      <c r="A12" s="10" t="n">
        <v>46285</v>
      </c>
      <c r="B12" s="2" t="n">
        <v>10</v>
      </c>
      <c r="C12" s="2" t="n"/>
      <c r="D12" s="2" t="n"/>
      <c r="E12" s="2" t="n"/>
      <c r="F12" s="2" t="n"/>
      <c r="G12" s="2" t="n"/>
      <c r="H12" s="2" t="n"/>
      <c r="I12" s="2" t="n"/>
    </row>
    <row r="13" ht="52" customHeight="1">
      <c r="A13" s="11" t="n">
        <v>46286</v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</row>
    <row r="14" ht="52" customHeight="1">
      <c r="A14" s="10" t="n">
        <v>46287</v>
      </c>
      <c r="B14" s="2" t="n">
        <v>10</v>
      </c>
      <c r="C14" s="2" t="n"/>
      <c r="D14" s="2" t="n"/>
      <c r="E14" s="2" t="n"/>
      <c r="F14" s="2" t="n"/>
      <c r="G14" s="2" t="n"/>
      <c r="H14" s="2" t="n"/>
      <c r="I14" s="2" t="n"/>
    </row>
    <row r="15" ht="52" customHeight="1">
      <c r="A15" s="11" t="n">
        <v>46288</v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</row>
    <row r="16" ht="52" customHeight="1">
      <c r="A16" s="10" t="n">
        <v>46289</v>
      </c>
      <c r="B16" s="2" t="n">
        <v>10</v>
      </c>
      <c r="C16" s="2" t="n"/>
      <c r="D16" s="2" t="n"/>
      <c r="E16" s="2" t="n"/>
      <c r="F16" s="2" t="n"/>
      <c r="G16" s="2" t="n"/>
      <c r="H16" s="2" t="n"/>
      <c r="I16" s="2" t="n"/>
    </row>
    <row r="17" ht="52" customHeight="1">
      <c r="A17" s="11" t="n">
        <v>46290</v>
      </c>
      <c r="B17" s="3" t="n">
        <v>10</v>
      </c>
      <c r="C17" s="3" t="n"/>
      <c r="D17" s="3" t="n"/>
      <c r="E17" s="3" t="n"/>
      <c r="F17" s="3" t="n"/>
      <c r="G17" s="3" t="n"/>
      <c r="H17" s="3" t="n"/>
      <c r="I17" s="3" t="n"/>
    </row>
    <row r="18" ht="52" customHeight="1">
      <c r="A18" s="10" t="n">
        <v>46291</v>
      </c>
      <c r="B18" s="2" t="n">
        <v>10</v>
      </c>
      <c r="C18" s="2" t="n"/>
      <c r="D18" s="2" t="n"/>
      <c r="E18" s="2" t="n"/>
      <c r="F18" s="2" t="n"/>
      <c r="G18" s="2" t="n"/>
      <c r="H18" s="2" t="n"/>
      <c r="I18" s="2" t="n"/>
    </row>
    <row r="19" ht="52" customHeight="1">
      <c r="A19" s="11" t="n">
        <v>46292</v>
      </c>
      <c r="B19" s="3" t="n">
        <v>10</v>
      </c>
      <c r="C19" s="3" t="n"/>
      <c r="D19" s="3" t="n"/>
      <c r="E19" s="3" t="n"/>
      <c r="F19" s="3" t="n"/>
      <c r="G19" s="3" t="n"/>
      <c r="H19" s="3" t="n"/>
      <c r="I19" s="3" t="n"/>
    </row>
    <row r="20" ht="52" customHeight="1">
      <c r="A20" s="10" t="n">
        <v>46293</v>
      </c>
      <c r="B20" s="2" t="n">
        <v>10</v>
      </c>
      <c r="C20" s="2" t="n"/>
      <c r="D20" s="2" t="n"/>
      <c r="E20" s="2" t="n"/>
      <c r="F20" s="2" t="n"/>
      <c r="G20" s="2" t="n"/>
      <c r="H20" s="2" t="n"/>
      <c r="I20" s="2" t="n"/>
    </row>
    <row r="21" ht="52" customHeight="1">
      <c r="A21" s="11" t="n">
        <v>46294</v>
      </c>
      <c r="B21" s="3" t="n">
        <v>10</v>
      </c>
      <c r="C21" s="3" t="n"/>
      <c r="D21" s="3" t="n"/>
      <c r="E21" s="3" t="n"/>
      <c r="F21" s="3" t="n"/>
      <c r="G21" s="3" t="n"/>
      <c r="H21" s="3" t="n"/>
      <c r="I21" s="3" t="n"/>
    </row>
    <row r="22" ht="52" customHeight="1">
      <c r="A22" s="10" t="n">
        <v>46295</v>
      </c>
      <c r="B22" s="2" t="n">
        <v>10</v>
      </c>
      <c r="C22" s="2" t="n"/>
      <c r="D22" s="2" t="n"/>
      <c r="E22" s="2" t="n"/>
      <c r="F22" s="2" t="n"/>
      <c r="G22" s="2" t="n"/>
      <c r="H22" s="2" t="n"/>
      <c r="I22" s="2" t="n"/>
    </row>
    <row r="23" ht="52" customHeight="1">
      <c r="A23" s="11" t="n">
        <v>46296</v>
      </c>
      <c r="B23" s="3" t="n">
        <v>10</v>
      </c>
      <c r="C23" s="3" t="n"/>
      <c r="D23" s="3" t="n"/>
      <c r="E23" s="3" t="n"/>
      <c r="F23" s="3" t="n"/>
      <c r="G23" s="3" t="n"/>
      <c r="H23" s="3" t="n"/>
      <c r="I23" s="3" t="n"/>
    </row>
    <row r="24" ht="52" customHeight="1">
      <c r="A24" s="10" t="n">
        <v>46297</v>
      </c>
      <c r="B24" s="2" t="n">
        <v>10</v>
      </c>
      <c r="C24" s="2" t="n"/>
      <c r="D24" s="2" t="n"/>
      <c r="E24" s="2" t="n"/>
      <c r="F24" s="2" t="n"/>
      <c r="G24" s="2" t="n"/>
      <c r="H24" s="2" t="n"/>
      <c r="I24" s="2" t="n"/>
    </row>
    <row r="25" ht="52" customHeight="1">
      <c r="A25" s="11" t="n">
        <v>46298</v>
      </c>
      <c r="B25" s="3" t="n">
        <v>10</v>
      </c>
      <c r="C25" s="3" t="n"/>
      <c r="D25" s="3" t="n"/>
      <c r="E25" s="3" t="n"/>
      <c r="F25" s="3" t="n"/>
      <c r="G25" s="3" t="n"/>
      <c r="H25" s="3" t="n"/>
      <c r="I25" s="3" t="n"/>
    </row>
    <row r="26" ht="52" customHeight="1">
      <c r="A26" s="10" t="n">
        <v>46299</v>
      </c>
      <c r="B26" s="2" t="n">
        <v>10</v>
      </c>
      <c r="C26" s="2" t="n"/>
      <c r="D26" s="2" t="n"/>
      <c r="E26" s="2" t="n"/>
      <c r="F26" s="2" t="n"/>
      <c r="G26" s="2" t="n"/>
      <c r="H26" s="2" t="n"/>
      <c r="I26" s="2" t="n"/>
    </row>
    <row r="27" ht="52" customHeight="1">
      <c r="A27" s="11" t="n">
        <v>46300</v>
      </c>
      <c r="B27" s="3" t="n">
        <v>10</v>
      </c>
      <c r="C27" s="3" t="n"/>
      <c r="D27" s="3" t="n"/>
      <c r="E27" s="3" t="n"/>
      <c r="F27" s="3" t="n"/>
      <c r="G27" s="3" t="n"/>
      <c r="H27" s="3" t="n"/>
      <c r="I27" s="3" t="n"/>
    </row>
    <row r="28" ht="52" customHeight="1">
      <c r="A28" s="10" t="n">
        <v>46301</v>
      </c>
      <c r="B28" s="2" t="n">
        <v>10</v>
      </c>
      <c r="C28" s="2" t="n"/>
      <c r="D28" s="2" t="n"/>
      <c r="E28" s="2" t="n"/>
      <c r="F28" s="2" t="n"/>
      <c r="G28" s="2" t="n"/>
      <c r="H28" s="2" t="n"/>
      <c r="I28" s="2" t="n"/>
    </row>
    <row r="29" ht="52" customHeight="1">
      <c r="A29" s="11" t="n">
        <v>46302</v>
      </c>
      <c r="B29" s="3" t="n">
        <v>10</v>
      </c>
      <c r="C29" s="3" t="n"/>
      <c r="D29" s="3" t="n"/>
      <c r="E29" s="3" t="n"/>
      <c r="F29" s="3" t="n"/>
      <c r="G29" s="3" t="n"/>
      <c r="H29" s="3" t="n"/>
      <c r="I29" s="3" t="n"/>
    </row>
    <row r="30" ht="52" customHeight="1">
      <c r="A30" s="10" t="n">
        <v>46303</v>
      </c>
      <c r="B30" s="2" t="n">
        <v>10</v>
      </c>
      <c r="C30" s="2" t="n"/>
      <c r="D30" s="2" t="n"/>
      <c r="E30" s="2" t="n"/>
      <c r="F30" s="2" t="n"/>
      <c r="G30" s="2" t="n"/>
      <c r="H30" s="2" t="n"/>
      <c r="I30" s="2" t="n"/>
    </row>
    <row r="31" ht="52" customHeight="1">
      <c r="A31" s="11" t="n">
        <v>46304</v>
      </c>
      <c r="B31" s="3" t="n">
        <v>10</v>
      </c>
      <c r="C31" s="3" t="n"/>
      <c r="D31" s="3" t="n"/>
      <c r="E31" s="3" t="n"/>
      <c r="F31" s="3" t="n"/>
      <c r="G31" s="3" t="n"/>
      <c r="H31" s="3" t="n"/>
      <c r="I31" s="3" t="n"/>
    </row>
  </sheetData>
  <autoFilter ref="A1:I3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2026-09-10T13:49:39Z</dcterms:created>
  <dcterms:modified xmlns:dcterms="http://purl.org/dc/terms/" xmlns:xsi="http://www.w3.org/2001/XMLSchema-instance" xsi:type="dcterms:W3CDTF">2026-09-10T13:49:39Z</dcterms:modified>
</cp:coreProperties>
</file>